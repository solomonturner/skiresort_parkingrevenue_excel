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d.docs.live.net/f17c181519f068c9/Desktop/Data Analytics Project/skiresort_parkingrevenue_excel/"/>
    </mc:Choice>
  </mc:AlternateContent>
  <xr:revisionPtr revIDLastSave="702" documentId="8_{85C0D994-9CA9-4846-A5FF-58CB0EFD0D2A}" xr6:coauthVersionLast="47" xr6:coauthVersionMax="47" xr10:uidLastSave="{AA715CFE-10BA-426E-9E3F-7871D63AE01F}"/>
  <workbookProtection workbookAlgorithmName="SHA-512" workbookHashValue="RO8qdG4k8NWksWXGk5Zt2SDiXZIengMb2RnFvhrn9Ch/GYTHV+Xr67ebh+cPPddOm/8sVslNTEEhFWCrJcuS4A==" workbookSaltValue="lsPWLeBEkyjv2YtbAF/m5w==" workbookSpinCount="100000" lockStructure="1"/>
  <bookViews>
    <workbookView xWindow="-120" yWindow="-120" windowWidth="29040" windowHeight="15840" firstSheet="1" activeTab="1" xr2:uid="{40913211-7817-4C2B-8587-85210C934CB0}"/>
  </bookViews>
  <sheets>
    <sheet name="SkiResort_Data_Raw" sheetId="2" state="hidden" r:id="rId1"/>
    <sheet name="SkiResort_Data_Clean" sheetId="3" r:id="rId2"/>
    <sheet name="Revenue_and_Bookings" sheetId="14" state="hidden" r:id="rId3"/>
    <sheet name="New_Returning_Parkers" sheetId="15" state="hidden" r:id="rId4"/>
    <sheet name="Cards" sheetId="17" state="hidden" r:id="rId5"/>
    <sheet name="Dashboard" sheetId="18" r:id="rId6"/>
  </sheets>
  <definedNames>
    <definedName name="ExternalData_1" localSheetId="0" hidden="1">SkiResort_Data_Raw!$A$1:$AI$1046</definedName>
    <definedName name="Slicer_Ski_Seas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 i="3" l="1"/>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2" i="3"/>
  <c r="B2" i="3" a="1"/>
  <c r="B3" i="3" a="1"/>
  <c r="B4" i="3" a="1"/>
  <c r="B5" i="3" a="1"/>
  <c r="B6" i="3" a="1"/>
  <c r="B7" i="3" a="1"/>
  <c r="B8" i="3" a="1"/>
  <c r="B9" i="3" a="1"/>
  <c r="B10" i="3" a="1"/>
  <c r="B11" i="3" a="1"/>
  <c r="B12" i="3" a="1"/>
  <c r="B13" i="3" a="1"/>
  <c r="B14" i="3" a="1"/>
  <c r="B15" i="3" a="1"/>
  <c r="B16" i="3" a="1"/>
  <c r="B17" i="3" a="1"/>
  <c r="B18" i="3" a="1"/>
  <c r="B19" i="3" a="1"/>
  <c r="B20" i="3" a="1"/>
  <c r="B21" i="3" a="1"/>
  <c r="B22" i="3" a="1"/>
  <c r="B23" i="3" a="1"/>
  <c r="B24" i="3" a="1"/>
  <c r="B25" i="3" a="1"/>
  <c r="B26" i="3" a="1"/>
  <c r="B27" i="3" a="1"/>
  <c r="B28" i="3" a="1"/>
  <c r="B29" i="3" a="1"/>
  <c r="B30" i="3" a="1"/>
  <c r="B31" i="3" a="1"/>
  <c r="B32" i="3" a="1"/>
  <c r="B33" i="3" a="1"/>
  <c r="B34" i="3" a="1"/>
  <c r="B35" i="3" a="1"/>
  <c r="B36" i="3" a="1"/>
  <c r="B37" i="3" a="1"/>
  <c r="B38" i="3" a="1"/>
  <c r="B39" i="3" a="1"/>
  <c r="B40" i="3" a="1"/>
  <c r="B41" i="3" a="1"/>
  <c r="B42" i="3" a="1"/>
  <c r="B43" i="3" a="1"/>
  <c r="B44" i="3" a="1"/>
  <c r="B45" i="3" a="1"/>
  <c r="B46" i="3" a="1"/>
  <c r="B47" i="3" a="1"/>
  <c r="B48" i="3" a="1"/>
  <c r="B49" i="3" a="1"/>
  <c r="B50" i="3" a="1"/>
  <c r="B51" i="3" a="1"/>
  <c r="B52" i="3" a="1"/>
  <c r="B53" i="3" a="1"/>
  <c r="B54" i="3" a="1"/>
  <c r="B55" i="3" a="1"/>
  <c r="B56" i="3" a="1"/>
  <c r="B57" i="3" a="1"/>
  <c r="B58" i="3" a="1"/>
  <c r="B59" i="3" a="1"/>
  <c r="B60" i="3" a="1"/>
  <c r="B61" i="3" a="1"/>
  <c r="B62" i="3" a="1"/>
  <c r="B63" i="3" a="1"/>
  <c r="B64" i="3" a="1"/>
  <c r="B65" i="3" a="1"/>
  <c r="B66" i="3" a="1"/>
  <c r="B67" i="3" a="1"/>
  <c r="B68" i="3" a="1"/>
  <c r="B69" i="3" a="1"/>
  <c r="B70" i="3" a="1"/>
  <c r="B71" i="3" a="1"/>
  <c r="B72" i="3" a="1"/>
  <c r="B73" i="3" a="1"/>
  <c r="B74" i="3" a="1"/>
  <c r="B75" i="3" a="1"/>
  <c r="B76" i="3" a="1"/>
  <c r="B77" i="3" a="1"/>
  <c r="B78" i="3" a="1"/>
  <c r="B79" i="3" a="1"/>
  <c r="B80" i="3" a="1"/>
  <c r="B81" i="3" a="1"/>
  <c r="B82" i="3" a="1"/>
  <c r="B83" i="3" a="1"/>
  <c r="B84" i="3" a="1"/>
  <c r="B85" i="3" a="1"/>
  <c r="B86" i="3" a="1"/>
  <c r="B87" i="3" a="1"/>
  <c r="B88" i="3" a="1"/>
  <c r="B89" i="3" a="1"/>
  <c r="B90" i="3" a="1"/>
  <c r="B91" i="3" a="1"/>
  <c r="B92" i="3" a="1"/>
  <c r="B93" i="3" a="1"/>
  <c r="B94" i="3" a="1"/>
  <c r="B95" i="3" a="1"/>
  <c r="B96" i="3" a="1"/>
  <c r="B97" i="3" a="1"/>
  <c r="B98" i="3" a="1"/>
  <c r="B99" i="3" a="1"/>
  <c r="B100" i="3" a="1"/>
  <c r="B101" i="3" a="1"/>
  <c r="B102" i="3" a="1"/>
  <c r="B103" i="3" a="1"/>
  <c r="B104" i="3" a="1"/>
  <c r="B105" i="3" a="1"/>
  <c r="B106" i="3" a="1"/>
  <c r="B107" i="3" a="1"/>
  <c r="B108" i="3" a="1"/>
  <c r="B109" i="3" a="1"/>
  <c r="B110" i="3" a="1"/>
  <c r="B111" i="3" a="1"/>
  <c r="B112" i="3" a="1"/>
  <c r="B113" i="3" a="1"/>
  <c r="B114" i="3" a="1"/>
  <c r="B115" i="3" a="1"/>
  <c r="B116" i="3" a="1"/>
  <c r="B117" i="3" a="1"/>
  <c r="B118" i="3" a="1"/>
  <c r="B119" i="3" a="1"/>
  <c r="B120" i="3" a="1"/>
  <c r="B121" i="3" a="1"/>
  <c r="B122" i="3" a="1"/>
  <c r="B123" i="3" a="1"/>
  <c r="B124" i="3" a="1"/>
  <c r="B125" i="3" a="1"/>
  <c r="B126" i="3" a="1"/>
  <c r="B127" i="3" a="1"/>
  <c r="B128" i="3" a="1"/>
  <c r="B129" i="3" a="1"/>
  <c r="B130" i="3" a="1"/>
  <c r="B131" i="3" a="1"/>
  <c r="B132" i="3" a="1"/>
  <c r="B133" i="3" a="1"/>
  <c r="B134" i="3" a="1"/>
  <c r="B135" i="3" a="1"/>
  <c r="B136" i="3" a="1"/>
  <c r="B137" i="3" a="1"/>
  <c r="B138" i="3" a="1"/>
  <c r="B139" i="3" a="1"/>
  <c r="B140" i="3" a="1"/>
  <c r="B141" i="3" a="1"/>
  <c r="B142" i="3" a="1"/>
  <c r="B143" i="3" a="1"/>
  <c r="B144" i="3" a="1"/>
  <c r="B145" i="3" a="1"/>
  <c r="B146" i="3" a="1"/>
  <c r="B147" i="3" a="1"/>
  <c r="B148" i="3" a="1"/>
  <c r="B149" i="3" a="1"/>
  <c r="B150" i="3" a="1"/>
  <c r="B151" i="3" a="1"/>
  <c r="B152" i="3" a="1"/>
  <c r="B153" i="3" a="1"/>
  <c r="B154" i="3" a="1"/>
  <c r="B155" i="3" a="1"/>
  <c r="B156" i="3" a="1"/>
  <c r="B157" i="3" a="1"/>
  <c r="B158" i="3" a="1"/>
  <c r="B159" i="3" a="1"/>
  <c r="B160" i="3" a="1"/>
  <c r="B161" i="3" a="1"/>
  <c r="B162" i="3" a="1"/>
  <c r="B163" i="3" a="1"/>
  <c r="B164" i="3" a="1"/>
  <c r="B165" i="3" a="1"/>
  <c r="B166" i="3" a="1"/>
  <c r="B167" i="3" a="1"/>
  <c r="B168" i="3" a="1"/>
  <c r="B169" i="3" a="1"/>
  <c r="B170" i="3" a="1"/>
  <c r="B171" i="3" a="1"/>
  <c r="B172" i="3" a="1"/>
  <c r="B173" i="3" a="1"/>
  <c r="B174" i="3" a="1"/>
  <c r="B175" i="3" a="1"/>
  <c r="B176" i="3" a="1"/>
  <c r="B177" i="3" a="1"/>
  <c r="B178" i="3" a="1"/>
  <c r="B179" i="3" a="1"/>
  <c r="B180" i="3" a="1"/>
  <c r="B181" i="3" a="1"/>
  <c r="B182" i="3" a="1"/>
  <c r="B183" i="3" a="1"/>
  <c r="B184" i="3" a="1"/>
  <c r="B185" i="3" a="1"/>
  <c r="B186" i="3" a="1"/>
  <c r="B187" i="3" a="1"/>
  <c r="B188" i="3" a="1"/>
  <c r="B189" i="3" a="1"/>
  <c r="B190" i="3" a="1"/>
  <c r="B191" i="3" a="1"/>
  <c r="B192" i="3" a="1"/>
  <c r="B193" i="3" a="1"/>
  <c r="B194" i="3" a="1"/>
  <c r="B195" i="3" a="1"/>
  <c r="B196" i="3" a="1"/>
  <c r="B197" i="3" a="1"/>
  <c r="B198" i="3" a="1"/>
  <c r="B199" i="3" a="1"/>
  <c r="B200" i="3" a="1"/>
  <c r="B201" i="3" a="1"/>
  <c r="B202" i="3" a="1"/>
  <c r="B203" i="3" a="1"/>
  <c r="B204" i="3" a="1"/>
  <c r="B205" i="3" a="1"/>
  <c r="B206" i="3" a="1"/>
  <c r="B207" i="3" a="1"/>
  <c r="B208" i="3" a="1"/>
  <c r="B209" i="3" a="1"/>
  <c r="B210" i="3" a="1"/>
  <c r="B211" i="3" a="1"/>
  <c r="B212" i="3" a="1"/>
  <c r="B213" i="3" a="1"/>
  <c r="B214" i="3" a="1"/>
  <c r="B215" i="3" a="1"/>
  <c r="B216" i="3" a="1"/>
  <c r="B217" i="3" a="1"/>
  <c r="B218" i="3" a="1"/>
  <c r="B219" i="3" a="1"/>
  <c r="B220" i="3" a="1"/>
  <c r="B221" i="3" a="1"/>
  <c r="B222" i="3" a="1"/>
  <c r="B223" i="3" a="1"/>
  <c r="B224" i="3" a="1"/>
  <c r="B225" i="3" a="1"/>
  <c r="B226" i="3" a="1"/>
  <c r="B227" i="3" a="1"/>
  <c r="B228" i="3" a="1"/>
  <c r="B229" i="3" a="1"/>
  <c r="B230" i="3" a="1"/>
  <c r="B231" i="3" a="1"/>
  <c r="B232" i="3" a="1"/>
  <c r="B233" i="3" a="1"/>
  <c r="B234" i="3" a="1"/>
  <c r="B235" i="3" a="1"/>
  <c r="B236" i="3" a="1"/>
  <c r="B237" i="3" a="1"/>
  <c r="B238" i="3" a="1"/>
  <c r="B239" i="3" a="1"/>
  <c r="B240" i="3" a="1"/>
  <c r="B241" i="3" a="1"/>
  <c r="B242" i="3" a="1"/>
  <c r="B243" i="3" a="1"/>
  <c r="B244" i="3" a="1"/>
  <c r="B245" i="3" a="1"/>
  <c r="B246" i="3" a="1"/>
  <c r="B247" i="3" a="1"/>
  <c r="B248" i="3" a="1"/>
  <c r="B249" i="3" a="1"/>
  <c r="B250" i="3" a="1"/>
  <c r="B251" i="3" a="1"/>
  <c r="B252" i="3" a="1"/>
  <c r="B253" i="3" a="1"/>
  <c r="B254" i="3" a="1"/>
  <c r="B255" i="3" a="1"/>
  <c r="B256" i="3" a="1"/>
  <c r="B257" i="3" a="1"/>
  <c r="B258" i="3" a="1"/>
  <c r="B259" i="3" a="1"/>
  <c r="B260" i="3" a="1"/>
  <c r="B261" i="3" a="1"/>
  <c r="B262" i="3" a="1"/>
  <c r="B263" i="3" a="1"/>
  <c r="B264" i="3" a="1"/>
  <c r="B265" i="3" a="1"/>
  <c r="B266" i="3" a="1"/>
  <c r="B267" i="3" a="1"/>
  <c r="B268" i="3" a="1"/>
  <c r="B269" i="3" a="1"/>
  <c r="B270" i="3" a="1"/>
  <c r="B271" i="3" a="1"/>
  <c r="B272" i="3" a="1"/>
  <c r="B273" i="3" a="1"/>
  <c r="B274" i="3" a="1"/>
  <c r="B275" i="3" a="1"/>
  <c r="B276" i="3" a="1"/>
  <c r="B277" i="3" a="1"/>
  <c r="B278" i="3" a="1"/>
  <c r="B279" i="3" a="1"/>
  <c r="B280" i="3" a="1"/>
  <c r="B281" i="3" a="1"/>
  <c r="B282" i="3" a="1"/>
  <c r="B283" i="3" a="1"/>
  <c r="B284" i="3" a="1"/>
  <c r="B285" i="3" a="1"/>
  <c r="B286" i="3" a="1"/>
  <c r="B287" i="3" a="1"/>
  <c r="B288" i="3" a="1"/>
  <c r="B289" i="3" a="1"/>
  <c r="B290" i="3" a="1"/>
  <c r="B291" i="3" a="1"/>
  <c r="B292" i="3" a="1"/>
  <c r="B293" i="3" a="1"/>
  <c r="B294" i="3" a="1"/>
  <c r="B295" i="3" a="1"/>
  <c r="B296" i="3" a="1"/>
  <c r="B297" i="3" a="1"/>
  <c r="B298" i="3" a="1"/>
  <c r="B299" i="3" a="1"/>
  <c r="B300" i="3" a="1"/>
  <c r="B301" i="3" a="1"/>
  <c r="B302" i="3" a="1"/>
  <c r="B303" i="3" a="1"/>
  <c r="B304" i="3" a="1"/>
  <c r="B305" i="3" a="1"/>
  <c r="B306" i="3" a="1"/>
  <c r="B307" i="3" a="1"/>
  <c r="B308" i="3" a="1"/>
  <c r="B309" i="3" a="1"/>
  <c r="B310" i="3" a="1"/>
  <c r="B311" i="3" a="1"/>
  <c r="B312" i="3" a="1"/>
  <c r="B313" i="3" a="1"/>
  <c r="B314" i="3" a="1"/>
  <c r="B315" i="3" a="1"/>
  <c r="B316" i="3" a="1"/>
  <c r="B317" i="3" a="1"/>
  <c r="B318" i="3" a="1"/>
  <c r="B319" i="3" a="1"/>
  <c r="B320" i="3" a="1"/>
  <c r="B321" i="3" a="1"/>
  <c r="B322" i="3" a="1"/>
  <c r="B323" i="3" a="1"/>
  <c r="B324" i="3" a="1"/>
  <c r="B325" i="3" a="1"/>
  <c r="B326" i="3" a="1"/>
  <c r="B327" i="3" a="1"/>
  <c r="B328" i="3" a="1"/>
  <c r="B329" i="3" a="1"/>
  <c r="B330" i="3" a="1"/>
  <c r="B331" i="3" a="1"/>
  <c r="B332" i="3" a="1"/>
  <c r="B333" i="3" a="1"/>
  <c r="B334" i="3" a="1"/>
  <c r="B335" i="3" a="1"/>
  <c r="B336" i="3" a="1"/>
  <c r="B337" i="3" a="1"/>
  <c r="B338" i="3" a="1"/>
  <c r="B339" i="3" a="1"/>
  <c r="B340" i="3" a="1"/>
  <c r="B341" i="3" a="1"/>
  <c r="B342" i="3" a="1"/>
  <c r="B343" i="3" a="1"/>
  <c r="B344" i="3" a="1"/>
  <c r="B345" i="3" a="1"/>
  <c r="B346" i="3" a="1"/>
  <c r="B347" i="3" a="1"/>
  <c r="B348" i="3" a="1"/>
  <c r="B349" i="3" a="1"/>
  <c r="B350" i="3" a="1"/>
  <c r="B351" i="3" a="1"/>
  <c r="B352" i="3" a="1"/>
  <c r="B353" i="3" a="1"/>
  <c r="B354" i="3" a="1"/>
  <c r="B355" i="3" a="1"/>
  <c r="B356" i="3" a="1"/>
  <c r="B357" i="3" a="1"/>
  <c r="B358" i="3" a="1"/>
  <c r="B359" i="3" a="1"/>
  <c r="B360" i="3" a="1"/>
  <c r="B361" i="3" a="1"/>
  <c r="B362" i="3" a="1"/>
  <c r="B363" i="3" a="1"/>
  <c r="B364" i="3" a="1"/>
  <c r="B365" i="3" a="1"/>
  <c r="B366" i="3" a="1"/>
  <c r="B367" i="3" a="1"/>
  <c r="B368" i="3" a="1"/>
  <c r="B369" i="3" a="1"/>
  <c r="B370" i="3" a="1"/>
  <c r="B371" i="3" a="1"/>
  <c r="B372" i="3" a="1"/>
  <c r="B373" i="3" a="1"/>
  <c r="B374" i="3" a="1"/>
  <c r="B375" i="3" a="1"/>
  <c r="B376" i="3" a="1"/>
  <c r="B377" i="3" a="1"/>
  <c r="B378" i="3" a="1"/>
  <c r="B379" i="3" a="1"/>
  <c r="B380" i="3" a="1"/>
  <c r="B381" i="3" a="1"/>
  <c r="B382" i="3" a="1"/>
  <c r="B383" i="3" a="1"/>
  <c r="B384" i="3" a="1"/>
  <c r="B385" i="3" a="1"/>
  <c r="B386" i="3" a="1"/>
  <c r="B387" i="3" a="1"/>
  <c r="B388" i="3" a="1"/>
  <c r="B389" i="3" a="1"/>
  <c r="B390" i="3" a="1"/>
  <c r="B391" i="3" a="1"/>
  <c r="B392" i="3" a="1"/>
  <c r="B393" i="3" a="1"/>
  <c r="B394" i="3" a="1"/>
  <c r="B395" i="3" a="1"/>
  <c r="B396" i="3" a="1"/>
  <c r="B397" i="3" a="1"/>
  <c r="B398" i="3" a="1"/>
  <c r="B399" i="3" a="1"/>
  <c r="B400" i="3" a="1"/>
  <c r="B401" i="3" a="1"/>
  <c r="B402" i="3" a="1"/>
  <c r="B403" i="3" a="1"/>
  <c r="B404" i="3" a="1"/>
  <c r="B405" i="3" a="1"/>
  <c r="B406" i="3" a="1"/>
  <c r="B407" i="3" a="1"/>
  <c r="B408" i="3" a="1"/>
  <c r="B409" i="3" a="1"/>
  <c r="B410" i="3" a="1"/>
  <c r="B411" i="3" a="1"/>
  <c r="B412" i="3" a="1"/>
  <c r="B413" i="3" a="1"/>
  <c r="B414" i="3" a="1"/>
  <c r="B415" i="3" a="1"/>
  <c r="B416" i="3" a="1"/>
  <c r="B417" i="3" a="1"/>
  <c r="B418" i="3" a="1"/>
  <c r="B419" i="3" a="1"/>
  <c r="B420" i="3" a="1"/>
  <c r="B421" i="3" a="1"/>
  <c r="B422" i="3" a="1"/>
  <c r="B423" i="3" a="1"/>
  <c r="B424" i="3" a="1"/>
  <c r="B425" i="3" a="1"/>
  <c r="B426" i="3" a="1"/>
  <c r="B427" i="3" a="1"/>
  <c r="B428" i="3" a="1"/>
  <c r="B429" i="3" a="1"/>
  <c r="B430" i="3" a="1"/>
  <c r="B431" i="3" a="1"/>
  <c r="B432" i="3" a="1"/>
  <c r="B433" i="3" a="1"/>
  <c r="B434" i="3" a="1"/>
  <c r="B435" i="3" a="1"/>
  <c r="B436" i="3" a="1"/>
  <c r="B437" i="3" a="1"/>
  <c r="B438" i="3" a="1"/>
  <c r="B439" i="3" a="1"/>
  <c r="B440" i="3" a="1"/>
  <c r="B441" i="3" a="1"/>
  <c r="B442" i="3" a="1"/>
  <c r="B443" i="3" a="1"/>
  <c r="B444" i="3" a="1"/>
  <c r="B445" i="3" a="1"/>
  <c r="B446" i="3" a="1"/>
  <c r="B447" i="3" a="1"/>
  <c r="B448" i="3" a="1"/>
  <c r="B449" i="3" a="1"/>
  <c r="B450" i="3" a="1"/>
  <c r="B451" i="3" a="1"/>
  <c r="B452" i="3" a="1"/>
  <c r="B453" i="3" a="1"/>
  <c r="B454" i="3" a="1"/>
  <c r="B455" i="3" a="1"/>
  <c r="B456" i="3" a="1"/>
  <c r="B457" i="3" a="1"/>
  <c r="B458" i="3" a="1"/>
  <c r="B459" i="3" a="1"/>
  <c r="B460" i="3" a="1"/>
  <c r="B461" i="3" a="1"/>
  <c r="B462" i="3" a="1"/>
  <c r="B463" i="3" a="1"/>
  <c r="B464" i="3" a="1"/>
  <c r="B465" i="3" a="1"/>
  <c r="B466" i="3" a="1"/>
  <c r="B467" i="3" a="1"/>
  <c r="B468" i="3" a="1"/>
  <c r="B469" i="3" a="1"/>
  <c r="B470" i="3" a="1"/>
  <c r="B471" i="3" a="1"/>
  <c r="B472" i="3" a="1"/>
  <c r="B473" i="3" a="1"/>
  <c r="B474" i="3" a="1"/>
  <c r="B475" i="3" a="1"/>
  <c r="B476" i="3" a="1"/>
  <c r="B477" i="3" a="1"/>
  <c r="B478" i="3" a="1"/>
  <c r="B479" i="3" a="1"/>
  <c r="B480" i="3" a="1"/>
  <c r="B481" i="3" a="1"/>
  <c r="B482" i="3" a="1"/>
  <c r="B483" i="3" a="1"/>
  <c r="B484" i="3" a="1"/>
  <c r="B485" i="3" a="1"/>
  <c r="B486" i="3" a="1"/>
  <c r="B487" i="3" a="1"/>
  <c r="B488" i="3" a="1"/>
  <c r="B489" i="3" a="1"/>
  <c r="B490" i="3" a="1"/>
  <c r="B491" i="3" a="1"/>
  <c r="B492" i="3" a="1"/>
  <c r="B493" i="3" a="1"/>
  <c r="B494" i="3" a="1"/>
  <c r="B495" i="3" a="1"/>
  <c r="B496" i="3" a="1"/>
  <c r="B497" i="3" a="1"/>
  <c r="B498" i="3" a="1"/>
  <c r="B499" i="3" a="1"/>
  <c r="B500" i="3" a="1"/>
  <c r="B501" i="3" a="1"/>
  <c r="B502" i="3" a="1"/>
  <c r="B503" i="3" a="1"/>
  <c r="B504" i="3" a="1"/>
  <c r="B505" i="3" a="1"/>
  <c r="B506" i="3" a="1"/>
  <c r="B507" i="3" a="1"/>
  <c r="B508" i="3" a="1"/>
  <c r="B509" i="3" a="1"/>
  <c r="B510" i="3" a="1"/>
  <c r="B511" i="3" a="1"/>
  <c r="B512" i="3" a="1"/>
  <c r="B513" i="3" a="1"/>
  <c r="B514" i="3" a="1"/>
  <c r="B515" i="3" a="1"/>
  <c r="B516" i="3" a="1"/>
  <c r="B517" i="3" a="1"/>
  <c r="B518" i="3" a="1"/>
  <c r="B519" i="3" a="1"/>
  <c r="B520" i="3" a="1"/>
  <c r="B521" i="3" a="1"/>
  <c r="B522" i="3" a="1"/>
  <c r="B523" i="3" a="1"/>
  <c r="B524" i="3" a="1"/>
  <c r="B525" i="3" a="1"/>
  <c r="B526" i="3" a="1"/>
  <c r="B527" i="3" a="1"/>
  <c r="B528" i="3" a="1"/>
  <c r="B529" i="3" a="1"/>
  <c r="B530" i="3" a="1"/>
  <c r="B531" i="3" a="1"/>
  <c r="B532" i="3" a="1"/>
  <c r="B533" i="3" a="1"/>
  <c r="B534" i="3" a="1"/>
  <c r="B535" i="3" a="1"/>
  <c r="B536" i="3" a="1"/>
  <c r="B537" i="3" a="1"/>
  <c r="B538" i="3" a="1"/>
  <c r="B539" i="3" a="1"/>
  <c r="B540" i="3" a="1"/>
  <c r="B541" i="3" a="1"/>
  <c r="B542" i="3" a="1"/>
  <c r="B543" i="3" a="1"/>
  <c r="B544" i="3" a="1"/>
  <c r="B545" i="3" a="1"/>
  <c r="B546" i="3" a="1"/>
  <c r="B547" i="3" a="1"/>
  <c r="B548" i="3" a="1"/>
  <c r="B549" i="3" a="1"/>
  <c r="B550" i="3" a="1"/>
  <c r="B551" i="3" a="1"/>
  <c r="B552" i="3" a="1"/>
  <c r="B553" i="3" a="1"/>
  <c r="B554" i="3" a="1"/>
  <c r="B555" i="3" a="1"/>
  <c r="B556" i="3" a="1"/>
  <c r="B557" i="3" a="1"/>
  <c r="B558" i="3" a="1"/>
  <c r="B559" i="3" a="1"/>
  <c r="B560" i="3" a="1"/>
  <c r="B561" i="3" a="1"/>
  <c r="B562" i="3" a="1"/>
  <c r="B563" i="3" a="1"/>
  <c r="B564" i="3" a="1"/>
  <c r="B565" i="3" a="1"/>
  <c r="B566" i="3" a="1"/>
  <c r="B567" i="3" a="1"/>
  <c r="B568" i="3" a="1"/>
  <c r="B569" i="3" a="1"/>
  <c r="B570" i="3" a="1"/>
  <c r="B571" i="3" a="1"/>
  <c r="B572" i="3" a="1"/>
  <c r="B573" i="3" a="1"/>
  <c r="B574" i="3" a="1"/>
  <c r="B575" i="3" a="1"/>
  <c r="B576" i="3" a="1"/>
  <c r="B577" i="3" a="1"/>
  <c r="B578" i="3" a="1"/>
  <c r="B579" i="3" a="1"/>
  <c r="B580" i="3" a="1"/>
  <c r="B581" i="3" a="1"/>
  <c r="B582" i="3" a="1"/>
  <c r="B583" i="3" a="1"/>
  <c r="B584" i="3" a="1"/>
  <c r="B585" i="3" a="1"/>
  <c r="B586" i="3" a="1"/>
  <c r="B587" i="3" a="1"/>
  <c r="B588" i="3" a="1"/>
  <c r="B589" i="3" a="1"/>
  <c r="B590" i="3" a="1"/>
  <c r="B591" i="3" a="1"/>
  <c r="B592" i="3" a="1"/>
  <c r="B593" i="3" a="1"/>
  <c r="B594" i="3" a="1"/>
  <c r="B595" i="3" a="1"/>
  <c r="B596" i="3" a="1"/>
  <c r="B597" i="3" a="1"/>
  <c r="B598" i="3" a="1"/>
  <c r="B599" i="3" a="1"/>
  <c r="B600" i="3" a="1"/>
  <c r="B601" i="3" a="1"/>
  <c r="B602" i="3" a="1"/>
  <c r="B603" i="3" a="1"/>
  <c r="B604" i="3" a="1"/>
  <c r="B605" i="3" a="1"/>
  <c r="B606" i="3" a="1"/>
  <c r="B607" i="3" a="1"/>
  <c r="B608" i="3" a="1"/>
  <c r="B609" i="3" a="1"/>
  <c r="B610" i="3" a="1"/>
  <c r="B611" i="3" a="1"/>
  <c r="B612" i="3" a="1"/>
  <c r="B613" i="3" a="1"/>
  <c r="B614" i="3" a="1"/>
  <c r="B615" i="3" a="1"/>
  <c r="B616" i="3" a="1"/>
  <c r="B617" i="3" a="1"/>
  <c r="B618" i="3" a="1"/>
  <c r="B619" i="3" a="1"/>
  <c r="B620" i="3" a="1"/>
  <c r="B621" i="3" a="1"/>
  <c r="B622" i="3" a="1"/>
  <c r="B623" i="3" a="1"/>
  <c r="B624" i="3" a="1"/>
  <c r="B625" i="3" a="1"/>
  <c r="B626" i="3" a="1"/>
  <c r="B627" i="3" a="1"/>
  <c r="B628" i="3" a="1"/>
  <c r="B629" i="3" a="1"/>
  <c r="B630" i="3" a="1"/>
  <c r="B631" i="3" a="1"/>
  <c r="B632" i="3" a="1"/>
  <c r="B633" i="3" a="1"/>
  <c r="B634" i="3" a="1"/>
  <c r="B635" i="3" a="1"/>
  <c r="B636" i="3" a="1"/>
  <c r="B637" i="3" a="1"/>
  <c r="B638" i="3" a="1"/>
  <c r="B639" i="3" a="1"/>
  <c r="B640" i="3" a="1"/>
  <c r="B641" i="3" a="1"/>
  <c r="B642" i="3" a="1"/>
  <c r="B643" i="3" a="1"/>
  <c r="B644" i="3" a="1"/>
  <c r="B645" i="3" a="1"/>
  <c r="B646" i="3" a="1"/>
  <c r="B647" i="3" a="1"/>
  <c r="B648" i="3" a="1"/>
  <c r="B649" i="3" a="1"/>
  <c r="B650" i="3" a="1"/>
  <c r="B651" i="3" a="1"/>
  <c r="B652" i="3" a="1"/>
  <c r="B653" i="3" a="1"/>
  <c r="B654" i="3" a="1"/>
  <c r="B655" i="3" a="1"/>
  <c r="B656" i="3" a="1"/>
  <c r="B657" i="3" a="1"/>
  <c r="B658" i="3" a="1"/>
  <c r="B659" i="3" a="1"/>
  <c r="B660" i="3" a="1"/>
  <c r="B661" i="3" a="1"/>
  <c r="B662" i="3" a="1"/>
  <c r="B663" i="3" a="1"/>
  <c r="B664" i="3" a="1"/>
  <c r="B665" i="3" a="1"/>
  <c r="B666" i="3" a="1"/>
  <c r="B667" i="3" a="1"/>
  <c r="B668" i="3" a="1"/>
  <c r="B669" i="3" a="1"/>
  <c r="B670" i="3" a="1"/>
  <c r="B671" i="3" a="1"/>
  <c r="B672" i="3" a="1"/>
  <c r="B673" i="3" a="1"/>
  <c r="B674" i="3" a="1"/>
  <c r="B675" i="3" a="1"/>
  <c r="B676" i="3" a="1"/>
  <c r="B677" i="3" a="1"/>
  <c r="B678" i="3" a="1"/>
  <c r="B679" i="3" a="1"/>
  <c r="B680" i="3" a="1"/>
  <c r="B681" i="3" a="1"/>
  <c r="B682" i="3" a="1"/>
  <c r="B683" i="3" a="1"/>
  <c r="B684" i="3" a="1"/>
  <c r="B685" i="3" a="1"/>
  <c r="B686" i="3" a="1"/>
  <c r="B687" i="3" a="1"/>
  <c r="B688" i="3" a="1"/>
  <c r="B689" i="3" a="1"/>
  <c r="B690" i="3" a="1"/>
  <c r="B691" i="3" a="1"/>
  <c r="B692" i="3" a="1"/>
  <c r="B693" i="3" a="1"/>
  <c r="B694" i="3" a="1"/>
  <c r="B695" i="3" a="1"/>
  <c r="B696" i="3" a="1"/>
  <c r="B697" i="3" a="1"/>
  <c r="B698" i="3" a="1"/>
  <c r="B699" i="3" a="1"/>
  <c r="B700" i="3" a="1"/>
  <c r="B701" i="3" a="1"/>
  <c r="B702" i="3" a="1"/>
  <c r="B703" i="3" a="1"/>
  <c r="B704" i="3" a="1"/>
  <c r="B705" i="3" a="1"/>
  <c r="B706" i="3" a="1"/>
  <c r="B707" i="3" a="1"/>
  <c r="B708" i="3" a="1"/>
  <c r="B709" i="3" a="1"/>
  <c r="B710" i="3" a="1"/>
  <c r="B711" i="3" a="1"/>
  <c r="B712" i="3" a="1"/>
  <c r="B713" i="3" a="1"/>
  <c r="B714" i="3" a="1"/>
  <c r="B715" i="3" a="1"/>
  <c r="B716" i="3" a="1"/>
  <c r="B717" i="3" a="1"/>
  <c r="B718" i="3" a="1"/>
  <c r="B719" i="3" a="1"/>
  <c r="B720" i="3" a="1"/>
  <c r="B721" i="3" a="1"/>
  <c r="B722" i="3" a="1"/>
  <c r="B723" i="3" a="1"/>
  <c r="B724" i="3" a="1"/>
  <c r="B725" i="3" a="1"/>
  <c r="B726" i="3" a="1"/>
  <c r="B727" i="3" a="1"/>
  <c r="B728" i="3" a="1"/>
  <c r="B729" i="3" a="1"/>
  <c r="B730" i="3" a="1"/>
  <c r="B731" i="3" a="1"/>
  <c r="B732" i="3" a="1"/>
  <c r="B733" i="3" a="1"/>
  <c r="B734" i="3" a="1"/>
  <c r="B735" i="3" a="1"/>
  <c r="B736" i="3" a="1"/>
  <c r="B737" i="3" a="1"/>
  <c r="B738" i="3" a="1"/>
  <c r="B739" i="3" a="1"/>
  <c r="B740" i="3" a="1"/>
  <c r="B741" i="3" a="1"/>
  <c r="B742" i="3" a="1"/>
  <c r="B743" i="3" a="1"/>
  <c r="B744" i="3" a="1"/>
  <c r="B745" i="3" a="1"/>
  <c r="B746" i="3" a="1"/>
  <c r="B747" i="3" a="1"/>
  <c r="B748" i="3" a="1"/>
  <c r="B749" i="3" a="1"/>
  <c r="B750" i="3" a="1"/>
  <c r="B751" i="3" a="1"/>
  <c r="B752" i="3" a="1"/>
  <c r="B753" i="3" a="1"/>
  <c r="B754" i="3" a="1"/>
  <c r="B755" i="3" a="1"/>
  <c r="B756" i="3" a="1"/>
  <c r="B757" i="3" a="1"/>
  <c r="B758" i="3" a="1"/>
  <c r="B759" i="3" a="1"/>
  <c r="B760" i="3" a="1"/>
  <c r="B761" i="3" a="1"/>
  <c r="B762" i="3" a="1"/>
  <c r="B763" i="3" a="1"/>
  <c r="B764" i="3" a="1"/>
  <c r="B765" i="3" a="1"/>
  <c r="B766" i="3" a="1"/>
  <c r="B767" i="3" a="1"/>
  <c r="B768" i="3" a="1"/>
  <c r="B769" i="3" a="1"/>
  <c r="B770" i="3" a="1"/>
  <c r="B771" i="3" a="1"/>
  <c r="B772" i="3" a="1"/>
  <c r="B773" i="3" a="1"/>
  <c r="B774" i="3" a="1"/>
  <c r="B775" i="3" a="1"/>
  <c r="B776" i="3" a="1"/>
  <c r="B777" i="3" a="1"/>
  <c r="B778" i="3" a="1"/>
  <c r="B779" i="3" a="1"/>
  <c r="B780" i="3" a="1"/>
  <c r="B781" i="3" a="1"/>
  <c r="B782" i="3" a="1"/>
  <c r="B783" i="3" a="1"/>
  <c r="B784" i="3" a="1"/>
  <c r="B785" i="3" a="1"/>
  <c r="B786" i="3" a="1"/>
  <c r="B787" i="3" a="1"/>
  <c r="B788" i="3" a="1"/>
  <c r="B789" i="3" a="1"/>
  <c r="B790" i="3" a="1"/>
  <c r="B791" i="3" a="1"/>
  <c r="B792" i="3" a="1"/>
  <c r="B793" i="3" a="1"/>
  <c r="B794" i="3" a="1"/>
  <c r="B795" i="3" a="1"/>
  <c r="B796" i="3" a="1"/>
  <c r="B797" i="3" a="1"/>
  <c r="B798" i="3" a="1"/>
  <c r="B799" i="3" a="1"/>
  <c r="B800" i="3" a="1"/>
  <c r="B801" i="3" a="1"/>
  <c r="B802" i="3" a="1"/>
  <c r="B803" i="3" a="1"/>
  <c r="B804" i="3" a="1"/>
  <c r="B805" i="3" a="1"/>
  <c r="B806" i="3" a="1"/>
  <c r="B807" i="3" a="1"/>
  <c r="B808" i="3" a="1"/>
  <c r="B809" i="3" a="1"/>
  <c r="B810" i="3" a="1"/>
  <c r="B811" i="3" a="1"/>
  <c r="B812" i="3" a="1"/>
  <c r="B813" i="3" a="1"/>
  <c r="B814" i="3" a="1"/>
  <c r="B815" i="3" a="1"/>
  <c r="B816" i="3" a="1"/>
  <c r="B817" i="3" a="1"/>
  <c r="B818" i="3" a="1"/>
  <c r="B819" i="3" a="1"/>
  <c r="B820" i="3" a="1"/>
  <c r="B821" i="3" a="1"/>
  <c r="B822" i="3" a="1"/>
  <c r="B823" i="3" a="1"/>
  <c r="B824" i="3" a="1"/>
  <c r="B825" i="3" a="1"/>
  <c r="B826" i="3" a="1"/>
  <c r="B827" i="3" a="1"/>
  <c r="B828" i="3" a="1"/>
  <c r="B829" i="3" a="1"/>
  <c r="B830" i="3" a="1"/>
  <c r="B831" i="3" a="1"/>
  <c r="B832" i="3" a="1"/>
  <c r="B833" i="3" a="1"/>
  <c r="B834" i="3" a="1"/>
  <c r="B835" i="3" a="1"/>
  <c r="B836" i="3" a="1"/>
  <c r="B837" i="3" a="1"/>
  <c r="B838" i="3" a="1"/>
  <c r="B839" i="3" a="1"/>
  <c r="B840" i="3" a="1"/>
  <c r="B841" i="3" a="1"/>
  <c r="B842" i="3" a="1"/>
  <c r="B843" i="3" a="1"/>
  <c r="B844" i="3" a="1"/>
  <c r="B845" i="3" a="1"/>
  <c r="B846" i="3" a="1"/>
  <c r="B847" i="3" a="1"/>
  <c r="B848" i="3" a="1"/>
  <c r="B849" i="3" a="1"/>
  <c r="B850" i="3" a="1"/>
  <c r="B851" i="3" a="1"/>
  <c r="B852" i="3" a="1"/>
  <c r="B853" i="3" a="1"/>
  <c r="B854" i="3" a="1"/>
  <c r="B855" i="3" a="1"/>
  <c r="B856" i="3" a="1"/>
  <c r="B857" i="3" a="1"/>
  <c r="B858" i="3" a="1"/>
  <c r="B859" i="3" a="1"/>
  <c r="B860" i="3" a="1"/>
  <c r="B861" i="3" a="1"/>
  <c r="B862" i="3" a="1"/>
  <c r="B863" i="3" a="1"/>
  <c r="B864" i="3" a="1"/>
  <c r="B865" i="3" a="1"/>
  <c r="B866" i="3" a="1"/>
  <c r="B867" i="3" a="1"/>
  <c r="B868" i="3" a="1"/>
  <c r="B869" i="3" a="1"/>
  <c r="B870" i="3" a="1"/>
  <c r="B871" i="3" a="1"/>
  <c r="B872" i="3" a="1"/>
  <c r="B873" i="3" a="1"/>
  <c r="B874" i="3" a="1"/>
  <c r="B875" i="3" a="1"/>
  <c r="B876" i="3" a="1"/>
  <c r="B877" i="3" a="1"/>
  <c r="B878" i="3" a="1"/>
  <c r="B879" i="3" a="1"/>
  <c r="B880" i="3" a="1"/>
  <c r="B881" i="3" a="1"/>
  <c r="B882" i="3" a="1"/>
  <c r="B883" i="3" a="1"/>
  <c r="B884" i="3" a="1"/>
  <c r="B885" i="3" a="1"/>
  <c r="B886" i="3" a="1"/>
  <c r="B887" i="3" a="1"/>
  <c r="B888" i="3" a="1"/>
  <c r="B889" i="3" a="1"/>
  <c r="B890" i="3" a="1"/>
  <c r="B891" i="3" a="1"/>
  <c r="B892" i="3" a="1"/>
  <c r="B893" i="3" a="1"/>
  <c r="B894" i="3" a="1"/>
  <c r="B895" i="3" a="1"/>
  <c r="B896" i="3" a="1"/>
  <c r="B897" i="3" a="1"/>
  <c r="B898" i="3" a="1"/>
  <c r="B899" i="3" a="1"/>
  <c r="B900" i="3" a="1"/>
  <c r="B901" i="3" a="1"/>
  <c r="B902" i="3" a="1"/>
  <c r="B903" i="3" a="1"/>
  <c r="B904" i="3" a="1"/>
  <c r="B905" i="3" a="1"/>
  <c r="B906" i="3" a="1"/>
  <c r="B907" i="3" a="1"/>
  <c r="B908" i="3" a="1"/>
  <c r="B909" i="3" a="1"/>
  <c r="B910" i="3" a="1"/>
  <c r="B911" i="3" a="1"/>
  <c r="B912" i="3" a="1"/>
  <c r="B913" i="3" a="1"/>
  <c r="B914" i="3" a="1"/>
  <c r="B915" i="3" a="1"/>
  <c r="B916" i="3" a="1"/>
  <c r="B917" i="3" a="1"/>
  <c r="B918" i="3" a="1"/>
  <c r="B919" i="3" a="1"/>
  <c r="B920" i="3" a="1"/>
  <c r="B921" i="3" a="1"/>
  <c r="B922" i="3" a="1"/>
  <c r="B923" i="3" a="1"/>
  <c r="B924" i="3" a="1"/>
  <c r="B925" i="3" a="1"/>
  <c r="B926" i="3" a="1"/>
  <c r="B927" i="3" a="1"/>
  <c r="B928" i="3" a="1"/>
  <c r="B929" i="3" a="1"/>
  <c r="B930" i="3" a="1"/>
  <c r="B931" i="3" a="1"/>
  <c r="B932" i="3" a="1"/>
  <c r="B933" i="3" a="1"/>
  <c r="B934" i="3" a="1"/>
  <c r="B935" i="3" a="1"/>
  <c r="B936" i="3" a="1"/>
  <c r="B937" i="3" a="1"/>
  <c r="B938" i="3" a="1"/>
  <c r="B939" i="3" a="1"/>
  <c r="B940" i="3" a="1"/>
  <c r="B941" i="3" a="1"/>
  <c r="B942" i="3" a="1"/>
  <c r="B943" i="3" a="1"/>
  <c r="B944" i="3" a="1"/>
  <c r="B945" i="3" a="1"/>
  <c r="B946" i="3" a="1"/>
  <c r="B947" i="3" a="1"/>
  <c r="B948" i="3" a="1"/>
  <c r="B949" i="3" a="1"/>
  <c r="B950" i="3" a="1"/>
  <c r="B951" i="3" a="1"/>
  <c r="B952" i="3" a="1"/>
  <c r="B953" i="3" a="1"/>
  <c r="B954" i="3" a="1"/>
  <c r="B955" i="3" a="1"/>
  <c r="B956" i="3" a="1"/>
  <c r="B957" i="3" a="1"/>
  <c r="B958" i="3" a="1"/>
  <c r="B959" i="3" a="1"/>
  <c r="B960" i="3" a="1"/>
  <c r="B961" i="3" a="1"/>
  <c r="B962" i="3" a="1"/>
  <c r="B963" i="3" a="1"/>
  <c r="B964" i="3" a="1"/>
  <c r="B965" i="3" a="1"/>
  <c r="B966" i="3" a="1"/>
  <c r="B967" i="3" a="1"/>
  <c r="B968" i="3" a="1"/>
  <c r="B969" i="3" a="1"/>
  <c r="B970" i="3" a="1"/>
  <c r="B971" i="3" a="1"/>
  <c r="B972" i="3" a="1"/>
  <c r="B973" i="3" a="1"/>
  <c r="B974" i="3" a="1"/>
  <c r="B975" i="3" a="1"/>
  <c r="B976" i="3" a="1"/>
  <c r="B977" i="3" a="1"/>
  <c r="B978" i="3" a="1"/>
  <c r="B979" i="3" a="1"/>
  <c r="B980" i="3" a="1"/>
  <c r="B981" i="3" a="1"/>
  <c r="B982" i="3" a="1"/>
  <c r="B983" i="3" a="1"/>
  <c r="B984" i="3" a="1"/>
  <c r="B985" i="3" a="1"/>
  <c r="B986" i="3" a="1"/>
  <c r="B987" i="3" a="1"/>
  <c r="B988" i="3" a="1"/>
  <c r="B989" i="3" a="1"/>
  <c r="B990" i="3" a="1"/>
  <c r="B991" i="3" a="1"/>
  <c r="B992" i="3" a="1"/>
  <c r="B993" i="3" a="1"/>
  <c r="B994" i="3" a="1"/>
  <c r="B995" i="3" a="1"/>
  <c r="B996" i="3" a="1"/>
  <c r="B997" i="3" a="1"/>
  <c r="B998" i="3" a="1"/>
  <c r="B999" i="3" a="1"/>
  <c r="B1000" i="3" a="1"/>
  <c r="B1001" i="3" a="1"/>
  <c r="B1002" i="3" a="1"/>
  <c r="B1003" i="3" a="1"/>
  <c r="B1004" i="3" a="1"/>
  <c r="B1005" i="3" a="1"/>
  <c r="B1006" i="3" a="1"/>
  <c r="B1007" i="3" a="1"/>
  <c r="B1008" i="3" a="1"/>
  <c r="B1009" i="3" a="1"/>
  <c r="B1010" i="3" a="1"/>
  <c r="B1011" i="3" a="1"/>
  <c r="B1012" i="3" a="1"/>
  <c r="B1013" i="3" a="1"/>
  <c r="B1014" i="3" a="1"/>
  <c r="B1015" i="3" a="1"/>
  <c r="B1016" i="3" a="1"/>
  <c r="B1017" i="3" a="1"/>
  <c r="B1018" i="3" a="1"/>
  <c r="B1019" i="3" a="1"/>
  <c r="B1020" i="3" a="1"/>
  <c r="B1021" i="3" a="1"/>
  <c r="B1022" i="3" a="1"/>
  <c r="B1023" i="3" a="1"/>
  <c r="B1024" i="3" a="1"/>
  <c r="B1025" i="3" a="1"/>
  <c r="B1026" i="3" a="1"/>
  <c r="B1027" i="3" a="1"/>
  <c r="B1028" i="3" a="1"/>
  <c r="B1029" i="3" a="1"/>
  <c r="B1030" i="3" a="1"/>
  <c r="B1031" i="3" a="1"/>
  <c r="B1032" i="3" a="1"/>
  <c r="B1033" i="3" a="1"/>
  <c r="B1034" i="3" a="1"/>
  <c r="B1035" i="3" a="1"/>
  <c r="B1036" i="3" a="1"/>
  <c r="B1037" i="3" a="1"/>
  <c r="B1038" i="3" a="1"/>
  <c r="B1039" i="3" a="1"/>
  <c r="B1040" i="3" a="1"/>
  <c r="B1041" i="3" a="1"/>
  <c r="B1042" i="3" a="1"/>
  <c r="B1043" i="3" a="1"/>
  <c r="B1044" i="3" a="1"/>
  <c r="B1045" i="3" a="1"/>
  <c r="B1046" i="3" a="1"/>
  <c r="D37" i="3"/>
  <c r="D49" i="3"/>
  <c r="D8" i="3"/>
  <c r="D23" i="3"/>
  <c r="D12" i="3"/>
  <c r="D10" i="3"/>
  <c r="D6" i="3"/>
  <c r="D22" i="3"/>
  <c r="D18" i="3"/>
  <c r="D21" i="3"/>
  <c r="D24" i="3"/>
  <c r="D25" i="3"/>
  <c r="D38" i="3"/>
  <c r="D26" i="3"/>
  <c r="D13" i="3"/>
  <c r="D5" i="3"/>
  <c r="D16" i="3"/>
  <c r="D14" i="3"/>
  <c r="D15" i="3"/>
  <c r="D19" i="3"/>
  <c r="D17" i="3"/>
  <c r="D81" i="3"/>
  <c r="D39" i="3"/>
  <c r="D7" i="3"/>
  <c r="D9" i="3"/>
  <c r="D11" i="3"/>
  <c r="D69" i="3"/>
  <c r="D3" i="3"/>
  <c r="D91" i="3"/>
  <c r="D20" i="3"/>
  <c r="D4" i="3"/>
  <c r="D31" i="3"/>
  <c r="D32" i="3"/>
  <c r="D40" i="3"/>
  <c r="D27" i="3"/>
  <c r="D28" i="3"/>
  <c r="D29" i="3"/>
  <c r="D30" i="3"/>
  <c r="D33" i="3"/>
  <c r="D41" i="3"/>
  <c r="D34" i="3"/>
  <c r="D42" i="3"/>
  <c r="D35" i="3"/>
  <c r="D43" i="3"/>
  <c r="D44" i="3"/>
  <c r="D50" i="3"/>
  <c r="D70" i="3"/>
  <c r="D82" i="3"/>
  <c r="D92" i="3"/>
  <c r="D51" i="3"/>
  <c r="D52" i="3"/>
  <c r="D71" i="3"/>
  <c r="D36" i="3"/>
  <c r="D45" i="3"/>
  <c r="D46" i="3"/>
  <c r="D53" i="3"/>
  <c r="D72" i="3"/>
  <c r="D83" i="3"/>
  <c r="D54" i="3"/>
  <c r="D55" i="3"/>
  <c r="D47" i="3"/>
  <c r="D48" i="3"/>
  <c r="D56" i="3"/>
  <c r="D57" i="3"/>
  <c r="D73" i="3"/>
  <c r="D61" i="3"/>
  <c r="D62" i="3"/>
  <c r="D63" i="3"/>
  <c r="D64" i="3"/>
  <c r="D58" i="3"/>
  <c r="D84" i="3"/>
  <c r="D93" i="3"/>
  <c r="D85" i="3"/>
  <c r="D86" i="3"/>
  <c r="D65" i="3"/>
  <c r="D66" i="3"/>
  <c r="D67" i="3"/>
  <c r="D59" i="3"/>
  <c r="D60" i="3"/>
  <c r="D68" i="3"/>
  <c r="D74" i="3"/>
  <c r="D75" i="3"/>
  <c r="D76" i="3"/>
  <c r="D87" i="3"/>
  <c r="D78" i="3"/>
  <c r="D79" i="3"/>
  <c r="D80" i="3"/>
  <c r="D77" i="3"/>
  <c r="D88" i="3"/>
  <c r="D89" i="3"/>
  <c r="D94" i="3"/>
  <c r="D95" i="3"/>
  <c r="D90" i="3"/>
  <c r="D96" i="3"/>
  <c r="D97" i="3"/>
  <c r="D98" i="3"/>
  <c r="D99" i="3"/>
  <c r="D171" i="3"/>
  <c r="D160" i="3"/>
  <c r="D106" i="3"/>
  <c r="D147" i="3"/>
  <c r="D107" i="3"/>
  <c r="D161" i="3"/>
  <c r="D148" i="3"/>
  <c r="D157" i="3"/>
  <c r="D162" i="3"/>
  <c r="D170" i="3"/>
  <c r="D149" i="3"/>
  <c r="D150" i="3"/>
  <c r="D151" i="3"/>
  <c r="D126" i="3"/>
  <c r="D113" i="3"/>
  <c r="D152" i="3"/>
  <c r="D176" i="3"/>
  <c r="D177" i="3"/>
  <c r="D114" i="3"/>
  <c r="D127" i="3"/>
  <c r="D135" i="3"/>
  <c r="D115" i="3"/>
  <c r="D159" i="3"/>
  <c r="D184" i="3"/>
  <c r="D163" i="3"/>
  <c r="D172" i="3"/>
  <c r="D117" i="3"/>
  <c r="D119" i="3"/>
  <c r="D118" i="3"/>
  <c r="D136" i="3"/>
  <c r="D142" i="3"/>
  <c r="D153" i="3"/>
  <c r="D120" i="3"/>
  <c r="D143" i="3"/>
  <c r="D144" i="3"/>
  <c r="D164" i="3"/>
  <c r="D165" i="3"/>
  <c r="D146" i="3"/>
  <c r="D154" i="3"/>
  <c r="D121" i="3"/>
  <c r="D122" i="3"/>
  <c r="D123" i="3"/>
  <c r="D178" i="3"/>
  <c r="D181" i="3"/>
  <c r="D124" i="3"/>
  <c r="D128" i="3"/>
  <c r="D129" i="3"/>
  <c r="D130" i="3"/>
  <c r="D131" i="3"/>
  <c r="D132" i="3"/>
  <c r="D137" i="3"/>
  <c r="D138" i="3"/>
  <c r="D155" i="3"/>
  <c r="D156" i="3"/>
  <c r="D145" i="3"/>
  <c r="D158" i="3"/>
  <c r="D166" i="3"/>
  <c r="D173" i="3"/>
  <c r="D167" i="3"/>
  <c r="D182" i="3"/>
  <c r="D168" i="3"/>
  <c r="D174" i="3"/>
  <c r="D179" i="3"/>
  <c r="D169" i="3"/>
  <c r="D175" i="3"/>
  <c r="D183" i="3"/>
  <c r="D180" i="3"/>
  <c r="D185" i="3"/>
  <c r="D186" i="3"/>
  <c r="D133" i="3"/>
  <c r="D108" i="3"/>
  <c r="D116" i="3"/>
  <c r="D125" i="3"/>
  <c r="D139" i="3"/>
  <c r="D109" i="3"/>
  <c r="D110" i="3"/>
  <c r="D111" i="3"/>
  <c r="D134" i="3"/>
  <c r="D100" i="3"/>
  <c r="D112" i="3"/>
  <c r="D140" i="3"/>
  <c r="D101" i="3"/>
  <c r="D102" i="3"/>
  <c r="D103" i="3"/>
  <c r="D105" i="3"/>
  <c r="D104" i="3"/>
  <c r="D141" i="3"/>
  <c r="D283" i="3"/>
  <c r="D284" i="3"/>
  <c r="D190" i="3"/>
  <c r="D191" i="3"/>
  <c r="D237" i="3"/>
  <c r="D218" i="3"/>
  <c r="D219" i="3"/>
  <c r="D260" i="3"/>
  <c r="D192" i="3"/>
  <c r="D187" i="3"/>
  <c r="D280" i="3"/>
  <c r="D278" i="3"/>
  <c r="D281" i="3"/>
  <c r="D285" i="3"/>
  <c r="D216" i="3"/>
  <c r="D261" i="3"/>
  <c r="D220" i="3"/>
  <c r="D238" i="3"/>
  <c r="D193" i="3"/>
  <c r="D188" i="3"/>
  <c r="D282" i="3"/>
  <c r="D286" i="3"/>
  <c r="D287" i="3"/>
  <c r="D288" i="3"/>
  <c r="D289" i="3"/>
  <c r="D290" i="3"/>
  <c r="D291" i="3"/>
  <c r="D292" i="3"/>
  <c r="D296" i="3"/>
  <c r="D293" i="3"/>
  <c r="D294" i="3"/>
  <c r="D297" i="3"/>
  <c r="D221" i="3"/>
  <c r="D222" i="3"/>
  <c r="D239" i="3"/>
  <c r="D273" i="3"/>
  <c r="D275" i="3"/>
  <c r="D298" i="3"/>
  <c r="D301" i="3"/>
  <c r="D262" i="3"/>
  <c r="D194" i="3"/>
  <c r="D195" i="3"/>
  <c r="D201" i="3"/>
  <c r="D189" i="3"/>
  <c r="D196" i="3"/>
  <c r="D217" i="3"/>
  <c r="D199" i="3"/>
  <c r="D200" i="3"/>
  <c r="D197" i="3"/>
  <c r="D204" i="3"/>
  <c r="D223" i="3"/>
  <c r="D263" i="3"/>
  <c r="D224" i="3"/>
  <c r="D206" i="3"/>
  <c r="D225" i="3"/>
  <c r="D226" i="3"/>
  <c r="D207" i="3"/>
  <c r="D227" i="3"/>
  <c r="D240" i="3"/>
  <c r="D241" i="3"/>
  <c r="D264" i="3"/>
  <c r="D302" i="3"/>
  <c r="D242" i="3"/>
  <c r="D228" i="3"/>
  <c r="D229" i="3"/>
  <c r="D230" i="3"/>
  <c r="D231" i="3"/>
  <c r="D243" i="3"/>
  <c r="D244" i="3"/>
  <c r="D232" i="3"/>
  <c r="D245" i="3"/>
  <c r="D265" i="3"/>
  <c r="D233" i="3"/>
  <c r="D236" i="3"/>
  <c r="D246" i="3"/>
  <c r="D247" i="3"/>
  <c r="D266" i="3"/>
  <c r="D248" i="3"/>
  <c r="D249" i="3"/>
  <c r="D250" i="3"/>
  <c r="D251" i="3"/>
  <c r="D252" i="3"/>
  <c r="D253" i="3"/>
  <c r="D259" i="3"/>
  <c r="D234" i="3"/>
  <c r="D267" i="3"/>
  <c r="D274" i="3"/>
  <c r="D235" i="3"/>
  <c r="D254" i="3"/>
  <c r="D208" i="3"/>
  <c r="D268" i="3"/>
  <c r="D299" i="3"/>
  <c r="D303" i="3"/>
  <c r="D300" i="3"/>
  <c r="D269" i="3"/>
  <c r="D270" i="3"/>
  <c r="D255" i="3"/>
  <c r="D271" i="3"/>
  <c r="D272" i="3"/>
  <c r="D209" i="3"/>
  <c r="D304" i="3"/>
  <c r="D279" i="3"/>
  <c r="D202" i="3"/>
  <c r="D203" i="3"/>
  <c r="D277" i="3"/>
  <c r="D295" i="3"/>
  <c r="D276" i="3"/>
  <c r="D205" i="3"/>
  <c r="D210" i="3"/>
  <c r="D211" i="3"/>
  <c r="D256" i="3"/>
  <c r="D214" i="3"/>
  <c r="D212" i="3"/>
  <c r="D257" i="3"/>
  <c r="D213" i="3"/>
  <c r="D215" i="3"/>
  <c r="D258" i="3"/>
  <c r="D198" i="3"/>
  <c r="D319" i="3"/>
  <c r="D447" i="3"/>
  <c r="D442" i="3"/>
  <c r="D455" i="3"/>
  <c r="D466" i="3"/>
  <c r="D478" i="3"/>
  <c r="D320" i="3"/>
  <c r="D344" i="3"/>
  <c r="D494" i="3"/>
  <c r="D441" i="3"/>
  <c r="D435" i="3"/>
  <c r="D436" i="3"/>
  <c r="D364" i="3"/>
  <c r="D365" i="3"/>
  <c r="D390" i="3"/>
  <c r="D391" i="3"/>
  <c r="D443" i="3"/>
  <c r="D448" i="3"/>
  <c r="D362" i="3"/>
  <c r="D366" i="3"/>
  <c r="D388" i="3"/>
  <c r="D355" i="3"/>
  <c r="D389" i="3"/>
  <c r="D356" i="3"/>
  <c r="D403" i="3"/>
  <c r="D357" i="3"/>
  <c r="D444" i="3"/>
  <c r="D392" i="3"/>
  <c r="D393" i="3"/>
  <c r="D406" i="3"/>
  <c r="D401" i="3"/>
  <c r="D453" i="3"/>
  <c r="D394" i="3"/>
  <c r="D395" i="3"/>
  <c r="D396" i="3"/>
  <c r="D402" i="3"/>
  <c r="D407" i="3"/>
  <c r="D412" i="3"/>
  <c r="D429" i="3"/>
  <c r="D454" i="3"/>
  <c r="D449" i="3"/>
  <c r="D495" i="3"/>
  <c r="D408" i="3"/>
  <c r="D413" i="3"/>
  <c r="D418" i="3"/>
  <c r="D420" i="3"/>
  <c r="D358" i="3"/>
  <c r="D456" i="3"/>
  <c r="D457" i="3"/>
  <c r="D467" i="3"/>
  <c r="D363" i="3"/>
  <c r="D414" i="3"/>
  <c r="D496" i="3"/>
  <c r="D497" i="3"/>
  <c r="D468" i="3"/>
  <c r="D359" i="3"/>
  <c r="D360" i="3"/>
  <c r="D361" i="3"/>
  <c r="D367" i="3"/>
  <c r="D498" i="3"/>
  <c r="D464" i="3"/>
  <c r="D465" i="3"/>
  <c r="D458" i="3"/>
  <c r="D469" i="3"/>
  <c r="D411" i="3"/>
  <c r="D470" i="3"/>
  <c r="D321" i="3"/>
  <c r="D345" i="3"/>
  <c r="D471" i="3"/>
  <c r="D472" i="3"/>
  <c r="D479" i="3"/>
  <c r="D377" i="3"/>
  <c r="D480" i="3"/>
  <c r="D473" i="3"/>
  <c r="D474" i="3"/>
  <c r="D477" i="3"/>
  <c r="D499" i="3"/>
  <c r="D305" i="3"/>
  <c r="D368" i="3"/>
  <c r="D378" i="3"/>
  <c r="D481" i="3"/>
  <c r="D430" i="3"/>
  <c r="D415" i="3"/>
  <c r="D482" i="3"/>
  <c r="D483" i="3"/>
  <c r="D416" i="3"/>
  <c r="D379" i="3"/>
  <c r="D306" i="3"/>
  <c r="D369" i="3"/>
  <c r="D307" i="3"/>
  <c r="D445" i="3"/>
  <c r="D450" i="3"/>
  <c r="D459" i="3"/>
  <c r="D489" i="3"/>
  <c r="D490" i="3"/>
  <c r="D491" i="3"/>
  <c r="D484" i="3"/>
  <c r="D492" i="3"/>
  <c r="D431" i="3"/>
  <c r="D493" i="3"/>
  <c r="D370" i="3"/>
  <c r="D485" i="3"/>
  <c r="D486" i="3"/>
  <c r="D500" i="3"/>
  <c r="D371" i="3"/>
  <c r="D501" i="3"/>
  <c r="D502" i="3"/>
  <c r="D505" i="3"/>
  <c r="D503" i="3"/>
  <c r="D374" i="3"/>
  <c r="D375" i="3"/>
  <c r="D376" i="3"/>
  <c r="D380" i="3"/>
  <c r="D487" i="3"/>
  <c r="D322" i="3"/>
  <c r="D346" i="3"/>
  <c r="D475" i="3"/>
  <c r="D506" i="3"/>
  <c r="D308" i="3"/>
  <c r="D323" i="3"/>
  <c r="D397" i="3"/>
  <c r="D381" i="3"/>
  <c r="D382" i="3"/>
  <c r="D309" i="3"/>
  <c r="D310" i="3"/>
  <c r="D311" i="3"/>
  <c r="D324" i="3"/>
  <c r="D347" i="3"/>
  <c r="D384" i="3"/>
  <c r="D398" i="3"/>
  <c r="D325" i="3"/>
  <c r="D404" i="3"/>
  <c r="D409" i="3"/>
  <c r="D419" i="3"/>
  <c r="D385" i="3"/>
  <c r="D386" i="3"/>
  <c r="D421" i="3"/>
  <c r="D326" i="3"/>
  <c r="D387" i="3"/>
  <c r="D327" i="3"/>
  <c r="D312" i="3"/>
  <c r="D328" i="3"/>
  <c r="D488" i="3"/>
  <c r="D405" i="3"/>
  <c r="D329" i="3"/>
  <c r="D313" i="3"/>
  <c r="D330" i="3"/>
  <c r="D460" i="3"/>
  <c r="D399" i="3"/>
  <c r="D331" i="3"/>
  <c r="D425" i="3"/>
  <c r="D422" i="3"/>
  <c r="D314" i="3"/>
  <c r="D315" i="3"/>
  <c r="D316" i="3"/>
  <c r="D332" i="3"/>
  <c r="D423" i="3"/>
  <c r="D317" i="3"/>
  <c r="D424" i="3"/>
  <c r="D318" i="3"/>
  <c r="D348" i="3"/>
  <c r="D437" i="3"/>
  <c r="D476" i="3"/>
  <c r="D333" i="3"/>
  <c r="D334" i="3"/>
  <c r="D335" i="3"/>
  <c r="D336" i="3"/>
  <c r="D337" i="3"/>
  <c r="D340" i="3"/>
  <c r="D341" i="3"/>
  <c r="D338" i="3"/>
  <c r="D342" i="3"/>
  <c r="D372" i="3"/>
  <c r="D383" i="3"/>
  <c r="D349" i="3"/>
  <c r="D343" i="3"/>
  <c r="D339" i="3"/>
  <c r="D373" i="3"/>
  <c r="D417" i="3"/>
  <c r="D410" i="3"/>
  <c r="D350" i="3"/>
  <c r="D351" i="3"/>
  <c r="D451" i="3"/>
  <c r="D461" i="3"/>
  <c r="D352" i="3"/>
  <c r="D353" i="3"/>
  <c r="D354" i="3"/>
  <c r="D504" i="3"/>
  <c r="D427" i="3"/>
  <c r="D428" i="3"/>
  <c r="D426" i="3"/>
  <c r="D432" i="3"/>
  <c r="D452" i="3"/>
  <c r="D433" i="3"/>
  <c r="D438" i="3"/>
  <c r="D462" i="3"/>
  <c r="D434" i="3"/>
  <c r="D463" i="3"/>
  <c r="D446" i="3"/>
  <c r="D439" i="3"/>
  <c r="D440" i="3"/>
  <c r="D400" i="3"/>
  <c r="D525" i="3"/>
  <c r="D510" i="3"/>
  <c r="D509" i="3"/>
  <c r="D511" i="3"/>
  <c r="D512" i="3"/>
  <c r="D514" i="3"/>
  <c r="D515" i="3"/>
  <c r="D521" i="3"/>
  <c r="D507" i="3"/>
  <c r="D508" i="3"/>
  <c r="D520" i="3"/>
  <c r="D522" i="3"/>
  <c r="D524" i="3"/>
  <c r="D523" i="3"/>
  <c r="D517" i="3"/>
  <c r="D513" i="3"/>
  <c r="D516" i="3"/>
  <c r="D526" i="3"/>
  <c r="D527" i="3"/>
  <c r="D528" i="3"/>
  <c r="D529" i="3"/>
  <c r="D530" i="3"/>
  <c r="D518" i="3"/>
  <c r="D519" i="3"/>
  <c r="D531" i="3"/>
  <c r="D532" i="3"/>
  <c r="D534" i="3"/>
  <c r="D533" i="3"/>
  <c r="D536" i="3"/>
  <c r="D538" i="3"/>
  <c r="D542" i="3"/>
  <c r="D540" i="3"/>
  <c r="D541" i="3"/>
  <c r="D566" i="3"/>
  <c r="D539" i="3"/>
  <c r="D543" i="3"/>
  <c r="D567" i="3"/>
  <c r="D544" i="3"/>
  <c r="D573" i="3"/>
  <c r="D560" i="3"/>
  <c r="D551" i="3"/>
  <c r="D545" i="3"/>
  <c r="D559" i="3"/>
  <c r="D546" i="3"/>
  <c r="D548" i="3"/>
  <c r="D549" i="3"/>
  <c r="D552" i="3"/>
  <c r="D547" i="3"/>
  <c r="D568" i="3"/>
  <c r="D574" i="3"/>
  <c r="D553" i="3"/>
  <c r="D561" i="3"/>
  <c r="D562" i="3"/>
  <c r="D563" i="3"/>
  <c r="D554" i="3"/>
  <c r="D555" i="3"/>
  <c r="D556" i="3"/>
  <c r="D564" i="3"/>
  <c r="D557" i="3"/>
  <c r="D569" i="3"/>
  <c r="D577" i="3"/>
  <c r="D558" i="3"/>
  <c r="D575" i="3"/>
  <c r="D550" i="3"/>
  <c r="D565" i="3"/>
  <c r="D570" i="3"/>
  <c r="D571" i="3"/>
  <c r="D537" i="3"/>
  <c r="D535" i="3"/>
  <c r="D572" i="3"/>
  <c r="D576" i="3"/>
  <c r="D599" i="3"/>
  <c r="D598" i="3"/>
  <c r="D600" i="3"/>
  <c r="D601" i="3"/>
  <c r="D603" i="3"/>
  <c r="D602" i="3"/>
  <c r="D585" i="3"/>
  <c r="D604" i="3"/>
  <c r="D582" i="3"/>
  <c r="D578" i="3"/>
  <c r="D579" i="3"/>
  <c r="D583" i="3"/>
  <c r="D580" i="3"/>
  <c r="D584" i="3"/>
  <c r="D589" i="3"/>
  <c r="D605" i="3"/>
  <c r="D586" i="3"/>
  <c r="D594" i="3"/>
  <c r="D597" i="3"/>
  <c r="D587" i="3"/>
  <c r="D590" i="3"/>
  <c r="D595" i="3"/>
  <c r="D592" i="3"/>
  <c r="D591" i="3"/>
  <c r="D606" i="3"/>
  <c r="D617" i="3"/>
  <c r="D607" i="3"/>
  <c r="D608" i="3"/>
  <c r="D609" i="3"/>
  <c r="D610" i="3"/>
  <c r="D611" i="3"/>
  <c r="D612" i="3"/>
  <c r="D613" i="3"/>
  <c r="D614" i="3"/>
  <c r="D615" i="3"/>
  <c r="D616" i="3"/>
  <c r="D618" i="3"/>
  <c r="D619" i="3"/>
  <c r="D596" i="3"/>
  <c r="D581" i="3"/>
  <c r="D593" i="3"/>
  <c r="D588" i="3"/>
  <c r="D620" i="3"/>
  <c r="D624" i="3"/>
  <c r="D621" i="3"/>
  <c r="D622" i="3"/>
  <c r="D625" i="3"/>
  <c r="D623" i="3"/>
  <c r="D626" i="3"/>
  <c r="D627" i="3"/>
  <c r="D628" i="3"/>
  <c r="D630" i="3"/>
  <c r="D633" i="3"/>
  <c r="D631" i="3"/>
  <c r="D632" i="3"/>
  <c r="D629" i="3"/>
  <c r="D634" i="3"/>
  <c r="D635" i="3"/>
  <c r="D639" i="3"/>
  <c r="D636" i="3"/>
  <c r="D640" i="3"/>
  <c r="D641" i="3"/>
  <c r="D642" i="3"/>
  <c r="D643" i="3"/>
  <c r="D645" i="3"/>
  <c r="D644" i="3"/>
  <c r="D637" i="3"/>
  <c r="D638" i="3"/>
  <c r="D647" i="3"/>
  <c r="D646" i="3"/>
  <c r="D648" i="3"/>
  <c r="D649" i="3"/>
  <c r="D650" i="3"/>
  <c r="D651" i="3"/>
  <c r="D652" i="3"/>
  <c r="D653" i="3"/>
  <c r="D654" i="3"/>
  <c r="D655" i="3"/>
  <c r="D656" i="3"/>
  <c r="D657" i="3"/>
  <c r="D658" i="3"/>
  <c r="D659" i="3"/>
  <c r="D662" i="3"/>
  <c r="D665" i="3"/>
  <c r="D660" i="3"/>
  <c r="D663" i="3"/>
  <c r="D661" i="3"/>
  <c r="D664"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DE7F9B-A01C-4681-9075-2D14AD1D35A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5C9536CD-869F-4030-8CCB-629D36D6B7E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226D17FC-C8CF-47D6-8B24-743FBB9AD7DC}" keepAlive="1" name="Query - SkiResort_ParkingRevenue_Raw" description="Connection to the 'SkiResort_ParkingRevenue_Raw' query in the workbook." type="5" refreshedVersion="8" background="1" saveData="1">
    <dbPr connection="Provider=Microsoft.Mashup.OleDb.1;Data Source=$Workbook$;Location=SkiResort_ParkingRevenue_Raw;Extended Properties=&quot;&quot;" command="SELECT * FROM [SkiResort_ParkingRevenue_Raw]"/>
  </connection>
  <connection id="4" xr16:uid="{9591588B-69EE-4B1C-BD83-A959E2960E9B}"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98758104-FEF5-4385-ABC8-288A74030F5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<sst xmlns="http://schemas.openxmlformats.org/spreadsheetml/2006/main" count="26217" uniqueCount="4305">
  <si>
    <t>Session Id</t>
  </si>
  <si>
    <t>Parking type</t>
  </si>
  <si>
    <t>Name</t>
  </si>
  <si>
    <t>Email</t>
  </si>
  <si>
    <t>Phone</t>
  </si>
  <si>
    <t>License Plate</t>
  </si>
  <si>
    <t>Vehicle Type</t>
  </si>
  <si>
    <t>Location</t>
  </si>
  <si>
    <t>Zone</t>
  </si>
  <si>
    <t>User Category</t>
  </si>
  <si>
    <t>Product Name</t>
  </si>
  <si>
    <t>Time Zone</t>
  </si>
  <si>
    <t>Session Date/Time</t>
  </si>
  <si>
    <t>Enter Date/Time</t>
  </si>
  <si>
    <t>Pay Date/Time</t>
  </si>
  <si>
    <t>Exit Date/Time</t>
  </si>
  <si>
    <t>Currency</t>
  </si>
  <si>
    <t>Parking Fee</t>
  </si>
  <si>
    <t>Overstay Penalty</t>
  </si>
  <si>
    <t>Subtotal</t>
  </si>
  <si>
    <t>Taxes</t>
  </si>
  <si>
    <t>Previous Paid Amount</t>
  </si>
  <si>
    <t>Refund</t>
  </si>
  <si>
    <t>Total Fee</t>
  </si>
  <si>
    <t>Tax mode</t>
  </si>
  <si>
    <t>Session Status</t>
  </si>
  <si>
    <t>Payment Status</t>
  </si>
  <si>
    <t>Payment Gateway</t>
  </si>
  <si>
    <t>Payment Type</t>
  </si>
  <si>
    <t>Transaction ID</t>
  </si>
  <si>
    <t>Payment Gateway Payment Status</t>
  </si>
  <si>
    <t>Session created by</t>
  </si>
  <si>
    <t>Notes</t>
  </si>
  <si>
    <t>101-0004-0186</t>
  </si>
  <si>
    <t>Prebook</t>
  </si>
  <si>
    <t>Amanda Knight</t>
  </si>
  <si>
    <t>amanda.knight@thesrq.com</t>
  </si>
  <si>
    <t/>
  </si>
  <si>
    <t>SRQ1</t>
  </si>
  <si>
    <t>CAR</t>
  </si>
  <si>
    <t>Marmot Basin Parking</t>
  </si>
  <si>
    <t>Daily Parking</t>
  </si>
  <si>
    <t>MT</t>
  </si>
  <si>
    <t>CAD</t>
  </si>
  <si>
    <t>Excluded</t>
  </si>
  <si>
    <t>Completed</t>
  </si>
  <si>
    <t>Paid</t>
  </si>
  <si>
    <t>pi_3OHCWDC8mwI7APee1sPJv31W</t>
  </si>
  <si>
    <t>101-0003-9823</t>
  </si>
  <si>
    <t>Darcy Butterworth</t>
  </si>
  <si>
    <t>darcy-butterworth@shaw.ca</t>
  </si>
  <si>
    <t>CHC6697</t>
  </si>
  <si>
    <t>pi_3ONzYWC8mwI7APee0xjBycKo</t>
  </si>
  <si>
    <t>101-0003-9824</t>
  </si>
  <si>
    <t>101-0003-9825</t>
  </si>
  <si>
    <t>Kelsie Zerebeski</t>
  </si>
  <si>
    <t>kelsiezerebeski@hotmail.com</t>
  </si>
  <si>
    <t>961NER</t>
  </si>
  <si>
    <t>pi_3OO1adC8mwI7APee0n86nqkg</t>
  </si>
  <si>
    <t>101-0003-9857</t>
  </si>
  <si>
    <t>Jinny Lim</t>
  </si>
  <si>
    <t>jynhee@gmail.com</t>
  </si>
  <si>
    <t>BPC8258</t>
  </si>
  <si>
    <t>pi_3OODADC8mwI7APee1rKzWNDv</t>
  </si>
  <si>
    <t>101-0003-9970</t>
  </si>
  <si>
    <t>Josie Gaillard</t>
  </si>
  <si>
    <t>jg48415@gmail.com</t>
  </si>
  <si>
    <t>379LPQ</t>
  </si>
  <si>
    <t>pi_3OONSlC8mwI7APee1M4m6ANM</t>
  </si>
  <si>
    <t>101-0003-9979</t>
  </si>
  <si>
    <t>Ryan Hessler</t>
  </si>
  <si>
    <t>ryan.hessler@gmail.com</t>
  </si>
  <si>
    <t>CMJ8294</t>
  </si>
  <si>
    <t>pi_3OOPOzC8mwI7APee1wZjKnfm</t>
  </si>
  <si>
    <t>101-0004-0076</t>
  </si>
  <si>
    <t>Jaimi Fraser</t>
  </si>
  <si>
    <t>jaimileighfraser@hotmail.com</t>
  </si>
  <si>
    <t>CLD0269</t>
  </si>
  <si>
    <t>pi_3OMdHVC8mwI7APee0cbKSisF</t>
  </si>
  <si>
    <t>101-0004-0114</t>
  </si>
  <si>
    <t>Pushpinder Kaur</t>
  </si>
  <si>
    <t>ppdhillon277@gmail.com</t>
  </si>
  <si>
    <t>L46084</t>
  </si>
  <si>
    <t>pi_3OQZCcC8mwI7APee076qzkg1</t>
  </si>
  <si>
    <t>Pushpinder  Kaur</t>
  </si>
  <si>
    <t>101-0004-0151</t>
  </si>
  <si>
    <t>Ashley Flemming</t>
  </si>
  <si>
    <t>a.flemming88@gmail.com</t>
  </si>
  <si>
    <t>BRC1358</t>
  </si>
  <si>
    <t>pi_3OQOZ9C8mwI7APee06imVQ4h</t>
  </si>
  <si>
    <t xml:space="preserve">Ashley  Flemming </t>
  </si>
  <si>
    <t>101-0004-0153</t>
  </si>
  <si>
    <t>scott yavis</t>
  </si>
  <si>
    <t>scottyavis@hotmail.com</t>
  </si>
  <si>
    <t>MG1796</t>
  </si>
  <si>
    <t>pi_3OQVvoC8mwI7APee006pSG6m</t>
  </si>
  <si>
    <t>101-0004-0154</t>
  </si>
  <si>
    <t>Vince Yap</t>
  </si>
  <si>
    <t>vinyap2005@gmail.com</t>
  </si>
  <si>
    <t>CBN2860</t>
  </si>
  <si>
    <t>pi_3OQtDNC8mwI7APee06OEXiGJ</t>
  </si>
  <si>
    <t>101-0004-0156</t>
  </si>
  <si>
    <t>Isla Campion</t>
  </si>
  <si>
    <t>campionisla@gmail.com</t>
  </si>
  <si>
    <t>A52540</t>
  </si>
  <si>
    <t>pi_3OQug2C8mwI7APee0H7Jygxd</t>
  </si>
  <si>
    <t>101-0004-0157</t>
  </si>
  <si>
    <t>Denise Pasieka</t>
  </si>
  <si>
    <t>denisep317@gmail.com</t>
  </si>
  <si>
    <t>YRC750</t>
  </si>
  <si>
    <t>pi_3OQusfC8mwI7APee1YN1Ot2y</t>
  </si>
  <si>
    <t>101-0004-0158</t>
  </si>
  <si>
    <t>Mathew Birt</t>
  </si>
  <si>
    <t>mathew.birt@gmail.com</t>
  </si>
  <si>
    <t>SX076R</t>
  </si>
  <si>
    <t>Cancelled</t>
  </si>
  <si>
    <t>Failed</t>
  </si>
  <si>
    <t>101-0004-0161</t>
  </si>
  <si>
    <t>Darren Isele</t>
  </si>
  <si>
    <t>darren.isele@gmail.com</t>
  </si>
  <si>
    <t>CRB1953</t>
  </si>
  <si>
    <t>pi_3OL5rnC8mwI7APee1h6UOSp0</t>
  </si>
  <si>
    <t>101-0004-0162</t>
  </si>
  <si>
    <t>Dale Durrance</t>
  </si>
  <si>
    <t>ddurrance1961@gmail.com</t>
  </si>
  <si>
    <t>BMM1371</t>
  </si>
  <si>
    <t>pi_3OLC5OC8mwI7APee1Q4l7MxQ</t>
  </si>
  <si>
    <t>101-0004-0167</t>
  </si>
  <si>
    <t>Lucy Soepenberg</t>
  </si>
  <si>
    <t>lucysoepenberg@gmail.com</t>
  </si>
  <si>
    <t>CGJ4082</t>
  </si>
  <si>
    <t>pi_3OOrvsC8mwI7APee1Slk0icj</t>
  </si>
  <si>
    <t>101-0004-0168</t>
  </si>
  <si>
    <t>101-0004-0169</t>
  </si>
  <si>
    <t>101-0004-0170</t>
  </si>
  <si>
    <t>Lok Man Norman Bo</t>
  </si>
  <si>
    <t>normbobo@gmail.com</t>
  </si>
  <si>
    <t>CMN8988</t>
  </si>
  <si>
    <t>pi_3OPyQCC8mwI7APee174nCX9P</t>
  </si>
  <si>
    <t>101-0004-0171</t>
  </si>
  <si>
    <t>pi_3OQEUhC8mwI7APee0mNkdyX7</t>
  </si>
  <si>
    <t>101-0004-0172</t>
  </si>
  <si>
    <t>Timothy Gillis</t>
  </si>
  <si>
    <t>tgillis71@gmail.com</t>
  </si>
  <si>
    <t>BDH6820</t>
  </si>
  <si>
    <t>pi_3OP6ZQC8mwI7APee0A9eFftf</t>
  </si>
  <si>
    <t>101-0004-0173</t>
  </si>
  <si>
    <t>Tim Strozen</t>
  </si>
  <si>
    <t>timothy.strozen@usask.ca</t>
  </si>
  <si>
    <t>510ILI</t>
  </si>
  <si>
    <t>pi_3OPCPKC8mwI7APee1gcdXyro</t>
  </si>
  <si>
    <t>101-0004-0174</t>
  </si>
  <si>
    <t>CMJ8293</t>
  </si>
  <si>
    <t>pi_3OEgawC8mwI7APee13XRbn6Y</t>
  </si>
  <si>
    <t>101-0004-0175</t>
  </si>
  <si>
    <t>pi_3OEgbrC8mwI7APee0srZ6tqT</t>
  </si>
  <si>
    <t>101-0004-0176</t>
  </si>
  <si>
    <t>101-0004-0180</t>
  </si>
  <si>
    <t>Timothy Verhaeghe</t>
  </si>
  <si>
    <t>timothyverhaeghe@gmail.com</t>
  </si>
  <si>
    <t>THERAGE</t>
  </si>
  <si>
    <t>pi_3OQDTWC8mwI7APee0V6GC02X</t>
  </si>
  <si>
    <t>101-0004-0181</t>
  </si>
  <si>
    <t>David Dalziel</t>
  </si>
  <si>
    <t>daviddalziel@hotmail.co.uk</t>
  </si>
  <si>
    <t>CPT1928</t>
  </si>
  <si>
    <t>pi_3OIysjC8mwI7APee0pHGnApU</t>
  </si>
  <si>
    <t>101-0004-0182</t>
  </si>
  <si>
    <t>Shaelyn Morrill</t>
  </si>
  <si>
    <t>s.morrill04@gmail.com</t>
  </si>
  <si>
    <t>CBL4537</t>
  </si>
  <si>
    <t>pi_3OS3dkC8mwI7APee0oNyq2GA</t>
  </si>
  <si>
    <t>101-0004-0183</t>
  </si>
  <si>
    <t>Patricia Waine</t>
  </si>
  <si>
    <t>pat17w@gmail.com</t>
  </si>
  <si>
    <t>CJY0623</t>
  </si>
  <si>
    <t>pi_3OJTn4C8mwI7APee1ihJPUM9</t>
  </si>
  <si>
    <t>101-0004-0187</t>
  </si>
  <si>
    <t>pi_3OKPckC8mwI7APee1ENf4jML</t>
  </si>
  <si>
    <t>101-0004-0188</t>
  </si>
  <si>
    <t>Bruce Kang</t>
  </si>
  <si>
    <t>bkang@ualberta.ca</t>
  </si>
  <si>
    <t>BRJ6201</t>
  </si>
  <si>
    <t>pi_3ORHU8C8mwI7APee1qGxnvaT</t>
  </si>
  <si>
    <t>101-0004-0189</t>
  </si>
  <si>
    <t>Igor Bogdanov</t>
  </si>
  <si>
    <t>qosmio.ca@gmail.com</t>
  </si>
  <si>
    <t>CLR5424</t>
  </si>
  <si>
    <t>pi_3ORM7SC8mwI7APee1H2G9IGc</t>
  </si>
  <si>
    <t xml:space="preserve">Igor  Bogdanov </t>
  </si>
  <si>
    <t>101-0004-0190</t>
  </si>
  <si>
    <t>Maryna Shashko</t>
  </si>
  <si>
    <t>shashko.marina@gmail.com</t>
  </si>
  <si>
    <t>CLW4323</t>
  </si>
  <si>
    <t>pi_3ORNiHC8mwI7APee02r6SrUh</t>
  </si>
  <si>
    <t>101-0004-0191</t>
  </si>
  <si>
    <t>pi_3OODCdC8mwI7APee1R2LJcjw</t>
  </si>
  <si>
    <t>101-0004-0192</t>
  </si>
  <si>
    <t>Mark Shteinberg</t>
  </si>
  <si>
    <t>mark.reg@gmail.com</t>
  </si>
  <si>
    <t>29N838</t>
  </si>
  <si>
    <t>pi_3OQhmKC8mwI7APee1CZAQ3Dc</t>
  </si>
  <si>
    <t>101-0004-0193</t>
  </si>
  <si>
    <t>pi_3OQw0PC8mwI7APee0WlB3fvb</t>
  </si>
  <si>
    <t>101-0004-0194</t>
  </si>
  <si>
    <t>101-0004-0195</t>
  </si>
  <si>
    <t>Kamyar Afshar</t>
  </si>
  <si>
    <t>kamimedicine@gmail.com</t>
  </si>
  <si>
    <t>CRN9721</t>
  </si>
  <si>
    <t>101-0004-0196</t>
  </si>
  <si>
    <t>101-0004-0197</t>
  </si>
  <si>
    <t>101-0004-0198</t>
  </si>
  <si>
    <t>101-0004-0199</t>
  </si>
  <si>
    <t>101-0004-0200</t>
  </si>
  <si>
    <t>101-0004-0201</t>
  </si>
  <si>
    <t>Kristy Geddes</t>
  </si>
  <si>
    <t>geddes.kristy@gmail.com</t>
  </si>
  <si>
    <t>CDX8850</t>
  </si>
  <si>
    <t>pi_3ORkE0C8mwI7APee1yJDA95T</t>
  </si>
  <si>
    <t>Kristy  Geddes</t>
  </si>
  <si>
    <t>101-0004-0202</t>
  </si>
  <si>
    <t>Zoie Sherstobetoff</t>
  </si>
  <si>
    <t>zlovescheer@gmail.com</t>
  </si>
  <si>
    <t>247NCL</t>
  </si>
  <si>
    <t>pi_3ORk8jC8mwI7APee0ZkTyulH</t>
  </si>
  <si>
    <t>101-0004-0203</t>
  </si>
  <si>
    <t>Stephen Wildridge</t>
  </si>
  <si>
    <t>wildridges@gmail.com</t>
  </si>
  <si>
    <t>CMC9823</t>
  </si>
  <si>
    <t>pi_3ORhIFC8mwI7APee0lwEaNVK</t>
  </si>
  <si>
    <t>101-0004-0204</t>
  </si>
  <si>
    <t>pi_3ORhJsC8mwI7APee1qOg0B5J</t>
  </si>
  <si>
    <t>101-0004-0205</t>
  </si>
  <si>
    <t>101-0004-0206</t>
  </si>
  <si>
    <t>Amanda Mrazek</t>
  </si>
  <si>
    <t>amanda.mrazek@hotmail.com</t>
  </si>
  <si>
    <t>RPG190</t>
  </si>
  <si>
    <t>pi_3ORhVVC8mwI7APee1Ow0MHXb</t>
  </si>
  <si>
    <t>101-0004-0207</t>
  </si>
  <si>
    <t>101-0004-0208</t>
  </si>
  <si>
    <t>scott morrow</t>
  </si>
  <si>
    <t>smorrow@420corp.ca</t>
  </si>
  <si>
    <t>AD7826</t>
  </si>
  <si>
    <t>pi_3ORjsPC8mwI7APee1r52Pld1</t>
  </si>
  <si>
    <t>101-0004-0209</t>
  </si>
  <si>
    <t>MURRAY DEWAR</t>
  </si>
  <si>
    <t>wingsred9@gmail.com</t>
  </si>
  <si>
    <t>CLP5508</t>
  </si>
  <si>
    <t>pi_3OMJz8C8mwI7APee1quf0sJv</t>
  </si>
  <si>
    <t>101-0004-0210</t>
  </si>
  <si>
    <t>Rachel Sydora</t>
  </si>
  <si>
    <t>sydorarachel@hotmail.com</t>
  </si>
  <si>
    <t>BJL5147</t>
  </si>
  <si>
    <t>pi_3ORoybC8mwI7APee0Rl1vt8v</t>
  </si>
  <si>
    <t>101-0004-0211</t>
  </si>
  <si>
    <t>Erin Kelly</t>
  </si>
  <si>
    <t>erinkellytellez@gmail.com</t>
  </si>
  <si>
    <t>CJB6701</t>
  </si>
  <si>
    <t>pi_3ORpXcC8mwI7APee1m5CWjPx</t>
  </si>
  <si>
    <t>101-0004-0212</t>
  </si>
  <si>
    <t>Lisa Kimmerly</t>
  </si>
  <si>
    <t>lisalmkimmerly@gmail.com</t>
  </si>
  <si>
    <t>BYB9824</t>
  </si>
  <si>
    <t xml:space="preserve">Lisa Kimmerly </t>
  </si>
  <si>
    <t>101-0004-0213</t>
  </si>
  <si>
    <t>Shane Young</t>
  </si>
  <si>
    <t>shanejyoung@me.com</t>
  </si>
  <si>
    <t>WLB783</t>
  </si>
  <si>
    <t>pi_3OS2opC8mwI7APee0gRhW7JJ</t>
  </si>
  <si>
    <t>101-0004-0214</t>
  </si>
  <si>
    <t>pi_3OS2wOC8mwI7APee1L9BRpEh</t>
  </si>
  <si>
    <t>101-0004-0215</t>
  </si>
  <si>
    <t>pi_3OS0WZC8mwI7APee0nEzsgdw</t>
  </si>
  <si>
    <t>101-0004-0216</t>
  </si>
  <si>
    <t>101-0004-0217</t>
  </si>
  <si>
    <t>Morgan Pettipas</t>
  </si>
  <si>
    <t>pettipasmorgan@gmail.com</t>
  </si>
  <si>
    <t>JIMBOY</t>
  </si>
  <si>
    <t>pi_3OQL1kC8mwI7APee17H83owu</t>
  </si>
  <si>
    <t>101-0004-0218</t>
  </si>
  <si>
    <t>James Dye</t>
  </si>
  <si>
    <t>jcdye@sympatico.ca</t>
  </si>
  <si>
    <t>A94259</t>
  </si>
  <si>
    <t>pi_3ORybKC8mwI7APee0XkEbp8X</t>
  </si>
  <si>
    <t>101-0004-0219</t>
  </si>
  <si>
    <t>pi_3OS7NiC8mwI7APee1vvINg7b</t>
  </si>
  <si>
    <t>101-0004-0220</t>
  </si>
  <si>
    <t>pi_3OS9TuC8mwI7APee1q2zbpvY</t>
  </si>
  <si>
    <t>101-0004-0221</t>
  </si>
  <si>
    <t>Evelyn Li</t>
  </si>
  <si>
    <t>ev88@hotmail.com</t>
  </si>
  <si>
    <t>BSX7668</t>
  </si>
  <si>
    <t>pi_3OSBriC8mwI7APee1F57yxBV</t>
  </si>
  <si>
    <t>101-0004-0222</t>
  </si>
  <si>
    <t>Marcus Jung</t>
  </si>
  <si>
    <t>jungmarcusjung@gmail.com</t>
  </si>
  <si>
    <t>CGD0528</t>
  </si>
  <si>
    <t>pi_3OSLKRC8mwI7APee0iSIY8bP</t>
  </si>
  <si>
    <t>101-0004-0223</t>
  </si>
  <si>
    <t>Carol Bennett</t>
  </si>
  <si>
    <t>cjtm4@shaw.ca</t>
  </si>
  <si>
    <t>BSF2571</t>
  </si>
  <si>
    <t>pi_3OSLPnC8mwI7APee0uu7DhwS</t>
  </si>
  <si>
    <t xml:space="preserve">Carol Bennett </t>
  </si>
  <si>
    <t>101-0004-0224</t>
  </si>
  <si>
    <t>CPT7897</t>
  </si>
  <si>
    <t>pi_3OSLSvC8mwI7APee1448ENIs</t>
  </si>
  <si>
    <t>101-0004-0225</t>
  </si>
  <si>
    <t>JIAYING REN</t>
  </si>
  <si>
    <t>mandyjren0405@gmail.com</t>
  </si>
  <si>
    <t>CRC9718</t>
  </si>
  <si>
    <t>pi_3OSLjwC8mwI7APee0F7ehZJv</t>
  </si>
  <si>
    <t>101-0004-0226</t>
  </si>
  <si>
    <t>Ashley Wicklund</t>
  </si>
  <si>
    <t>ashleywicklund@hotmail.com</t>
  </si>
  <si>
    <t>CMN4649</t>
  </si>
  <si>
    <t>pi_3OSMMKC8mwI7APee1rE5cyhM</t>
  </si>
  <si>
    <t xml:space="preserve">Ashley Wicklund </t>
  </si>
  <si>
    <t>101-0004-0227</t>
  </si>
  <si>
    <t>Ryan Havens</t>
  </si>
  <si>
    <t>g_havens@hotmail.com</t>
  </si>
  <si>
    <t>CLZ3314</t>
  </si>
  <si>
    <t>pi_3OSLvUC8mwI7APee0Sif2BG1</t>
  </si>
  <si>
    <t>101-0004-0228</t>
  </si>
  <si>
    <t>101-0004-0229</t>
  </si>
  <si>
    <t>Russell Truesdell</t>
  </si>
  <si>
    <t>russelltruesdell@gmail.com</t>
  </si>
  <si>
    <t>CBX8857</t>
  </si>
  <si>
    <t>pi_3OSO6qC8mwI7APee02EqKEsb</t>
  </si>
  <si>
    <t>101-0004-0230</t>
  </si>
  <si>
    <t>Lucas Ethier</t>
  </si>
  <si>
    <t>lucasethier@gmail.com</t>
  </si>
  <si>
    <t>CGS9164</t>
  </si>
  <si>
    <t>pi_3OSOvRC8mwI7APee0MSM7P4H</t>
  </si>
  <si>
    <t>101-0004-0231</t>
  </si>
  <si>
    <t>Chris flaman</t>
  </si>
  <si>
    <t>flamanchris@gmail.com</t>
  </si>
  <si>
    <t>CFJ0279</t>
  </si>
  <si>
    <t>101-0004-0232</t>
  </si>
  <si>
    <t>101-0004-0233</t>
  </si>
  <si>
    <t>101-0004-0234</t>
  </si>
  <si>
    <t>Shan Guna</t>
  </si>
  <si>
    <t>gshanmg@gmail.com</t>
  </si>
  <si>
    <t>CBW2929</t>
  </si>
  <si>
    <t>pi_3OSP4fC8mwI7APee1TmS0AOV</t>
  </si>
  <si>
    <t>101-0004-0235</t>
  </si>
  <si>
    <t>Clint Hoshowski</t>
  </si>
  <si>
    <t>clinthoshowski@gmail.com</t>
  </si>
  <si>
    <t>BJZ3813</t>
  </si>
  <si>
    <t>pi_3ON7LSC8mwI7APee0VdOaH3R</t>
  </si>
  <si>
    <t>101-0004-0236</t>
  </si>
  <si>
    <t>pi_3OSOosC8mwI7APee19Pi725Y</t>
  </si>
  <si>
    <t>101-0004-0237</t>
  </si>
  <si>
    <t>Justin Patrie</t>
  </si>
  <si>
    <t>justinpatrie@gmail.com</t>
  </si>
  <si>
    <t>K76518</t>
  </si>
  <si>
    <t>pi_3OSUGYC8mwI7APee0WQgztsW</t>
  </si>
  <si>
    <t>101-0004-0238</t>
  </si>
  <si>
    <t>Candice Hartwell</t>
  </si>
  <si>
    <t>chartwell.yoga@gmail.com</t>
  </si>
  <si>
    <t>50M296</t>
  </si>
  <si>
    <t>pi_3OSWljC8mwI7APee0MHyzao0</t>
  </si>
  <si>
    <t>101-0004-0239</t>
  </si>
  <si>
    <t>pi_3OSYD7C8mwI7APee11vcrHL1</t>
  </si>
  <si>
    <t>101-0004-0240</t>
  </si>
  <si>
    <t>Jill Davies-Shaw</t>
  </si>
  <si>
    <t>jilldaviesshaw@gmail.com</t>
  </si>
  <si>
    <t>BSS7923</t>
  </si>
  <si>
    <t>pi_3OSaErC8mwI7APee0z06frlF</t>
  </si>
  <si>
    <t>101-0004-0241</t>
  </si>
  <si>
    <t>pi_3OShJJC8mwI7APee0SwLvWNh</t>
  </si>
  <si>
    <t>101-0004-0242</t>
  </si>
  <si>
    <t>pi_3OShKmC8mwI7APee1OPkxISK</t>
  </si>
  <si>
    <t>101-0004-0243</t>
  </si>
  <si>
    <t>VKT11</t>
  </si>
  <si>
    <t>pi_3OShtlC8mwI7APee1LVqyfpf</t>
  </si>
  <si>
    <t>101-0004-0244</t>
  </si>
  <si>
    <t>Roger Lauck</t>
  </si>
  <si>
    <t>rogerdouglaslauck@gmail.com</t>
  </si>
  <si>
    <t>CJR7646</t>
  </si>
  <si>
    <t>pi_3OPqGKC8mwI7APee0TzBjJvy</t>
  </si>
  <si>
    <t>101-0004-0245</t>
  </si>
  <si>
    <t>Kerry Isaac</t>
  </si>
  <si>
    <t>kerrypisaac@hotmail.com</t>
  </si>
  <si>
    <t>CLY0626</t>
  </si>
  <si>
    <t>pi_3OSrBLC8mwI7APee0TAcPyqc</t>
  </si>
  <si>
    <t>101-0004-0246</t>
  </si>
  <si>
    <t>pi_3OSrLWC8mwI7APee0UUbp0n3</t>
  </si>
  <si>
    <t>101-0004-0247</t>
  </si>
  <si>
    <t>pi_3OT7fSC8mwI7APee0runA86c</t>
  </si>
  <si>
    <t>101-0004-0248</t>
  </si>
  <si>
    <t>Colby Mahon</t>
  </si>
  <si>
    <t>colby.mahon13@gmail.com</t>
  </si>
  <si>
    <t>CHH3534</t>
  </si>
  <si>
    <t>pi_3OT7vkC8mwI7APee1FdhuLGO</t>
  </si>
  <si>
    <t>101-0004-0249</t>
  </si>
  <si>
    <t>Trevor Kublik</t>
  </si>
  <si>
    <t>tkublik@hotmail.com</t>
  </si>
  <si>
    <t>BNW2970</t>
  </si>
  <si>
    <t>pi_3OQurZC8mwI7APee1PJ1fRCH</t>
  </si>
  <si>
    <t xml:space="preserve">Trevor  Kublik </t>
  </si>
  <si>
    <t>101-0004-0251</t>
  </si>
  <si>
    <t>pi_3OTDgVC8mwI7APee1z9Bc0nu</t>
  </si>
  <si>
    <t>101-0004-0252</t>
  </si>
  <si>
    <t>Laura Nishihama</t>
  </si>
  <si>
    <t>lk.nishihama@gmail.com</t>
  </si>
  <si>
    <t>CHEC290</t>
  </si>
  <si>
    <t>pi_3OTEUXC8mwI7APee0hAvxhrA</t>
  </si>
  <si>
    <t>101-0004-0253</t>
  </si>
  <si>
    <t>pi_3OTHgQC8mwI7APee0x35QBHi</t>
  </si>
  <si>
    <t>101-0004-0254</t>
  </si>
  <si>
    <t>Michelle Olah</t>
  </si>
  <si>
    <t>chelle.1884@gmail.com</t>
  </si>
  <si>
    <t>ZPZ532</t>
  </si>
  <si>
    <t>pi_3OTRoFC8mwI7APee1rvUTyvW</t>
  </si>
  <si>
    <t>101-0003-9714</t>
  </si>
  <si>
    <t>Jan Olson</t>
  </si>
  <si>
    <t>janolson31@gmail.com</t>
  </si>
  <si>
    <t>BXR9259</t>
  </si>
  <si>
    <t>pi_3OZKKkC8mwI7APee0r06qCtx</t>
  </si>
  <si>
    <t>101-0003-9715</t>
  </si>
  <si>
    <t>Yana Davydenko</t>
  </si>
  <si>
    <t>yanixxx000@gmail.com</t>
  </si>
  <si>
    <t>CPX2129</t>
  </si>
  <si>
    <t>pi_3OcxxKC8mwI7APee1BfKBLaR</t>
  </si>
  <si>
    <t xml:space="preserve">Yana Davydenko </t>
  </si>
  <si>
    <t>101-0003-9716</t>
  </si>
  <si>
    <t>Erin Donovan</t>
  </si>
  <si>
    <t>abuachaillban@gmail.com</t>
  </si>
  <si>
    <t>CWP4410</t>
  </si>
  <si>
    <t>pi_3OUATfC8mwI7APee1qncHv4M</t>
  </si>
  <si>
    <t>101-0003-9717</t>
  </si>
  <si>
    <t>Charlotte Hamilton</t>
  </si>
  <si>
    <t>foxfyre2204@gmail.com</t>
  </si>
  <si>
    <t>BKF2503</t>
  </si>
  <si>
    <t>pi_3OaBRFC8mwI7APee0BCbW8LW</t>
  </si>
  <si>
    <t>101-0003-9718</t>
  </si>
  <si>
    <t>Jason Richmond</t>
  </si>
  <si>
    <t>jasongrichmond@gmail.com</t>
  </si>
  <si>
    <t>CLR2858</t>
  </si>
  <si>
    <t>pi_3OUDJOC8mwI7APee19vDxUx3</t>
  </si>
  <si>
    <t>101-0003-9719</t>
  </si>
  <si>
    <t>Volodymyr Bilyi</t>
  </si>
  <si>
    <t>parabely1@gmail.com</t>
  </si>
  <si>
    <t>CNK7385</t>
  </si>
  <si>
    <t>pi_3Od1z7C8mwI7APee1Qrg0ER9</t>
  </si>
  <si>
    <t>101-0003-9720</t>
  </si>
  <si>
    <t>Robyn O'Neill</t>
  </si>
  <si>
    <t>robynoneill@live.ca</t>
  </si>
  <si>
    <t>CPH1367</t>
  </si>
  <si>
    <t>pi_3OaLRPC8mwI7APee0kF3rkXp</t>
  </si>
  <si>
    <t>101-0003-9721</t>
  </si>
  <si>
    <t>101-0003-9722</t>
  </si>
  <si>
    <t>Hannah Bather</t>
  </si>
  <si>
    <t>hannahbather@hotmail.com</t>
  </si>
  <si>
    <t>BVR1463</t>
  </si>
  <si>
    <t>pi_3OdEqQC8mwI7APee0CG6w2ye</t>
  </si>
  <si>
    <t>101-0003-9723</t>
  </si>
  <si>
    <t>Todd Hagen</t>
  </si>
  <si>
    <t>todd.hagen@kerb.works</t>
  </si>
  <si>
    <t>CPS5607</t>
  </si>
  <si>
    <t>pi_3OdIYOC8mwI7APee01YHZBLV</t>
  </si>
  <si>
    <t>101-0003-9724</t>
  </si>
  <si>
    <t>Naomi Benavides</t>
  </si>
  <si>
    <t>nbenavid@shaw.ca</t>
  </si>
  <si>
    <t>BTW7359</t>
  </si>
  <si>
    <t>pi_3OaNICC8mwI7APee0BzIHc6w</t>
  </si>
  <si>
    <t>101-0003-9726</t>
  </si>
  <si>
    <t>Brayden Teasdale</t>
  </si>
  <si>
    <t>braydenteasdale14@gmail.com</t>
  </si>
  <si>
    <t>CNK8910</t>
  </si>
  <si>
    <t>pi_3OaNl4C8mwI7APee1xOwANhi</t>
  </si>
  <si>
    <t>101-0003-9728</t>
  </si>
  <si>
    <t>Mike Moreau</t>
  </si>
  <si>
    <t>michaelmoreau@hotmail.com</t>
  </si>
  <si>
    <t>CFF9260</t>
  </si>
  <si>
    <t>pi_3OaX9IC8mwI7APee1kZH5pbQ</t>
  </si>
  <si>
    <t>101-0003-9729</t>
  </si>
  <si>
    <t>livetesting1 testing</t>
  </si>
  <si>
    <t>testing+livetesting1@kerb.works</t>
  </si>
  <si>
    <t>TEST123</t>
  </si>
  <si>
    <t>pi_3OUJQ5C8mwI7APee1On2nr8p</t>
  </si>
  <si>
    <t>101-0003-9730</t>
  </si>
  <si>
    <t>Angela Cameron</t>
  </si>
  <si>
    <t>angelakcameron@gmail.com</t>
  </si>
  <si>
    <t>BBK1858</t>
  </si>
  <si>
    <t>pi_3OUK9hC8mwI7APee0f14c7hT</t>
  </si>
  <si>
    <t xml:space="preserve">Angela  Cameron </t>
  </si>
  <si>
    <t>101-0003-9731</t>
  </si>
  <si>
    <t>Kylee Mcgill</t>
  </si>
  <si>
    <t>kylowe123@hotmail.com</t>
  </si>
  <si>
    <t>CPM9737</t>
  </si>
  <si>
    <t>pi_3OahdoC8mwI7APee0JxlzPPq</t>
  </si>
  <si>
    <t>Kylee  Mcgill</t>
  </si>
  <si>
    <t>101-0003-9733</t>
  </si>
  <si>
    <t>Natasha Daigle</t>
  </si>
  <si>
    <t>daigle.natasha@gmail.com</t>
  </si>
  <si>
    <t>BTF8924</t>
  </si>
  <si>
    <t>pi_3OdZQWC8mwI7APee0sdPltNf</t>
  </si>
  <si>
    <t>101-0003-9734</t>
  </si>
  <si>
    <t>Jennifer Campbell</t>
  </si>
  <si>
    <t>jenniferandgord@gmail.com</t>
  </si>
  <si>
    <t>BLC8542</t>
  </si>
  <si>
    <t>pi_3OdbPEC8mwI7APee0noFfujX</t>
  </si>
  <si>
    <t xml:space="preserve">Jennifer  Campbell </t>
  </si>
  <si>
    <t>101-0003-9735</t>
  </si>
  <si>
    <t>pi_3OULu6C8mwI7APee1GaFaksi</t>
  </si>
  <si>
    <t>101-0003-9736</t>
  </si>
  <si>
    <t>Brad Reagan</t>
  </si>
  <si>
    <t>hsiribac4@hotmail.com</t>
  </si>
  <si>
    <t>CCD6453</t>
  </si>
  <si>
    <t>pi_3OUMEEC8mwI7APee1nhV87Gs</t>
  </si>
  <si>
    <t>101-0003-9737</t>
  </si>
  <si>
    <t>pi_3OUMFgC8mwI7APee1XCKsA4X</t>
  </si>
  <si>
    <t>101-0003-9740</t>
  </si>
  <si>
    <t>Jason Faria</t>
  </si>
  <si>
    <t>jasonpfaria@gmail.com</t>
  </si>
  <si>
    <t>CPX2008</t>
  </si>
  <si>
    <t>pi_3OUNJ4C8mwI7APee0HCcCdVG</t>
  </si>
  <si>
    <t>101-0003-9741</t>
  </si>
  <si>
    <t>Kristopher Koval</t>
  </si>
  <si>
    <t>leroyhotdogzanzibarglobal@gmail.com</t>
  </si>
  <si>
    <t>BJP9953</t>
  </si>
  <si>
    <t>pi_3Ob5rpC8mwI7APee0f506Ain</t>
  </si>
  <si>
    <t xml:space="preserve">Kristopher  Koval </t>
  </si>
  <si>
    <t>101-0003-9742</t>
  </si>
  <si>
    <t>Jason Lindemulder</t>
  </si>
  <si>
    <t>jasonlindemulder@hotmail.com</t>
  </si>
  <si>
    <t>BLW8291</t>
  </si>
  <si>
    <t>pi_3Oe0QtC8mwI7APee0EX8zbGs</t>
  </si>
  <si>
    <t>101-0003-9743</t>
  </si>
  <si>
    <t>Paula Howell</t>
  </si>
  <si>
    <t>paulahowell82@gmail.com</t>
  </si>
  <si>
    <t>BKL5865</t>
  </si>
  <si>
    <t>pi_3Ob8TMC8mwI7APee0T2thELO</t>
  </si>
  <si>
    <t>101-0003-9744</t>
  </si>
  <si>
    <t>101-0003-9745</t>
  </si>
  <si>
    <t>Pavle Pecuh</t>
  </si>
  <si>
    <t>pecuh.pavle@gmail.com</t>
  </si>
  <si>
    <t>GKA889</t>
  </si>
  <si>
    <t>pi_3OUVNAC8mwI7APee0FHkmra9</t>
  </si>
  <si>
    <t>101-0003-9746</t>
  </si>
  <si>
    <t>101-0003-9747</t>
  </si>
  <si>
    <t>Savannah Heskins</t>
  </si>
  <si>
    <t>savannahheskins04@gmail.com</t>
  </si>
  <si>
    <t>KWA272</t>
  </si>
  <si>
    <t>pi_3OUWaJC8mwI7APee189Czbau</t>
  </si>
  <si>
    <t>101-0003-9748</t>
  </si>
  <si>
    <t>Dion Kossey</t>
  </si>
  <si>
    <t>dion.kossey@gmail.com</t>
  </si>
  <si>
    <t>VKH832</t>
  </si>
  <si>
    <t>pi_3OUaUvC8mwI7APee107tevXq</t>
  </si>
  <si>
    <t>101-0003-9749</t>
  </si>
  <si>
    <t>pi_3OUabBC8mwI7APee1eRwiLxn</t>
  </si>
  <si>
    <t>101-0003-9750</t>
  </si>
  <si>
    <t>Crystal Brightwell</t>
  </si>
  <si>
    <t>cryscory@telus.net</t>
  </si>
  <si>
    <t>CPL6934</t>
  </si>
  <si>
    <t>pi_3OYXeuC8mwI7APee0cQ7JN8K</t>
  </si>
  <si>
    <t xml:space="preserve">Crystal Brightwell </t>
  </si>
  <si>
    <t>101-0003-9751</t>
  </si>
  <si>
    <t>Darrin Lukay</t>
  </si>
  <si>
    <t>darrin.lukay@gmail.com</t>
  </si>
  <si>
    <t>BYV8707</t>
  </si>
  <si>
    <t>pi_3OUeT8C8mwI7APee0Hiye39V</t>
  </si>
  <si>
    <t>101-0003-9754</t>
  </si>
  <si>
    <t>Weston Gillotte</t>
  </si>
  <si>
    <t>weston164@gmail.com</t>
  </si>
  <si>
    <t>VCO68N</t>
  </si>
  <si>
    <t>pi_3OWjfYC8mwI7APee0UjnLbfq</t>
  </si>
  <si>
    <t>101-0003-9755</t>
  </si>
  <si>
    <t>JÃ deau Guava</t>
  </si>
  <si>
    <t>karl_xox@hotmail.com</t>
  </si>
  <si>
    <t>172NDX</t>
  </si>
  <si>
    <t>pi_3OWjkKC8mwI7APee1t9BOSQd</t>
  </si>
  <si>
    <t>101-0003-9757</t>
  </si>
  <si>
    <t>Brian McPherson</t>
  </si>
  <si>
    <t>mcpherbj@gmail.com</t>
  </si>
  <si>
    <t>UXM067</t>
  </si>
  <si>
    <t>pi_3OZcjJC8mwI7APee1B3ULxft</t>
  </si>
  <si>
    <t>101-0003-9758</t>
  </si>
  <si>
    <t>Andrea Kunst</t>
  </si>
  <si>
    <t>andreakunst@gmail.com</t>
  </si>
  <si>
    <t>BAN898</t>
  </si>
  <si>
    <t>pi_3ObobtC8mwI7APee0rK20rzj</t>
  </si>
  <si>
    <t>101-0003-9759</t>
  </si>
  <si>
    <t>Stacie Lauf</t>
  </si>
  <si>
    <t>stacie.lauf@gmail.com</t>
  </si>
  <si>
    <t>M63824</t>
  </si>
  <si>
    <t>pi_3OYeIxC8mwI7APee1apGGswA</t>
  </si>
  <si>
    <t>101-0003-9760</t>
  </si>
  <si>
    <t>pi_3OYeOyC8mwI7APee1bo5Z40L</t>
  </si>
  <si>
    <t>101-0003-9761</t>
  </si>
  <si>
    <t>Nadine Dookhoo</t>
  </si>
  <si>
    <t>dookhoo6@gmail.com</t>
  </si>
  <si>
    <t>BDB1525</t>
  </si>
  <si>
    <t>101-0003-9762</t>
  </si>
  <si>
    <t>BRUXA</t>
  </si>
  <si>
    <t>pi_3OUhvOC8mwI7APee1MutK5Q6</t>
  </si>
  <si>
    <t>101-0003-9770</t>
  </si>
  <si>
    <t>Preston Smith</t>
  </si>
  <si>
    <t>plo.koon1998@gmail.com</t>
  </si>
  <si>
    <t>BRW5096</t>
  </si>
  <si>
    <t>pi_3OUve8C8mwI7APee1NXqu9L7</t>
  </si>
  <si>
    <t>101-0003-9771</t>
  </si>
  <si>
    <t>Paul Kendall</t>
  </si>
  <si>
    <t>ghurka307@hotmail.com</t>
  </si>
  <si>
    <t>CJY0563</t>
  </si>
  <si>
    <t>pi_3Occw2C8mwI7APee0KEVzv2x</t>
  </si>
  <si>
    <t xml:space="preserve">Paul  Kendall </t>
  </si>
  <si>
    <t>101-0003-9772</t>
  </si>
  <si>
    <t>pi_3Oe48qC8mwI7APee0qrDPcHU</t>
  </si>
  <si>
    <t>101-0003-9775</t>
  </si>
  <si>
    <t>Jessica Cook</t>
  </si>
  <si>
    <t>jess.cook@shaw.ca</t>
  </si>
  <si>
    <t>BSK2850</t>
  </si>
  <si>
    <t>pi_3OGwPbC8mwI7APee16QCsDOo</t>
  </si>
  <si>
    <t>101-0003-9776</t>
  </si>
  <si>
    <t>Marlow Sidhu</t>
  </si>
  <si>
    <t>snicki04@hotmail.com</t>
  </si>
  <si>
    <t>CNF6883</t>
  </si>
  <si>
    <t>pi_3OV2S3C8mwI7APee0cmYNKkq</t>
  </si>
  <si>
    <t>101-0003-9777</t>
  </si>
  <si>
    <t>Jason Dueck</t>
  </si>
  <si>
    <t>jaedueck@gmail.com</t>
  </si>
  <si>
    <t>CDW3852</t>
  </si>
  <si>
    <t>101-0003-9778</t>
  </si>
  <si>
    <t>101-0003-9779</t>
  </si>
  <si>
    <t>101-0003-9780</t>
  </si>
  <si>
    <t>pi_3OVJyJC8mwI7APee0h7GKbJN</t>
  </si>
  <si>
    <t>101-0003-9781</t>
  </si>
  <si>
    <t>pi_3OVW1wC8mwI7APee1LMkDJhk</t>
  </si>
  <si>
    <t>101-0003-9782</t>
  </si>
  <si>
    <t>Michael Roszko</t>
  </si>
  <si>
    <t>mike.roszko@gmail.com</t>
  </si>
  <si>
    <t>CCD7041</t>
  </si>
  <si>
    <t>pi_3OD9rPC8mwI7APee1be69FAo</t>
  </si>
  <si>
    <t>101-0003-9784</t>
  </si>
  <si>
    <t>Ian Woychuk</t>
  </si>
  <si>
    <t>iwoychuk@gmail.com</t>
  </si>
  <si>
    <t>STS916</t>
  </si>
  <si>
    <t>pi_3OZwFxC8mwI7APee12dQICTs</t>
  </si>
  <si>
    <t>101-0003-9785</t>
  </si>
  <si>
    <t>Jesse Nash</t>
  </si>
  <si>
    <t>jesse@jessenash.ca</t>
  </si>
  <si>
    <t>ZKP871</t>
  </si>
  <si>
    <t>pi_3OZxw7C8mwI7APee02ZNQVDI</t>
  </si>
  <si>
    <t>101-0003-9786</t>
  </si>
  <si>
    <t>Connie Rong</t>
  </si>
  <si>
    <t>connie.r@live.com</t>
  </si>
  <si>
    <t>NE913X</t>
  </si>
  <si>
    <t>pi_3OZyChC8mwI7APee00s8kaMV</t>
  </si>
  <si>
    <t>101-0003-9787</t>
  </si>
  <si>
    <t>Amy Neff</t>
  </si>
  <si>
    <t>neffal@gmail.com</t>
  </si>
  <si>
    <t>CMN2448</t>
  </si>
  <si>
    <t>pi_3OZzjCC8mwI7APee1KcqkvZw</t>
  </si>
  <si>
    <t>101-0003-9788</t>
  </si>
  <si>
    <t>Travis Field</t>
  </si>
  <si>
    <t>fieldtravis@rocketmail.com</t>
  </si>
  <si>
    <t>CNK1356</t>
  </si>
  <si>
    <t>pi_3OZ4hyC8mwI7APee1xlLLVUq</t>
  </si>
  <si>
    <t>101-0003-9789</t>
  </si>
  <si>
    <t>Kate Crowell</t>
  </si>
  <si>
    <t>k-crowell@hotmail.com</t>
  </si>
  <si>
    <t>BWL3736</t>
  </si>
  <si>
    <t>pi_3OcihYC8mwI7APee0UjfwpO5</t>
  </si>
  <si>
    <t>101-0003-9790</t>
  </si>
  <si>
    <t>pi_3OcinjC8mwI7APee0Jc1hR1z</t>
  </si>
  <si>
    <t>101-0003-9792</t>
  </si>
  <si>
    <t>TEST12345</t>
  </si>
  <si>
    <t>pi_3OdmOrC8mwI7APee01MjZRca</t>
  </si>
  <si>
    <t>101-0003-9793</t>
  </si>
  <si>
    <t>Rebecca Warren</t>
  </si>
  <si>
    <t>rk.warren@live.com</t>
  </si>
  <si>
    <t>BYY0831</t>
  </si>
  <si>
    <t>pi_3ObU0uC8mwI7APee1QL76kmO</t>
  </si>
  <si>
    <t>101-0003-9794</t>
  </si>
  <si>
    <t>101-0003-9795</t>
  </si>
  <si>
    <t>pi_3OdmPYC8mwI7APee0KtiyrLX</t>
  </si>
  <si>
    <t>101-0003-9796</t>
  </si>
  <si>
    <t>Shawn Kreger</t>
  </si>
  <si>
    <t>shawn.kreger@rivercityvapes.com</t>
  </si>
  <si>
    <t>KYDDO</t>
  </si>
  <si>
    <t>pi_3OckDlC8mwI7APee0ZZSMzu1</t>
  </si>
  <si>
    <t>101-0003-9797</t>
  </si>
  <si>
    <t>101-0003-9799</t>
  </si>
  <si>
    <t>Chris Newhook</t>
  </si>
  <si>
    <t>cnewhook1976@gmail.com</t>
  </si>
  <si>
    <t>BZY3323</t>
  </si>
  <si>
    <t>pi_3OZH6zC8mwI7APee0QMJAgWw</t>
  </si>
  <si>
    <t>101-0003-9800</t>
  </si>
  <si>
    <t>101-0003-9808</t>
  </si>
  <si>
    <t>pi_3OeUQbC8mwI7APee0NNc5OOC</t>
  </si>
  <si>
    <t>101-0003-9821</t>
  </si>
  <si>
    <t>Paulina Stewart</t>
  </si>
  <si>
    <t>pmkstewart7@outlook.com</t>
  </si>
  <si>
    <t>CLR5447</t>
  </si>
  <si>
    <t>pi_3OejRkC8mwI7APee1pjNT5Dp</t>
  </si>
  <si>
    <t>101-0003-9852</t>
  </si>
  <si>
    <t>Travis Peter</t>
  </si>
  <si>
    <t>travis_l_peter@hotmail.com</t>
  </si>
  <si>
    <t>GPE548</t>
  </si>
  <si>
    <t>pi_3OO8H7C8mwI7APee1ujdCseN</t>
  </si>
  <si>
    <t>101-0004-0150</t>
  </si>
  <si>
    <t>Laura Kluczny</t>
  </si>
  <si>
    <t>aspdenlaura@hotmail.com</t>
  </si>
  <si>
    <t>BFC8511</t>
  </si>
  <si>
    <t>pi_3OQLaZC8mwI7APee141EWRUA</t>
  </si>
  <si>
    <t>101-0004-0159</t>
  </si>
  <si>
    <t>Jason Collick</t>
  </si>
  <si>
    <t>jasoncollick@gmail.com</t>
  </si>
  <si>
    <t>AC7483</t>
  </si>
  <si>
    <t>pi_3OPZUgC8mwI7APee0ybQGZ2G</t>
  </si>
  <si>
    <t>101-0004-0160</t>
  </si>
  <si>
    <t>101-0004-0165</t>
  </si>
  <si>
    <t>Jungil Yoon</t>
  </si>
  <si>
    <t>jungil.yoon@gmail.com</t>
  </si>
  <si>
    <t>BXK7246</t>
  </si>
  <si>
    <t>pi_3OOqoOC8mwI7APee0TwR9xyG</t>
  </si>
  <si>
    <t>101-0004-0177</t>
  </si>
  <si>
    <t>Tawnie Misik</t>
  </si>
  <si>
    <t>myfamily54@hotmail.com</t>
  </si>
  <si>
    <t>UVB750</t>
  </si>
  <si>
    <t>pi_3OB3SoC8mwI7APee0ZTSTT84</t>
  </si>
  <si>
    <t>101-0004-0178</t>
  </si>
  <si>
    <t>Julie Carignan</t>
  </si>
  <si>
    <t>juliecarignan82@hotmail.com</t>
  </si>
  <si>
    <t>BHG2339</t>
  </si>
  <si>
    <t>101-0004-0179</t>
  </si>
  <si>
    <t>pi_3OQAqoC8mwI7APee1xpeaGQC</t>
  </si>
  <si>
    <t>101-0004-0185</t>
  </si>
  <si>
    <t>101-0004-0250</t>
  </si>
  <si>
    <t>Andrew Fontaine</t>
  </si>
  <si>
    <t>andrewfontaine6@gmail.com</t>
  </si>
  <si>
    <t>037NFE</t>
  </si>
  <si>
    <t>pi_3OTYQ6C8mwI7APee09F7LaAp</t>
  </si>
  <si>
    <t>101-0004-0255</t>
  </si>
  <si>
    <t>101-0004-0256</t>
  </si>
  <si>
    <t>Dan Elliott</t>
  </si>
  <si>
    <t>danpursoo@gmail.com</t>
  </si>
  <si>
    <t>CPS8932</t>
  </si>
  <si>
    <t>pi_3OTZdjC8mwI7APee1ReYZFiA</t>
  </si>
  <si>
    <t>101-0004-0257</t>
  </si>
  <si>
    <t>Dayle Pett</t>
  </si>
  <si>
    <t>daylepett@gmail.com</t>
  </si>
  <si>
    <t>AB8064</t>
  </si>
  <si>
    <t>pi_3OTZFQC8mwI7APee0DWaln7X</t>
  </si>
  <si>
    <t>101-0004-0258</t>
  </si>
  <si>
    <t>A D</t>
  </si>
  <si>
    <t>kw@dixie.net.nz</t>
  </si>
  <si>
    <t>CWXS604</t>
  </si>
  <si>
    <t>pi_3OTdPLC8mwI7APee0XNtkwz2</t>
  </si>
  <si>
    <t>101-0004-0259</t>
  </si>
  <si>
    <t>Jessica McColm</t>
  </si>
  <si>
    <t>jessica.mccolm@gmail.com</t>
  </si>
  <si>
    <t>CPB7845</t>
  </si>
  <si>
    <t>pi_3OTgMVC8mwI7APee0hUVpesT</t>
  </si>
  <si>
    <t>101-0004-0260</t>
  </si>
  <si>
    <t>pi_3OTpT1C8mwI7APee0jUei1DH</t>
  </si>
  <si>
    <t>101-0004-0261</t>
  </si>
  <si>
    <t>Townes Ballard</t>
  </si>
  <si>
    <t>townesb17@gmail.com</t>
  </si>
  <si>
    <t>222MIP</t>
  </si>
  <si>
    <t>101-0004-0262</t>
  </si>
  <si>
    <t>Wes Myck</t>
  </si>
  <si>
    <t>wes.myck@epsb.ca</t>
  </si>
  <si>
    <t>BYL8291</t>
  </si>
  <si>
    <t>pi_3OTvM6C8mwI7APee1rbbJkPX</t>
  </si>
  <si>
    <t>101-0003-9725</t>
  </si>
  <si>
    <t>Bonnie Parker</t>
  </si>
  <si>
    <t>bonnie.parker@me.com</t>
  </si>
  <si>
    <t>CCN0737</t>
  </si>
  <si>
    <t>101-0003-9727</t>
  </si>
  <si>
    <t>101-0003-9732</t>
  </si>
  <si>
    <t>Angela Larson</t>
  </si>
  <si>
    <t>angela_dawn82@hotmail.com</t>
  </si>
  <si>
    <t>CLV5029</t>
  </si>
  <si>
    <t>pi_3OdvEiC8mwI7APee1V8beGGw</t>
  </si>
  <si>
    <t>101-0003-9738</t>
  </si>
  <si>
    <t>Jason Briand</t>
  </si>
  <si>
    <t>islandoilfield@outlook.com</t>
  </si>
  <si>
    <t>BVB4266</t>
  </si>
  <si>
    <t>pi_3OePWRC8mwI7APee1dXRLu54</t>
  </si>
  <si>
    <t>Jason  Briand</t>
  </si>
  <si>
    <t>101-0003-9752</t>
  </si>
  <si>
    <t>Ellen Cunningham</t>
  </si>
  <si>
    <t>ellencunningham@hotmail.com</t>
  </si>
  <si>
    <t>DB0913</t>
  </si>
  <si>
    <t>pi_3OWjeEC8mwI7APee04Rah1Wa</t>
  </si>
  <si>
    <t>101-0003-9753</t>
  </si>
  <si>
    <t>101-0003-9763</t>
  </si>
  <si>
    <t>pi_3OYfOCC8mwI7APee0CZ80dWU</t>
  </si>
  <si>
    <t>101-0003-9764</t>
  </si>
  <si>
    <t>101-0003-9791</t>
  </si>
  <si>
    <t>Kathy Sorensen</t>
  </si>
  <si>
    <t>sorensen531@gmail.com</t>
  </si>
  <si>
    <t>BNJ4322</t>
  </si>
  <si>
    <t>pi_3ObQXDC8mwI7APee030IeAhf</t>
  </si>
  <si>
    <t>101-0003-9798</t>
  </si>
  <si>
    <t>BNJ0229</t>
  </si>
  <si>
    <t>pi_3Oe6fTC8mwI7APee0kGcMm9O</t>
  </si>
  <si>
    <t>101-0003-9809</t>
  </si>
  <si>
    <t>Aedan Lobo</t>
  </si>
  <si>
    <t>aedan@kieaed.com</t>
  </si>
  <si>
    <t>CFG8929</t>
  </si>
  <si>
    <t>pi_3Ome9yC8mwI7APee0JerRvV5</t>
  </si>
  <si>
    <t>101-0003-9810</t>
  </si>
  <si>
    <t>Emma Miller</t>
  </si>
  <si>
    <t>ekmd93@gmail.com</t>
  </si>
  <si>
    <t>BK36190</t>
  </si>
  <si>
    <t>pi_3OmeJOC8mwI7APee1BiYwwaa</t>
  </si>
  <si>
    <t>101-0003-9811</t>
  </si>
  <si>
    <t>101-0003-9812</t>
  </si>
  <si>
    <t>pi_3OmeMdC8mwI7APee0bSREYbM</t>
  </si>
  <si>
    <t>101-0003-9813</t>
  </si>
  <si>
    <t>Sherralee Tinney</t>
  </si>
  <si>
    <t>voyage4me@hotmail.com</t>
  </si>
  <si>
    <t>HAR172</t>
  </si>
  <si>
    <t>pi_3Oj2FiC8mwI7APee0wJAaHeJ</t>
  </si>
  <si>
    <t>101-0003-9814</t>
  </si>
  <si>
    <t>Marie-Claude Bouchard</t>
  </si>
  <si>
    <t>mcbpinky@gmail.com</t>
  </si>
  <si>
    <t>LUG062</t>
  </si>
  <si>
    <t>pi_3Oj3JaC8mwI7APee0NmLE1Uh</t>
  </si>
  <si>
    <t>101-0003-9815</t>
  </si>
  <si>
    <t>pi_3Oj3KNC8mwI7APee1hAfxaZD</t>
  </si>
  <si>
    <t>101-0003-9816</t>
  </si>
  <si>
    <t>pi_3Oj3KpC8mwI7APee01Rp9wai</t>
  </si>
  <si>
    <t>101-0003-9820</t>
  </si>
  <si>
    <t>Brittany Murray</t>
  </si>
  <si>
    <t>brittanylmurray3@gmail.com</t>
  </si>
  <si>
    <t>BXZ4814</t>
  </si>
  <si>
    <t>pi_3OehavC8mwI7APee1xSpJBHB</t>
  </si>
  <si>
    <t>101-0003-9822</t>
  </si>
  <si>
    <t>pi_3Oek74C8mwI7APee0Q8J6TmR</t>
  </si>
  <si>
    <t>101-0003-9827</t>
  </si>
  <si>
    <t>Miranda Hoffman</t>
  </si>
  <si>
    <t>chickee418@hotmail.com</t>
  </si>
  <si>
    <t>751NGU</t>
  </si>
  <si>
    <t>pi_3OmptKC8mwI7APee1it0VH25</t>
  </si>
  <si>
    <t>101-0003-9833</t>
  </si>
  <si>
    <t>Nic Heron</t>
  </si>
  <si>
    <t>ncramton@ualberta.ca</t>
  </si>
  <si>
    <t>CPK8922</t>
  </si>
  <si>
    <t>pi_3On8hOC8mwI7APee1SWHPNLt</t>
  </si>
  <si>
    <t>101-0003-9836</t>
  </si>
  <si>
    <t>Erwin Dingenouts</t>
  </si>
  <si>
    <t>e.dingenouts@gmail.com</t>
  </si>
  <si>
    <t>0BL675</t>
  </si>
  <si>
    <t>pi_3OnL5DC8mwI7APee1E9pxWg1</t>
  </si>
  <si>
    <t>101-0003-9837</t>
  </si>
  <si>
    <t>Wendy Dittmer</t>
  </si>
  <si>
    <t>dittmer@xplornet.ca</t>
  </si>
  <si>
    <t>CBJ8347</t>
  </si>
  <si>
    <t>pi_3OnML8C8mwI7APee06futoe2</t>
  </si>
  <si>
    <t>101-0003-9838</t>
  </si>
  <si>
    <t>Nicole Volkman</t>
  </si>
  <si>
    <t>n.snyder660@hotmail.com</t>
  </si>
  <si>
    <t>SEH222</t>
  </si>
  <si>
    <t>pi_3OnN36C8mwI7APee0KVWjCFN</t>
  </si>
  <si>
    <t>101-0003-9839</t>
  </si>
  <si>
    <t>Meghan Langlois</t>
  </si>
  <si>
    <t>meghanlanglois98@hotmail.com</t>
  </si>
  <si>
    <t>TF033N</t>
  </si>
  <si>
    <t>101-0003-9840</t>
  </si>
  <si>
    <t>101-0003-9841</t>
  </si>
  <si>
    <t>pi_3OnNWwC8mwI7APee1yFcMBvW</t>
  </si>
  <si>
    <t>101-0003-9842</t>
  </si>
  <si>
    <t>Zach Tychkowsky</t>
  </si>
  <si>
    <t>ztych1@gmail.com</t>
  </si>
  <si>
    <t>CGW2546</t>
  </si>
  <si>
    <t>pi_3OnOO0C8mwI7APee066Y2SvW</t>
  </si>
  <si>
    <t>101-0003-9843</t>
  </si>
  <si>
    <t>Alfie Sharrock</t>
  </si>
  <si>
    <t>alfiedsharrock@gmail.com</t>
  </si>
  <si>
    <t>0AX376</t>
  </si>
  <si>
    <t>pi_3OnPUlC8mwI7APee1KzJNUqR</t>
  </si>
  <si>
    <t>101-0003-9844</t>
  </si>
  <si>
    <t>Ryan Neumann</t>
  </si>
  <si>
    <t>ryanneumann4@gmail.com</t>
  </si>
  <si>
    <t>CMM1858</t>
  </si>
  <si>
    <t>pi_3OnPtLC8mwI7APee1Du35Au6</t>
  </si>
  <si>
    <t>101-0003-9845</t>
  </si>
  <si>
    <t>jorden roberts</t>
  </si>
  <si>
    <t>jordenroberts@outlook.com</t>
  </si>
  <si>
    <t>HVA942</t>
  </si>
  <si>
    <t>pi_3OnRV7C8mwI7APee0SPHbQna</t>
  </si>
  <si>
    <t>101-0003-9846</t>
  </si>
  <si>
    <t>Charlie Walsh</t>
  </si>
  <si>
    <t>walsh.b@outlook.com</t>
  </si>
  <si>
    <t>BPC1361</t>
  </si>
  <si>
    <t>pi_3Of18MC8mwI7APee0ViYu6rj</t>
  </si>
  <si>
    <t>101-0003-9847</t>
  </si>
  <si>
    <t>09L215</t>
  </si>
  <si>
    <t>pi_3Of1AwC8mwI7APee1llUuSzj</t>
  </si>
  <si>
    <t>101-0003-9849</t>
  </si>
  <si>
    <t>Lester Victor</t>
  </si>
  <si>
    <t>lestervictor21@gmail.com</t>
  </si>
  <si>
    <t>346MYY</t>
  </si>
  <si>
    <t>pi_3OjWLKC8mwI7APee1hShBX55</t>
  </si>
  <si>
    <t>101-0003-9850</t>
  </si>
  <si>
    <t>kim fukushima</t>
  </si>
  <si>
    <t>kimfukushima@gmail.com</t>
  </si>
  <si>
    <t>BXR8997</t>
  </si>
  <si>
    <t>pi_3Of6pxC8mwI7APee10VLm2zq</t>
  </si>
  <si>
    <t>101-0003-9851</t>
  </si>
  <si>
    <t>101-0003-9853</t>
  </si>
  <si>
    <t>Alison Mcgee</t>
  </si>
  <si>
    <t>alisonnmcgee@gmail.com</t>
  </si>
  <si>
    <t>SS170M</t>
  </si>
  <si>
    <t>pi_3OnlacC8mwI7APee1Husv8W0</t>
  </si>
  <si>
    <t>101-0003-9858</t>
  </si>
  <si>
    <t>Jessica D'Amico</t>
  </si>
  <si>
    <t>jessicamariadamico@gmail.com</t>
  </si>
  <si>
    <t>CLZ1661</t>
  </si>
  <si>
    <t>pi_3OnrX2C8mwI7APee0Po2ZuOW</t>
  </si>
  <si>
    <t>101-0003-9860</t>
  </si>
  <si>
    <t>Rick Bishop</t>
  </si>
  <si>
    <t>rjbishop@shaw.ca</t>
  </si>
  <si>
    <t>BCN9826</t>
  </si>
  <si>
    <t>pi_3OjlgwC8mwI7APee1rpywN5T</t>
  </si>
  <si>
    <t>101-0003-9863</t>
  </si>
  <si>
    <t>pi_3OfCtqC8mwI7APee0bcG1HRJ</t>
  </si>
  <si>
    <t>101-0003-9871</t>
  </si>
  <si>
    <t>Toni Malmquist Batt</t>
  </si>
  <si>
    <t>tonibatt@telus.net</t>
  </si>
  <si>
    <t>BZM7110</t>
  </si>
  <si>
    <t>pi_3OfF9bC8mwI7APee1ChxGOtB</t>
  </si>
  <si>
    <t xml:space="preserve">Toni Malmquist Batt </t>
  </si>
  <si>
    <t>101-0003-9872</t>
  </si>
  <si>
    <t>pi_3OfFDTC8mwI7APee1HXAJMze</t>
  </si>
  <si>
    <t>101-0003-9883</t>
  </si>
  <si>
    <t>Megan Skinner</t>
  </si>
  <si>
    <t>megankshields@gmail.com</t>
  </si>
  <si>
    <t>JCU548</t>
  </si>
  <si>
    <t>pi_3OfP5hC8mwI7APee0T1rzWQQ</t>
  </si>
  <si>
    <t>Megan  Skinner</t>
  </si>
  <si>
    <t>101-0003-9890</t>
  </si>
  <si>
    <t>Arlene Rye</t>
  </si>
  <si>
    <t>a.rye0608@gmail.coma</t>
  </si>
  <si>
    <t>M26817</t>
  </si>
  <si>
    <t>pi_3OfbEXC8mwI7APee0y6wzmcB</t>
  </si>
  <si>
    <t>101-0003-9893</t>
  </si>
  <si>
    <t>Melissa Kohlruss</t>
  </si>
  <si>
    <t>mitmel38@yahoo.ca</t>
  </si>
  <si>
    <t>AA0953</t>
  </si>
  <si>
    <t>pi_3OjvcFC8mwI7APee0IJbIz4K</t>
  </si>
  <si>
    <t xml:space="preserve">Melissa Kohlruss </t>
  </si>
  <si>
    <t>101-0003-9896</t>
  </si>
  <si>
    <t>Robert Sutherland</t>
  </si>
  <si>
    <t>suther1and@hotmail.com</t>
  </si>
  <si>
    <t>CNL2078</t>
  </si>
  <si>
    <t>101-0003-9897</t>
  </si>
  <si>
    <t>pi_3OflGpC8mwI7APee0AA2yIpe</t>
  </si>
  <si>
    <t>101-0003-9898</t>
  </si>
  <si>
    <t>pi_3Ofm5CC8mwI7APee0vxCK8F0</t>
  </si>
  <si>
    <t>101-0003-9900</t>
  </si>
  <si>
    <t>Donna Bradley</t>
  </si>
  <si>
    <t>bradleydlo@outlook.com</t>
  </si>
  <si>
    <t>SHU909</t>
  </si>
  <si>
    <t>pi_3Ofu5LC8mwI7APee0u1MWGt4</t>
  </si>
  <si>
    <t>101-0003-9905</t>
  </si>
  <si>
    <t>Melissa Beare</t>
  </si>
  <si>
    <t>msfurlong@hotmail.com</t>
  </si>
  <si>
    <t>CNK1421</t>
  </si>
  <si>
    <t>pi_3Ok9D8C8mwI7APee10LRYRZX</t>
  </si>
  <si>
    <t>101-0003-9907</t>
  </si>
  <si>
    <t>Harry Tsaprailis</t>
  </si>
  <si>
    <t>h.tsaprailis@gmail.com</t>
  </si>
  <si>
    <t>BFP8435</t>
  </si>
  <si>
    <t>pi_3OkBoFC8mwI7APee0I2hPStj</t>
  </si>
  <si>
    <t>101-0003-9908</t>
  </si>
  <si>
    <t>Alexa Potolicki</t>
  </si>
  <si>
    <t>alexapotolicki@hotmail.com</t>
  </si>
  <si>
    <t>DA6743</t>
  </si>
  <si>
    <t>pi_3OkBzxC8mwI7APee0p8XcpuR</t>
  </si>
  <si>
    <t>101-0003-9913</t>
  </si>
  <si>
    <t>Darren Mctaggart</t>
  </si>
  <si>
    <t>pipesmctaggart@shaw.ca</t>
  </si>
  <si>
    <t>DA1253</t>
  </si>
  <si>
    <t>pi_3OgGHGC8mwI7APee0TWDla19</t>
  </si>
  <si>
    <t>101-0003-9917</t>
  </si>
  <si>
    <t>Greg Perras</t>
  </si>
  <si>
    <t>greg_perras@hotmail.com</t>
  </si>
  <si>
    <t>CFM4856</t>
  </si>
  <si>
    <t>pi_3OkGWFC8mwI7APee0KKma4wI</t>
  </si>
  <si>
    <t>101-0003-9924</t>
  </si>
  <si>
    <t>Lindsay Thomas</t>
  </si>
  <si>
    <t>rasberry6@hotmail.com</t>
  </si>
  <si>
    <t>JUP659</t>
  </si>
  <si>
    <t>pi_3OkInmC8mwI7APee1mvR4TS5</t>
  </si>
  <si>
    <t>101-0003-9925</t>
  </si>
  <si>
    <t>Jorge Pulido</t>
  </si>
  <si>
    <t>j1pulido@yahoo.com</t>
  </si>
  <si>
    <t>EVE460</t>
  </si>
  <si>
    <t>pi_3OgJC9C8mwI7APee19E2BGHg</t>
  </si>
  <si>
    <t>Jorge  Pulido</t>
  </si>
  <si>
    <t>101-0003-9931</t>
  </si>
  <si>
    <t>Kim Nerbas</t>
  </si>
  <si>
    <t>ktanerbas@gmail.com</t>
  </si>
  <si>
    <t>CGR9132</t>
  </si>
  <si>
    <t>pi_3OkS8MC8mwI7APee0dHMaDAA</t>
  </si>
  <si>
    <t>101-0003-9932</t>
  </si>
  <si>
    <t>101-0003-9933</t>
  </si>
  <si>
    <t>Ryan Axling</t>
  </si>
  <si>
    <t>rjaxling@shaw.ca</t>
  </si>
  <si>
    <t>CGJ7248</t>
  </si>
  <si>
    <t>pi_3OkUwOC8mwI7APee1CsMThQ7</t>
  </si>
  <si>
    <t>101-0003-9934</t>
  </si>
  <si>
    <t>Kara McKenzie</t>
  </si>
  <si>
    <t>karamulvey@hotmail.com</t>
  </si>
  <si>
    <t>CND2857</t>
  </si>
  <si>
    <t>pi_3OkW9qC8mwI7APee0dylHB6h</t>
  </si>
  <si>
    <t>101-0003-9938</t>
  </si>
  <si>
    <t>Igor Baranowski</t>
  </si>
  <si>
    <t>igorkbaranowski@gmail.com</t>
  </si>
  <si>
    <t>BYJ0146</t>
  </si>
  <si>
    <t>pi_3OoVjtC8mwI7APee0HE2oZtp</t>
  </si>
  <si>
    <t xml:space="preserve">Igor Baranowski </t>
  </si>
  <si>
    <t>101-0003-9939</t>
  </si>
  <si>
    <t>Jared Deane</t>
  </si>
  <si>
    <t>jdeane99@yahoo.com</t>
  </si>
  <si>
    <t>CPL7974</t>
  </si>
  <si>
    <t>pi_3Oka5KC8mwI7APee065m6zHd</t>
  </si>
  <si>
    <t>101-0003-9942</t>
  </si>
  <si>
    <t>Joanne Cavanagh</t>
  </si>
  <si>
    <t>jojosnewchapter@gmail.com</t>
  </si>
  <si>
    <t>CLV7418</t>
  </si>
  <si>
    <t>101-0003-9943</t>
  </si>
  <si>
    <t>101-0003-9944</t>
  </si>
  <si>
    <t>pi_3OkcZdC8mwI7APee0tqWcuRi</t>
  </si>
  <si>
    <t>101-0003-9946</t>
  </si>
  <si>
    <t>Erick Salas GuillÃ©n</t>
  </si>
  <si>
    <t>ecosierragolf@hotmail.com</t>
  </si>
  <si>
    <t>BNY9183</t>
  </si>
  <si>
    <t>pi_3OkdaJC8mwI7APee1vv3paYG</t>
  </si>
  <si>
    <t>101-0003-9947</t>
  </si>
  <si>
    <t>101-0003-9949</t>
  </si>
  <si>
    <t>Corey Fakeley</t>
  </si>
  <si>
    <t>fakeley@gmail.com</t>
  </si>
  <si>
    <t>UZU474</t>
  </si>
  <si>
    <t>pi_3OkeC9C8mwI7APee1lxJ7RHs</t>
  </si>
  <si>
    <t>101-0003-9950</t>
  </si>
  <si>
    <t>Taylor Brown</t>
  </si>
  <si>
    <t>taylor.r.brown14@gmail.com</t>
  </si>
  <si>
    <t>CRV2214</t>
  </si>
  <si>
    <t>pi_3OkhhoC8mwI7APee1WpeVQc1</t>
  </si>
  <si>
    <t>101-0003-9951</t>
  </si>
  <si>
    <t>Elizabeth Misko</t>
  </si>
  <si>
    <t>epcragg@shaw.ca</t>
  </si>
  <si>
    <t>BZX5387</t>
  </si>
  <si>
    <t>pi_3Okk7XC8mwI7APee0kKHlrxw</t>
  </si>
  <si>
    <t>Elizabeth  Misko</t>
  </si>
  <si>
    <t>101-0003-9953</t>
  </si>
  <si>
    <t>Brian Oudyk</t>
  </si>
  <si>
    <t>brian.oudyk@gmail.com</t>
  </si>
  <si>
    <t>CKZ5484</t>
  </si>
  <si>
    <t>pi_3OkrAhC8mwI7APee0y9ikIrm</t>
  </si>
  <si>
    <t>101-0003-9954</t>
  </si>
  <si>
    <t>Lindsay Lebrun</t>
  </si>
  <si>
    <t>lindsay.lebrun@hotmail.com</t>
  </si>
  <si>
    <t>CHR7266</t>
  </si>
  <si>
    <t>pi_3OkrEjC8mwI7APee1v8txfW3</t>
  </si>
  <si>
    <t>101-0003-9955</t>
  </si>
  <si>
    <t>Carli Chalmers</t>
  </si>
  <si>
    <t>carlichalmers@gmail.com</t>
  </si>
  <si>
    <t>BXK3517</t>
  </si>
  <si>
    <t>pi_3OkrYiC8mwI7APee1WfqFYfu</t>
  </si>
  <si>
    <t>101-0003-9956</t>
  </si>
  <si>
    <t>101-0003-9958</t>
  </si>
  <si>
    <t>Karen Doucette</t>
  </si>
  <si>
    <t>karen.doucette@ualberta.ca</t>
  </si>
  <si>
    <t>ZAX893</t>
  </si>
  <si>
    <t>pi_3OkyzrC8mwI7APee1LtSQdxA</t>
  </si>
  <si>
    <t>Karen  Doucette</t>
  </si>
  <si>
    <t>101-0003-9959</t>
  </si>
  <si>
    <t>Patricia Kaziechko</t>
  </si>
  <si>
    <t>pkazz@hotmail.com</t>
  </si>
  <si>
    <t>L42146</t>
  </si>
  <si>
    <t>pi_3Ol0ViC8mwI7APee0Y42jTtS</t>
  </si>
  <si>
    <t>101-0003-9960</t>
  </si>
  <si>
    <t>pi_3Ol1UPC8mwI7APee1XtKKoxo</t>
  </si>
  <si>
    <t>101-0003-9961</t>
  </si>
  <si>
    <t>Rolf Manderscheid</t>
  </si>
  <si>
    <t>rvm@telusplanet.net</t>
  </si>
  <si>
    <t>VRW253</t>
  </si>
  <si>
    <t>pi_3Ol1u8C8mwI7APee0Uv8ngut</t>
  </si>
  <si>
    <t>101-0003-9962</t>
  </si>
  <si>
    <t>Laura &amp; Shaun Ung</t>
  </si>
  <si>
    <t>lauraung@gmail.com</t>
  </si>
  <si>
    <t>EAP441</t>
  </si>
  <si>
    <t>pi_3Ol1ycC8mwI7APee0m9qfBOB</t>
  </si>
  <si>
    <t>101-0003-9964</t>
  </si>
  <si>
    <t>BSS2685</t>
  </si>
  <si>
    <t>pi_3Ol2yzC8mwI7APee09Vg1Bu3</t>
  </si>
  <si>
    <t>101-0003-9969</t>
  </si>
  <si>
    <t>Dawson Black</t>
  </si>
  <si>
    <t>dawson.blackk@gmail.com</t>
  </si>
  <si>
    <t>BTG6928</t>
  </si>
  <si>
    <t>pi_3Ol8IFC8mwI7APee0kxIsgel</t>
  </si>
  <si>
    <t>101-0003-9971</t>
  </si>
  <si>
    <t>Sylvain Martel</t>
  </si>
  <si>
    <t>yakahammer@hotmail.com</t>
  </si>
  <si>
    <t>CLC8598</t>
  </si>
  <si>
    <t>pi_3OlEkeC8mwI7APee17EiifD0</t>
  </si>
  <si>
    <t>101-0003-9972</t>
  </si>
  <si>
    <t>Jessica Russell</t>
  </si>
  <si>
    <t>jessicarussell8@hotmail.com</t>
  </si>
  <si>
    <t>GBC121</t>
  </si>
  <si>
    <t>pi_3OlGFPC8mwI7APee1dYpvqFw</t>
  </si>
  <si>
    <t>101-0003-9974</t>
  </si>
  <si>
    <t>pi_3OgciLC8mwI7APee1698zABe</t>
  </si>
  <si>
    <t>101-0003-9977</t>
  </si>
  <si>
    <t>Gerardo Vallejo</t>
  </si>
  <si>
    <t>gvallejor@gmail.com</t>
  </si>
  <si>
    <t>BMK7944</t>
  </si>
  <si>
    <t>pi_3OlJoEC8mwI7APee0XoXXBXd</t>
  </si>
  <si>
    <t>101-0003-9978</t>
  </si>
  <si>
    <t>101-0003-9983</t>
  </si>
  <si>
    <t>Barbara Russell</t>
  </si>
  <si>
    <t>barbaralynnrussell21@gmail.com</t>
  </si>
  <si>
    <t>CKK0821</t>
  </si>
  <si>
    <t>pi_3OgdFgC8mwI7APee0EiSsNO0</t>
  </si>
  <si>
    <t>101-0003-9984</t>
  </si>
  <si>
    <t>101-0004-0004</t>
  </si>
  <si>
    <t>Zara Dowie</t>
  </si>
  <si>
    <t>dowiezara@gmail.com</t>
  </si>
  <si>
    <t>BZB2483</t>
  </si>
  <si>
    <t>pi_3OgfV7C8mwI7APee0fJcP9fl</t>
  </si>
  <si>
    <t>101-0004-0018</t>
  </si>
  <si>
    <t>Benjamin Furrer</t>
  </si>
  <si>
    <t>benjaminfurrer2004@gmail.com</t>
  </si>
  <si>
    <t>TC842E</t>
  </si>
  <si>
    <t>pi_3OlXFcC8mwI7APee1Z4lnrhs</t>
  </si>
  <si>
    <t>101-0004-0020</t>
  </si>
  <si>
    <t>Philip Hardie</t>
  </si>
  <si>
    <t>philiphardie88@gmail.com</t>
  </si>
  <si>
    <t>CFS2370</t>
  </si>
  <si>
    <t>pi_3Oggv1C8mwI7APee0RGmlC3j</t>
  </si>
  <si>
    <t>101-0004-0021</t>
  </si>
  <si>
    <t>101-0004-0030</t>
  </si>
  <si>
    <t>Charissa West</t>
  </si>
  <si>
    <t>westcharissa21@gmail.com</t>
  </si>
  <si>
    <t>CHT7621</t>
  </si>
  <si>
    <t>pi_3Oos0GC8mwI7APee0dvLRDw4</t>
  </si>
  <si>
    <t>101-0004-0036</t>
  </si>
  <si>
    <t>Jennifer Tse</t>
  </si>
  <si>
    <t>jenntse7@telus.net</t>
  </si>
  <si>
    <t>BMK7375</t>
  </si>
  <si>
    <t>pi_3OlR6hC8mwI7APee1UP60aDV</t>
  </si>
  <si>
    <t>101-0004-0039</t>
  </si>
  <si>
    <t>Mathew Ruhr</t>
  </si>
  <si>
    <t>mr.estimator18@gmail.com</t>
  </si>
  <si>
    <t>CPZ3082</t>
  </si>
  <si>
    <t>pi_3OlX3vC8mwI7APee1HbPbfYs</t>
  </si>
  <si>
    <t>101-0004-0040</t>
  </si>
  <si>
    <t>Shauna Rae</t>
  </si>
  <si>
    <t>seanarae@hotmail.com</t>
  </si>
  <si>
    <t>KXU870</t>
  </si>
  <si>
    <t>pi_3OgqlJC8mwI7APee0XFTkLR6</t>
  </si>
  <si>
    <t>101-0004-0041</t>
  </si>
  <si>
    <t>Cheryl Holowach</t>
  </si>
  <si>
    <t>cherylholowach@gmail.com</t>
  </si>
  <si>
    <t>CCN9075</t>
  </si>
  <si>
    <t>pi_3OlZe9C8mwI7APee0IY1GfVh</t>
  </si>
  <si>
    <t>101-0004-0043</t>
  </si>
  <si>
    <t>Sedat Ozyurek</t>
  </si>
  <si>
    <t>ozyureksedat@gmail.com</t>
  </si>
  <si>
    <t>CMV4361</t>
  </si>
  <si>
    <t>pi_3OlbDQC8mwI7APee1ybtiltb</t>
  </si>
  <si>
    <t>101-0004-0047</t>
  </si>
  <si>
    <t>Tracey Smith</t>
  </si>
  <si>
    <t>btjr24@live.com</t>
  </si>
  <si>
    <t>CJT7444</t>
  </si>
  <si>
    <t>pi_3OgwQmC8mwI7APee1nX9eSZv</t>
  </si>
  <si>
    <t>101-0004-0059</t>
  </si>
  <si>
    <t>Catherine Wagner</t>
  </si>
  <si>
    <t>wagner_cd@hotmail.com</t>
  </si>
  <si>
    <t>EZS886</t>
  </si>
  <si>
    <t>pi_3OpBwKC8mwI7APee1VsdIdep</t>
  </si>
  <si>
    <t>101-0004-0068</t>
  </si>
  <si>
    <t>matthew nelson</t>
  </si>
  <si>
    <t>matthew_nelson@live.com</t>
  </si>
  <si>
    <t>CGL3158</t>
  </si>
  <si>
    <t>pi_3OlpshC8mwI7APee1pQYhgcd</t>
  </si>
  <si>
    <t>101-0004-0119</t>
  </si>
  <si>
    <t>Sarah Randell</t>
  </si>
  <si>
    <t>sarahbonnie@outlook.com</t>
  </si>
  <si>
    <t>CML4967</t>
  </si>
  <si>
    <t>pi_3OhcBtC8mwI7APee030y8CL9</t>
  </si>
  <si>
    <t>101-0004-0121</t>
  </si>
  <si>
    <t>Kelly Stadnyk</t>
  </si>
  <si>
    <t>kellymichelle231@gmail.com</t>
  </si>
  <si>
    <t>SER080</t>
  </si>
  <si>
    <t>pi_3OhcLoC8mwI7APee1UMdkEDk</t>
  </si>
  <si>
    <t>101-0004-0123</t>
  </si>
  <si>
    <t>pi_3OmHmtC8mwI7APee1RijDhIb</t>
  </si>
  <si>
    <t>101-0004-0124</t>
  </si>
  <si>
    <t>Caitlyn Schrettlinger</t>
  </si>
  <si>
    <t>caitlyn.hart@hotmail.ca</t>
  </si>
  <si>
    <t>CLC6796</t>
  </si>
  <si>
    <t>pi_3OmIMUC8mwI7APee1NFTP7gw</t>
  </si>
  <si>
    <t>101-0004-0125</t>
  </si>
  <si>
    <t>Julianne Mendoza</t>
  </si>
  <si>
    <t>julianne.md.mendoza@gmail.com</t>
  </si>
  <si>
    <t>CRJ8095</t>
  </si>
  <si>
    <t>pi_3OmJTcC8mwI7APee1fNrauNp</t>
  </si>
  <si>
    <t>Julianne  Mendoza</t>
  </si>
  <si>
    <t>101-0004-0126</t>
  </si>
  <si>
    <t>craig stirling</t>
  </si>
  <si>
    <t>craigstirling71@gmail.com</t>
  </si>
  <si>
    <t>CFB7003</t>
  </si>
  <si>
    <t>pi_3OhkXkC8mwI7APee1Bch11xx</t>
  </si>
  <si>
    <t>101-0004-0134</t>
  </si>
  <si>
    <t>Melanie Paterniti</t>
  </si>
  <si>
    <t>mpaterniti18@gmail.com</t>
  </si>
  <si>
    <t>CPH9706</t>
  </si>
  <si>
    <t>pi_3Ohy85C8mwI7APee1G1dsTjG</t>
  </si>
  <si>
    <t>101-0004-0135</t>
  </si>
  <si>
    <t>Krystle Pelto</t>
  </si>
  <si>
    <t>kreestalp@gmail.com</t>
  </si>
  <si>
    <t>BYM6235</t>
  </si>
  <si>
    <t>pi_3Oi3iPC8mwI7APee1kSOAe2B</t>
  </si>
  <si>
    <t>Krystle  Pelto</t>
  </si>
  <si>
    <t>101-0004-0136</t>
  </si>
  <si>
    <t>Barb Corbett</t>
  </si>
  <si>
    <t>b.corbett@telus.net</t>
  </si>
  <si>
    <t>CGC7793</t>
  </si>
  <si>
    <t>pi_3Oi4OSC8mwI7APee1EHihR1y</t>
  </si>
  <si>
    <t>101-0004-0139</t>
  </si>
  <si>
    <t>pi_3OiJSJC8mwI7APee1LHUTKWz</t>
  </si>
  <si>
    <t>101-0004-0140</t>
  </si>
  <si>
    <t>FranÃ§ois Breger</t>
  </si>
  <si>
    <t>francois_breger@orange.fr</t>
  </si>
  <si>
    <t>TH616M</t>
  </si>
  <si>
    <t>pi_3OiK8ZC8mwI7APee0PpxVQLa</t>
  </si>
  <si>
    <t>101-0004-0141</t>
  </si>
  <si>
    <t>Alex Paula</t>
  </si>
  <si>
    <t>alexandre.paula@evonik.com</t>
  </si>
  <si>
    <t>CCX3575</t>
  </si>
  <si>
    <t>pi_3OiL9zC8mwI7APee1Ui9H8HZ</t>
  </si>
  <si>
    <t>101-0004-0143</t>
  </si>
  <si>
    <t>Keren Crossland</t>
  </si>
  <si>
    <t>keren@werkmantransport.ca</t>
  </si>
  <si>
    <t>GMAKR0N</t>
  </si>
  <si>
    <t>pi_3OXDtMC8mwI7APee16HOwhpP</t>
  </si>
  <si>
    <t>101-0004-0145</t>
  </si>
  <si>
    <t>pi_3OiT3kC8mwI7APee1TBC2L0e</t>
  </si>
  <si>
    <t>101-0004-0149</t>
  </si>
  <si>
    <t>Brandon Knight</t>
  </si>
  <si>
    <t>bkissocool@gmail.com</t>
  </si>
  <si>
    <t>BKH0612</t>
  </si>
  <si>
    <t>pi_3Oij2GC8mwI7APee0Zj7QE24</t>
  </si>
  <si>
    <t>101-0004-0152</t>
  </si>
  <si>
    <t>Alexander Drummond</t>
  </si>
  <si>
    <t>alexcdrummond@gmail.com</t>
  </si>
  <si>
    <t>CDH9865</t>
  </si>
  <si>
    <t>pi_3OOVmhC8mwI7APee17QeUjKz</t>
  </si>
  <si>
    <t xml:space="preserve">Alexander  Drummond </t>
  </si>
  <si>
    <t>101-0003-9739</t>
  </si>
  <si>
    <t>pi_3Odfn4C8mwI7APee1pYwnO6l</t>
  </si>
  <si>
    <t>101-0003-9765</t>
  </si>
  <si>
    <t>Nathalie Lefebvre</t>
  </si>
  <si>
    <t>ginko_nat@yahoo.com</t>
  </si>
  <si>
    <t>CLR0356</t>
  </si>
  <si>
    <t>pi_3OYhjhC8mwI7APee07sA4CKs</t>
  </si>
  <si>
    <t>101-0003-9766</t>
  </si>
  <si>
    <t>101-0003-9767</t>
  </si>
  <si>
    <t>101-0003-9768</t>
  </si>
  <si>
    <t>101-0003-9769</t>
  </si>
  <si>
    <t>101-0003-9773</t>
  </si>
  <si>
    <t>Brian Zubach</t>
  </si>
  <si>
    <t>bzubach@gmail.com</t>
  </si>
  <si>
    <t>CMT7343</t>
  </si>
  <si>
    <t>pi_3Odjj6C8mwI7APee0pKKMYY8</t>
  </si>
  <si>
    <t>Brian  Zubach</t>
  </si>
  <si>
    <t>101-0003-9774</t>
  </si>
  <si>
    <t>101-0003-9801</t>
  </si>
  <si>
    <t>pi_3OxrTkC8mwI7APee0iGMsw82</t>
  </si>
  <si>
    <t>101-0003-9802</t>
  </si>
  <si>
    <t>Marijke De Bruin</t>
  </si>
  <si>
    <t>marijke.debruin01@gmail.com</t>
  </si>
  <si>
    <t>CLH1814</t>
  </si>
  <si>
    <t>pi_3OxrfqC8mwI7APee0PgB08T4</t>
  </si>
  <si>
    <t>101-0003-9803</t>
  </si>
  <si>
    <t>Justin Bond</t>
  </si>
  <si>
    <t>jbond2099@hotmail.com</t>
  </si>
  <si>
    <t>CKS1507</t>
  </si>
  <si>
    <t>pi_3Oxt3kC8mwI7APee0dF2vzXC</t>
  </si>
  <si>
    <t>101-0003-9804</t>
  </si>
  <si>
    <t>Jennine Poirier</t>
  </si>
  <si>
    <t>jennine.poirier@gmail.com</t>
  </si>
  <si>
    <t>C21TP34</t>
  </si>
  <si>
    <t>pi_3Oxt6QC8mwI7APee1IwfTpeY</t>
  </si>
  <si>
    <t>101-0003-9805</t>
  </si>
  <si>
    <t>Rami Khalil</t>
  </si>
  <si>
    <t>ramik4416@gmail.com</t>
  </si>
  <si>
    <t>CFM8663</t>
  </si>
  <si>
    <t>101-0003-9806</t>
  </si>
  <si>
    <t>pi_3OqS1IC8mwI7APee0ir8QgoF</t>
  </si>
  <si>
    <t>101-0003-9817</t>
  </si>
  <si>
    <t>Dineke Van Gelder</t>
  </si>
  <si>
    <t>dvangelder@shaw.ca</t>
  </si>
  <si>
    <t>92L322</t>
  </si>
  <si>
    <t>pi_3Ou3izC8mwI7APee1tRit1FW</t>
  </si>
  <si>
    <t xml:space="preserve">Dineke  Van Gelder </t>
  </si>
  <si>
    <t>101-0003-9818</t>
  </si>
  <si>
    <t>BFN9052</t>
  </si>
  <si>
    <t>101-0003-9819</t>
  </si>
  <si>
    <t>Ryan Boyd</t>
  </si>
  <si>
    <t>rmboyd@telus.net</t>
  </si>
  <si>
    <t>DA2656</t>
  </si>
  <si>
    <t>pi_3Oy23ZC8mwI7APee15twGd2O</t>
  </si>
  <si>
    <t>101-0003-9828</t>
  </si>
  <si>
    <t>Megan Mulligan</t>
  </si>
  <si>
    <t>ginger.rage83@gmail.com</t>
  </si>
  <si>
    <t>AC3840</t>
  </si>
  <si>
    <t>pi_3Oy4gzC8mwI7APee0nyeWRLK</t>
  </si>
  <si>
    <t>101-0003-9829</t>
  </si>
  <si>
    <t>pi_3OqmfEC8mwI7APee1OorLCTF</t>
  </si>
  <si>
    <t>101-0003-9830</t>
  </si>
  <si>
    <t>pi_3OqmfhC8mwI7APee1Fp769Kq</t>
  </si>
  <si>
    <t>101-0003-9831</t>
  </si>
  <si>
    <t>Shannon Powell</t>
  </si>
  <si>
    <t>barks_ca@yahoo.ca</t>
  </si>
  <si>
    <t>EZS87</t>
  </si>
  <si>
    <t>pi_3OuGPmC8mwI7APee1MfUVpuG</t>
  </si>
  <si>
    <t>Shannon  Powell</t>
  </si>
  <si>
    <t>101-0003-9832</t>
  </si>
  <si>
    <t>Jonathan Engram</t>
  </si>
  <si>
    <t>tengram@gmail.com</t>
  </si>
  <si>
    <t>0AP426</t>
  </si>
  <si>
    <t>pi_3OqnuMC8mwI7APee1y03jPVz</t>
  </si>
  <si>
    <t xml:space="preserve">Jonathan  Engram </t>
  </si>
  <si>
    <t>101-0003-9835</t>
  </si>
  <si>
    <t>ANDREW GANGLOFF</t>
  </si>
  <si>
    <t>andrewg@hivecor.com</t>
  </si>
  <si>
    <t>CMM2285</t>
  </si>
  <si>
    <t>pi_3OuNaGC8mwI7APee1AzerK7m</t>
  </si>
  <si>
    <t>101-0003-9854</t>
  </si>
  <si>
    <t>pi_3Or0uOC8mwI7APee0RFHAmiq</t>
  </si>
  <si>
    <t>101-0003-9855</t>
  </si>
  <si>
    <t>Neil Cameron</t>
  </si>
  <si>
    <t>neil.cameron@telus.net</t>
  </si>
  <si>
    <t>CHZ1069</t>
  </si>
  <si>
    <t>pi_3OuPX0C8mwI7APee0QkYGrdn</t>
  </si>
  <si>
    <t>101-0003-9856</t>
  </si>
  <si>
    <t>Ken White</t>
  </si>
  <si>
    <t>kenmarkwhite@yahoo.com</t>
  </si>
  <si>
    <t>CDD6832</t>
  </si>
  <si>
    <t>pi_3Or28fC8mwI7APee1ymnywZU</t>
  </si>
  <si>
    <t>101-0003-9861</t>
  </si>
  <si>
    <t>pi_3OubRzC8mwI7APee0ye9tbhp</t>
  </si>
  <si>
    <t>101-0003-9862</t>
  </si>
  <si>
    <t>pi_3Oucg1C8mwI7APee1qd1Uzqp</t>
  </si>
  <si>
    <t>101-0003-9865</t>
  </si>
  <si>
    <t>pi_3OuyBqC8mwI7APee1hHyMisb</t>
  </si>
  <si>
    <t>101-0003-9866</t>
  </si>
  <si>
    <t>Drew Paterson</t>
  </si>
  <si>
    <t>dpaterson75@gmail.com</t>
  </si>
  <si>
    <t>RD160G</t>
  </si>
  <si>
    <t>pi_3OuyS7C8mwI7APee0dsIawak</t>
  </si>
  <si>
    <t xml:space="preserve">Drew  Paterson </t>
  </si>
  <si>
    <t>101-0003-9867</t>
  </si>
  <si>
    <t>pi_3Ouy65C8mwI7APee1WOoeIF3</t>
  </si>
  <si>
    <t>101-0003-9868</t>
  </si>
  <si>
    <t>Julia Compton</t>
  </si>
  <si>
    <t>julia.compton@gmail.com</t>
  </si>
  <si>
    <t>BFM2453</t>
  </si>
  <si>
    <t>pi_3OyaWIC8mwI7APee0WUib4pI</t>
  </si>
  <si>
    <t>101-0003-9869</t>
  </si>
  <si>
    <t>CCY5070</t>
  </si>
  <si>
    <t>pi_3OuyqjC8mwI7APee00YFJLyu</t>
  </si>
  <si>
    <t>101-0003-9870</t>
  </si>
  <si>
    <t>Lori Cote</t>
  </si>
  <si>
    <t>lorikcote@gmail.com</t>
  </si>
  <si>
    <t>UEK702</t>
  </si>
  <si>
    <t>pi_3OuywIC8mwI7APee08sbIKgk</t>
  </si>
  <si>
    <t>101-0003-9873</t>
  </si>
  <si>
    <t>Ilse Merceij</t>
  </si>
  <si>
    <t>ilsemerceij@gmail.com</t>
  </si>
  <si>
    <t>TRO30P</t>
  </si>
  <si>
    <t>pi_3Ov10IC8mwI7APee1nVarDrC</t>
  </si>
  <si>
    <t>101-0003-9874</t>
  </si>
  <si>
    <t>Ella Morash</t>
  </si>
  <si>
    <t>ellammorash@gmail.com</t>
  </si>
  <si>
    <t>CNJ0026</t>
  </si>
  <si>
    <t>pi_3Ov2TYC8mwI7APee1rYafq8p</t>
  </si>
  <si>
    <t>101-0003-9875</t>
  </si>
  <si>
    <t>Jon Norman</t>
  </si>
  <si>
    <t>jon-987@hotmail.com</t>
  </si>
  <si>
    <t>BTM8670</t>
  </si>
  <si>
    <t>pi_3Ov61uC8mwI7APee1ZuVu2Sj</t>
  </si>
  <si>
    <t>101-0003-9876</t>
  </si>
  <si>
    <t>101-0003-9878</t>
  </si>
  <si>
    <t>Maria Goos</t>
  </si>
  <si>
    <t>martje303@hotmail.com</t>
  </si>
  <si>
    <t>0BC866</t>
  </si>
  <si>
    <t>pi_3Ov8YPC8mwI7APee0S1vx7vr</t>
  </si>
  <si>
    <t>101-0003-9879</t>
  </si>
  <si>
    <t>pi_3OybL6C8mwI7APee0YhnS6jI</t>
  </si>
  <si>
    <t>101-0003-9880</t>
  </si>
  <si>
    <t>pi_3OycmfC8mwI7APee0gUJ9eDe</t>
  </si>
  <si>
    <t>101-0003-9882</t>
  </si>
  <si>
    <t>Shawna McTaggart</t>
  </si>
  <si>
    <t>grayden0513@gmail.com</t>
  </si>
  <si>
    <t>VWZ245</t>
  </si>
  <si>
    <t>pi_3OygfyC8mwI7APee1c4B8sqn</t>
  </si>
  <si>
    <t>101-0003-9886</t>
  </si>
  <si>
    <t>Darryl Logan</t>
  </si>
  <si>
    <t>mobile@powercommtec.com</t>
  </si>
  <si>
    <t>BJF5163</t>
  </si>
  <si>
    <t>pi_3OvMGEC8mwI7APee0HTsGC4B</t>
  </si>
  <si>
    <t>101-0003-9887</t>
  </si>
  <si>
    <t>101-0003-9888</t>
  </si>
  <si>
    <t>101-0003-9889</t>
  </si>
  <si>
    <t>101-0003-9895</t>
  </si>
  <si>
    <t>Florence Plamondon</t>
  </si>
  <si>
    <t>florencebernier09@gmail.com</t>
  </si>
  <si>
    <t>ML352J</t>
  </si>
  <si>
    <t>pi_3OrPerC8mwI7APee0J5jmXow</t>
  </si>
  <si>
    <t>101-0003-9899</t>
  </si>
  <si>
    <t>Mathew Shumborski</t>
  </si>
  <si>
    <t>mason.shumborski@gmail.com</t>
  </si>
  <si>
    <t>CNS4974</t>
  </si>
  <si>
    <t>pi_3OyjeoC8mwI7APee1hQa5vKa</t>
  </si>
  <si>
    <t xml:space="preserve">Mathew  Shumborski </t>
  </si>
  <si>
    <t>101-0003-9901</t>
  </si>
  <si>
    <t>Roland Tetreault</t>
  </si>
  <si>
    <t>roland.tet@gmail.com</t>
  </si>
  <si>
    <t>CCT8075</t>
  </si>
  <si>
    <t>pi_3Oyk2eC8mwI7APee1p6wH6rC</t>
  </si>
  <si>
    <t>101-0003-9902</t>
  </si>
  <si>
    <t>101-0003-9903</t>
  </si>
  <si>
    <t>Stefan Lee</t>
  </si>
  <si>
    <t>stefanlee@gmail.com</t>
  </si>
  <si>
    <t>DB2652</t>
  </si>
  <si>
    <t>pi_3OrSSyC8mwI7APee1YazmAT9</t>
  </si>
  <si>
    <t>101-0003-9904</t>
  </si>
  <si>
    <t>Brittany Sisco</t>
  </si>
  <si>
    <t>britty_sisco@hotmail.com</t>
  </si>
  <si>
    <t>CCM1033</t>
  </si>
  <si>
    <t>pi_3OvTbPC8mwI7APee1RoJ5WWu</t>
  </si>
  <si>
    <t>101-0003-9909</t>
  </si>
  <si>
    <t>Shawna Bohun</t>
  </si>
  <si>
    <t>mcnabb.shawna@hotmail.com</t>
  </si>
  <si>
    <t>A46650</t>
  </si>
  <si>
    <t>pi_3OymIwC8mwI7APee1uF9YDnK</t>
  </si>
  <si>
    <t>101-0003-9910</t>
  </si>
  <si>
    <t>Robin Pedlar</t>
  </si>
  <si>
    <t>rbpedlar@shaw.ca</t>
  </si>
  <si>
    <t>CFK9558</t>
  </si>
  <si>
    <t>pi_3OynDAC8mwI7APee1Wq0zff7</t>
  </si>
  <si>
    <t>101-0003-9911</t>
  </si>
  <si>
    <t>Todd Parsons</t>
  </si>
  <si>
    <t>parsons.todd@gmail.com</t>
  </si>
  <si>
    <t>CFP5997</t>
  </si>
  <si>
    <t>pi_3OyoWUC8mwI7APee0NYFMfaw</t>
  </si>
  <si>
    <t>101-0003-9912</t>
  </si>
  <si>
    <t>Steve Tieulie</t>
  </si>
  <si>
    <t>steven.tieulie@gmail.com</t>
  </si>
  <si>
    <t>CFB7076</t>
  </si>
  <si>
    <t>pi_3OrZ0GC8mwI7APee1C1ejWmA</t>
  </si>
  <si>
    <t>101-0003-9914</t>
  </si>
  <si>
    <t>Blair Topilko</t>
  </si>
  <si>
    <t>bctopilko@shaw.ca</t>
  </si>
  <si>
    <t>CPS4366</t>
  </si>
  <si>
    <t>pi_3OrYdPC8mwI7APee0DOb7yfc</t>
  </si>
  <si>
    <t>101-0003-9915</t>
  </si>
  <si>
    <t>101-0003-9916</t>
  </si>
  <si>
    <t>pi_3OrZo2C8mwI7APee0R9zpu9U</t>
  </si>
  <si>
    <t>101-0003-9918</t>
  </si>
  <si>
    <t>Sylvi Byrne</t>
  </si>
  <si>
    <t>sylvibyrne@hotmail.ca</t>
  </si>
  <si>
    <t>BZR2077</t>
  </si>
  <si>
    <t>pi_3Oyxl2C8mwI7APee1R5ALsXL</t>
  </si>
  <si>
    <t>101-0003-9919</t>
  </si>
  <si>
    <t>pi_3OyxpdC8mwI7APee0BaHOyqb</t>
  </si>
  <si>
    <t>101-0003-9920</t>
  </si>
  <si>
    <t>Kevin Halko</t>
  </si>
  <si>
    <t>khalko@gmail.com</t>
  </si>
  <si>
    <t>BNL0910</t>
  </si>
  <si>
    <t>pi_3OyyAlC8mwI7APee0mWn8Rrj</t>
  </si>
  <si>
    <t>101-0003-9921</t>
  </si>
  <si>
    <t>Marc Cormier</t>
  </si>
  <si>
    <t>marccormier139@outlook.com</t>
  </si>
  <si>
    <t>BKH3005</t>
  </si>
  <si>
    <t>pi_3Oz1wBC8mwI7APee1LGltdXY</t>
  </si>
  <si>
    <t>Marc  Cormier</t>
  </si>
  <si>
    <t>101-0003-9922</t>
  </si>
  <si>
    <t>Rae Thygesen</t>
  </si>
  <si>
    <t>rae.thygesen@gmail.com</t>
  </si>
  <si>
    <t>BPG7051</t>
  </si>
  <si>
    <t>pi_3Oz2wcC8mwI7APee1I2hXH95</t>
  </si>
  <si>
    <t>101-0003-9926</t>
  </si>
  <si>
    <t>Monique Goodwin</t>
  </si>
  <si>
    <t>ladybug24@hotmail.com</t>
  </si>
  <si>
    <t>AF1517</t>
  </si>
  <si>
    <t>pi_3OvhYZC8mwI7APee0XJedcTi</t>
  </si>
  <si>
    <t>101-0003-9927</t>
  </si>
  <si>
    <t>Amanda Zezel</t>
  </si>
  <si>
    <t>amandazezel@hotmail.ca</t>
  </si>
  <si>
    <t>DB7390</t>
  </si>
  <si>
    <t>pi_3OvjZgC8mwI7APee0mlrNUrs</t>
  </si>
  <si>
    <t>101-0003-9928</t>
  </si>
  <si>
    <t>Maeve Smith</t>
  </si>
  <si>
    <t>drmaevesmith@gmail.com</t>
  </si>
  <si>
    <t>BTR7789</t>
  </si>
  <si>
    <t>pi_3OoZtlC8mwI7APee04hmY61b</t>
  </si>
  <si>
    <t>101-0003-9929</t>
  </si>
  <si>
    <t>101-0003-9930</t>
  </si>
  <si>
    <t>Lisa Martin</t>
  </si>
  <si>
    <t>lisamartin2006@gmail.com</t>
  </si>
  <si>
    <t>BMD5463</t>
  </si>
  <si>
    <t>pi_3Oz6bGC8mwI7APee16dkuNum</t>
  </si>
  <si>
    <t>101-0003-9935</t>
  </si>
  <si>
    <t>Karla Mostashari</t>
  </si>
  <si>
    <t>karlasaskiw@hotmail.com</t>
  </si>
  <si>
    <t>BZK7601</t>
  </si>
  <si>
    <t>pi_3Oz87HC8mwI7APee0CLMpOmi</t>
  </si>
  <si>
    <t>101-0003-9936</t>
  </si>
  <si>
    <t>101-0003-9937</t>
  </si>
  <si>
    <t>pi_3OrpSmC8mwI7APee0LGUEmNn</t>
  </si>
  <si>
    <t>101-0003-9941</t>
  </si>
  <si>
    <t>John Dombroski</t>
  </si>
  <si>
    <t>john.d.dombroski@gmail.com</t>
  </si>
  <si>
    <t>AD5504</t>
  </si>
  <si>
    <t>pi_3Oz94tC8mwI7APee1wxeiLgD</t>
  </si>
  <si>
    <t>101-0003-9945</t>
  </si>
  <si>
    <t>Curtis Boudreau</t>
  </si>
  <si>
    <t>boudreaucurtis88@gmail.com</t>
  </si>
  <si>
    <t>CLW5721</t>
  </si>
  <si>
    <t>101-0003-9948</t>
  </si>
  <si>
    <t>pi_3OzB2zC8mwI7APee0Jx69qdu</t>
  </si>
  <si>
    <t>101-0003-9952</t>
  </si>
  <si>
    <t>pi_3OzKNsC8mwI7APee1RWzYSNE</t>
  </si>
  <si>
    <t>101-0003-9957</t>
  </si>
  <si>
    <t>pi_3OzLsxC8mwI7APee1m9YGfug</t>
  </si>
  <si>
    <t>101-0003-9963</t>
  </si>
  <si>
    <t>pi_3OoZfPC8mwI7APee0pMPq32e</t>
  </si>
  <si>
    <t>101-0003-9965</t>
  </si>
  <si>
    <t>Gavin Rittammer</t>
  </si>
  <si>
    <t>grittammer@gmail.com</t>
  </si>
  <si>
    <t>23GRITY</t>
  </si>
  <si>
    <t>pi_3OsT5RC8mwI7APee1uLstCfQ</t>
  </si>
  <si>
    <t>101-0003-9966</t>
  </si>
  <si>
    <t>101-0003-9967</t>
  </si>
  <si>
    <t>Rob D</t>
  </si>
  <si>
    <t>rlowandco@gmail.com</t>
  </si>
  <si>
    <t>CFM7824</t>
  </si>
  <si>
    <t>pi_3OzS8aC8mwI7APee0d6lsBbD</t>
  </si>
  <si>
    <t>101-0003-9968</t>
  </si>
  <si>
    <t>Chantal Delfs</t>
  </si>
  <si>
    <t>chantal.tacail@gmail.com</t>
  </si>
  <si>
    <t>32M776</t>
  </si>
  <si>
    <t>pi_3OvqGgC8mwI7APee1r4yOTR2</t>
  </si>
  <si>
    <t>101-0003-9973</t>
  </si>
  <si>
    <t>Jennifer Litton</t>
  </si>
  <si>
    <t>jen.litton@hotmail.com</t>
  </si>
  <si>
    <t>CMZ2586</t>
  </si>
  <si>
    <t>pi_3OvqevC8mwI7APee1wPxYlDE</t>
  </si>
  <si>
    <t>101-0003-9975</t>
  </si>
  <si>
    <t>Trevor Benjamin</t>
  </si>
  <si>
    <t>mac_ltd@hotmail.com</t>
  </si>
  <si>
    <t>BFC1374</t>
  </si>
  <si>
    <t>pi_3OzWUhC8mwI7APee01K2vHSs</t>
  </si>
  <si>
    <t>101-0003-9976</t>
  </si>
  <si>
    <t>Tom Appelman</t>
  </si>
  <si>
    <t>tappelman77@gmail.com</t>
  </si>
  <si>
    <t>CNP0593</t>
  </si>
  <si>
    <t>pi_3OzWjkC8mwI7APee1lNYc36P</t>
  </si>
  <si>
    <t>101-0003-9980</t>
  </si>
  <si>
    <t>Lucie Janosek</t>
  </si>
  <si>
    <t>luciej2011@gmail.com</t>
  </si>
  <si>
    <t>ME004F</t>
  </si>
  <si>
    <t>pi_3Ovsz7C8mwI7APee0saOJYPt</t>
  </si>
  <si>
    <t>101-0003-9981</t>
  </si>
  <si>
    <t>Benito Moyls</t>
  </si>
  <si>
    <t>benitomoyls@hotmail.com</t>
  </si>
  <si>
    <t>BFM3342</t>
  </si>
  <si>
    <t>pi_3Ory0HC8mwI7APee1XzKgYvt</t>
  </si>
  <si>
    <t>101-0003-9982</t>
  </si>
  <si>
    <t>Lana Brenneis</t>
  </si>
  <si>
    <t>lana.brenneis@gmail.com</t>
  </si>
  <si>
    <t>CFP8742</t>
  </si>
  <si>
    <t>pi_3Ogd3cC8mwI7APee0rjUhYBX</t>
  </si>
  <si>
    <t>101-0003-9985</t>
  </si>
  <si>
    <t>Hardy McGill</t>
  </si>
  <si>
    <t>retiredbiker@shaw.ca</t>
  </si>
  <si>
    <t>575</t>
  </si>
  <si>
    <t>pi_3Os4aBC8mwI7APee1gMzXl5o</t>
  </si>
  <si>
    <t>101-0003-9986</t>
  </si>
  <si>
    <t>pi_3OlKW3C8mwI7APee0f8fRYDN</t>
  </si>
  <si>
    <t>101-0003-9987</t>
  </si>
  <si>
    <t>pi_3Os5PIC8mwI7APee1caxokFY</t>
  </si>
  <si>
    <t>101-0003-9988</t>
  </si>
  <si>
    <t>pi_3Os5cmC8mwI7APee1NQoXaPX</t>
  </si>
  <si>
    <t>101-0003-9989</t>
  </si>
  <si>
    <t>101-0003-9990</t>
  </si>
  <si>
    <t>Liezel Zarate</t>
  </si>
  <si>
    <t>zarate.liezel@gmail.com</t>
  </si>
  <si>
    <t>CMR4725</t>
  </si>
  <si>
    <t>101-0003-9991</t>
  </si>
  <si>
    <t>101-0003-9992</t>
  </si>
  <si>
    <t>101-0003-9993</t>
  </si>
  <si>
    <t>Mark Scholz</t>
  </si>
  <si>
    <t>mark.scholz@ymail.com</t>
  </si>
  <si>
    <t>CPV7132</t>
  </si>
  <si>
    <t>pi_3Os89NC8mwI7APee05NFvrVR</t>
  </si>
  <si>
    <t>101-0003-9994</t>
  </si>
  <si>
    <t>pi_3OzfkyC8mwI7APee1Yx3wnJ2</t>
  </si>
  <si>
    <t>101-0003-9995</t>
  </si>
  <si>
    <t>Jody Shepard</t>
  </si>
  <si>
    <t>gogojody@gmail.com</t>
  </si>
  <si>
    <t>CDD9979</t>
  </si>
  <si>
    <t>pi_3Ovw0JC8mwI7APee1TONmdSr</t>
  </si>
  <si>
    <t>101-0003-9996</t>
  </si>
  <si>
    <t>Gina Carey</t>
  </si>
  <si>
    <t>careygina77@gmail.com</t>
  </si>
  <si>
    <t>UZX319</t>
  </si>
  <si>
    <t>pi_3OzgIkC8mwI7APee0WrDLQhG</t>
  </si>
  <si>
    <t>101-0003-9997</t>
  </si>
  <si>
    <t>pi_3OsBsFC8mwI7APee0GaipWvG</t>
  </si>
  <si>
    <t>101-0003-9998</t>
  </si>
  <si>
    <t>Lee Savage</t>
  </si>
  <si>
    <t>thesavagelee@gmail.com</t>
  </si>
  <si>
    <t>CCG3370</t>
  </si>
  <si>
    <t>pi_3OzhnHC8mwI7APee1Fctb5Wx</t>
  </si>
  <si>
    <t xml:space="preserve">Lee Savage </t>
  </si>
  <si>
    <t>101-0003-9999</t>
  </si>
  <si>
    <t>Charlotte Adsero</t>
  </si>
  <si>
    <t>charlotte.adsero@gmail.com</t>
  </si>
  <si>
    <t>T653RA</t>
  </si>
  <si>
    <t>pi_3OziKbC8mwI7APee0D4MWi5R</t>
  </si>
  <si>
    <t>101-0004-0000</t>
  </si>
  <si>
    <t>Patricia kuffler</t>
  </si>
  <si>
    <t>trishakuffler@gmail.com</t>
  </si>
  <si>
    <t>CDV2864</t>
  </si>
  <si>
    <t>pi_3OzpFVC8mwI7APee0hCcyhro</t>
  </si>
  <si>
    <t>101-0004-0001</t>
  </si>
  <si>
    <t>pi_3OsEAMC8mwI7APee1LvJIt9T</t>
  </si>
  <si>
    <t>101-0004-0002</t>
  </si>
  <si>
    <t>Sherry Senyk</t>
  </si>
  <si>
    <t>sherry.senyk@gmail.com</t>
  </si>
  <si>
    <t>pi_3OzsuEC8mwI7APee1wVibcF8</t>
  </si>
  <si>
    <t xml:space="preserve">Sherry Senyk </t>
  </si>
  <si>
    <t>101-0004-0003</t>
  </si>
  <si>
    <t>Jerome Vallieres</t>
  </si>
  <si>
    <t>jeromevallieres@hotmail.fr</t>
  </si>
  <si>
    <t>SJ643B</t>
  </si>
  <si>
    <t>pi_3Ozu3oC8mwI7APee0FQaajuw</t>
  </si>
  <si>
    <t>101-0004-0005</t>
  </si>
  <si>
    <t>pi_3P03apC8mwI7APee0FSvQgeH</t>
  </si>
  <si>
    <t>101-0004-0006</t>
  </si>
  <si>
    <t>Arturo C</t>
  </si>
  <si>
    <t>carthuror20@hotmail.com</t>
  </si>
  <si>
    <t>BMC8407</t>
  </si>
  <si>
    <t>pi_3P079DC8mwI7APee0NuYRhmc</t>
  </si>
  <si>
    <t>101-0004-0010</t>
  </si>
  <si>
    <t>Scott Morash</t>
  </si>
  <si>
    <t>scottmorash.ct@gmail.com</t>
  </si>
  <si>
    <t>pi_3OsS8uC8mwI7APee1VIy6gBR</t>
  </si>
  <si>
    <t>101-0004-0011</t>
  </si>
  <si>
    <t>Dan Wilson</t>
  </si>
  <si>
    <t>danwilson8@hotmail.com</t>
  </si>
  <si>
    <t>BUE170</t>
  </si>
  <si>
    <t>pi_3OsSBzC8mwI7APee06WZ3nV9</t>
  </si>
  <si>
    <t>101-0004-0012</t>
  </si>
  <si>
    <t>pi_3OsU4sC8mwI7APee1wxRc7Db</t>
  </si>
  <si>
    <t>101-0004-0013</t>
  </si>
  <si>
    <t>101-0004-0014</t>
  </si>
  <si>
    <t>Lindsey Mitchell</t>
  </si>
  <si>
    <t>l.mitchell@xtec.ca</t>
  </si>
  <si>
    <t>186MNA</t>
  </si>
  <si>
    <t>pi_3Ow5ZBC8mwI7APee1oirIUhl</t>
  </si>
  <si>
    <t xml:space="preserve">Lindsey Mitchell </t>
  </si>
  <si>
    <t>101-0004-0015</t>
  </si>
  <si>
    <t>Danielle Flook</t>
  </si>
  <si>
    <t>danielleflook@gmail.com</t>
  </si>
  <si>
    <t>BYG8638</t>
  </si>
  <si>
    <t>pi_3OotSdC8mwI7APee0qzUsvnC</t>
  </si>
  <si>
    <t>101-0004-0016</t>
  </si>
  <si>
    <t>101-0004-0017</t>
  </si>
  <si>
    <t>pi_3Ow5abC8mwI7APee1PHvNOOP</t>
  </si>
  <si>
    <t>101-0004-0019</t>
  </si>
  <si>
    <t>PETI</t>
  </si>
  <si>
    <t>pi_3P0G6hC8mwI7APee1EaAt6SO</t>
  </si>
  <si>
    <t>101-0004-0022</t>
  </si>
  <si>
    <t>101-0004-0025</t>
  </si>
  <si>
    <t>pi_3OggxiC8mwI7APee1Ycwjgt5</t>
  </si>
  <si>
    <t>101-0004-0026</t>
  </si>
  <si>
    <t>pi_3OsdkBC8mwI7APee1FflhSJ4</t>
  </si>
  <si>
    <t>101-0004-0027</t>
  </si>
  <si>
    <t>Jessie Hazelwood</t>
  </si>
  <si>
    <t>jessiehazelwood@hotmail.com</t>
  </si>
  <si>
    <t>CCL3059</t>
  </si>
  <si>
    <t>pi_3OseJAC8mwI7APee0GhtyQq3</t>
  </si>
  <si>
    <t>101-0004-0028</t>
  </si>
  <si>
    <t>Aaron Kuffler</t>
  </si>
  <si>
    <t>amkuffler@hotmail.com</t>
  </si>
  <si>
    <t>AE9953</t>
  </si>
  <si>
    <t>pi_3OseqpC8mwI7APee1jpagX6h</t>
  </si>
  <si>
    <t>101-0004-0029</t>
  </si>
  <si>
    <t>Keith Tilley</t>
  </si>
  <si>
    <t>kjtilley@gmail.com</t>
  </si>
  <si>
    <t>01N762</t>
  </si>
  <si>
    <t>pi_3OoqTMC8mwI7APee0wH9Gutn</t>
  </si>
  <si>
    <t>101-0004-0031</t>
  </si>
  <si>
    <t>pi_3OotTjC8mwI7APee1uww0GnE</t>
  </si>
  <si>
    <t>101-0004-0032</t>
  </si>
  <si>
    <t>Randi Gamble</t>
  </si>
  <si>
    <t>randiantonio@hotmail.com</t>
  </si>
  <si>
    <t>CNM7788</t>
  </si>
  <si>
    <t>pi_3OotZGC8mwI7APee06aakIBi</t>
  </si>
  <si>
    <t>101-0004-0033</t>
  </si>
  <si>
    <t>pi_3Ootb9C8mwI7APee154JeEMT</t>
  </si>
  <si>
    <t>101-0004-0034</t>
  </si>
  <si>
    <t>101-0004-0035</t>
  </si>
  <si>
    <t>pi_3Oso8UC8mwI7APee0U7U2ISB</t>
  </si>
  <si>
    <t>101-0004-0037</t>
  </si>
  <si>
    <t>pi_3OsuXMC8mwI7APee0xXhwt4j</t>
  </si>
  <si>
    <t>101-0004-0042</t>
  </si>
  <si>
    <t>Clemens Jamin-Lynn</t>
  </si>
  <si>
    <t>clemjamin@gmail.com</t>
  </si>
  <si>
    <t>CLW1259</t>
  </si>
  <si>
    <t>pi_3OowSgC8mwI7APee1x75ihK9</t>
  </si>
  <si>
    <t>101-0004-0044</t>
  </si>
  <si>
    <t>Trent Gibson</t>
  </si>
  <si>
    <t>tagibson11@gmail.com</t>
  </si>
  <si>
    <t>KY6332</t>
  </si>
  <si>
    <t>pi_3Osw8rC8mwI7APee0cMTLHA0</t>
  </si>
  <si>
    <t>101-0004-0045</t>
  </si>
  <si>
    <t>pi_3OswBAC8mwI7APee0AHOg8pc</t>
  </si>
  <si>
    <t>101-0004-0053</t>
  </si>
  <si>
    <t>Martin Derksen</t>
  </si>
  <si>
    <t>87marty@gmail.com</t>
  </si>
  <si>
    <t>DA8751</t>
  </si>
  <si>
    <t>pi_3OwSD6C8mwI7APee0tYFUr6m</t>
  </si>
  <si>
    <t xml:space="preserve">Martin  Derksen </t>
  </si>
  <si>
    <t>101-0004-0056</t>
  </si>
  <si>
    <t>Miles Miller</t>
  </si>
  <si>
    <t>milesmiller1990@gmail.com</t>
  </si>
  <si>
    <t>PR226S</t>
  </si>
  <si>
    <t>pi_3Ot9c3C8mwI7APee0sSvRP22</t>
  </si>
  <si>
    <t>101-0004-0057</t>
  </si>
  <si>
    <t>pi_3OtADlC8mwI7APee0Ll0wkJa</t>
  </si>
  <si>
    <t>101-0004-0058</t>
  </si>
  <si>
    <t>Barbara Benham-DaCosta</t>
  </si>
  <si>
    <t>barbdacosta@hotmail.com</t>
  </si>
  <si>
    <t>UUJ248</t>
  </si>
  <si>
    <t>pi_3OwWjoC8mwI7APee1hjF4cdX</t>
  </si>
  <si>
    <t>101-0004-0060</t>
  </si>
  <si>
    <t>Paul Turnbull</t>
  </si>
  <si>
    <t>paul@fourofus.ca</t>
  </si>
  <si>
    <t>GEEKS</t>
  </si>
  <si>
    <t>pi_3OpHi2C8mwI7APee1RJtaBSM</t>
  </si>
  <si>
    <t>101-0004-0061</t>
  </si>
  <si>
    <t>William M Knowles</t>
  </si>
  <si>
    <t>mikeknowles1@me.com</t>
  </si>
  <si>
    <t>CTPE624</t>
  </si>
  <si>
    <t>pi_3OtGbwC8mwI7APee03MkBldd</t>
  </si>
  <si>
    <t>101-0004-0067</t>
  </si>
  <si>
    <t>Shannon Cragg</t>
  </si>
  <si>
    <t>shannon_strate@hotmail.com</t>
  </si>
  <si>
    <t>CRP0494</t>
  </si>
  <si>
    <t>pi_3OpJAjC8mwI7APee1Em0Tc2E</t>
  </si>
  <si>
    <t>101-0004-0069</t>
  </si>
  <si>
    <t>Sonja Keulen</t>
  </si>
  <si>
    <t>horses.641@gmail.com</t>
  </si>
  <si>
    <t>CRK6327</t>
  </si>
  <si>
    <t>pi_3OpJvgC8mwI7APee0v2e8zIP</t>
  </si>
  <si>
    <t>101-0004-0070</t>
  </si>
  <si>
    <t>Tyler Shannon</t>
  </si>
  <si>
    <t>tyler.b.shannon@hotmail.com</t>
  </si>
  <si>
    <t>YVJ569</t>
  </si>
  <si>
    <t>pi_3OpKHDC8mwI7APee1WUWEiHd</t>
  </si>
  <si>
    <t>101-0004-0071</t>
  </si>
  <si>
    <t>pi_3OwZy6C8mwI7APee1FnsvS1M</t>
  </si>
  <si>
    <t>101-0004-0072</t>
  </si>
  <si>
    <t>pi_3OtJTOC8mwI7APee14xFsC5X</t>
  </si>
  <si>
    <t>101-0004-0074</t>
  </si>
  <si>
    <t>Scott Bennet</t>
  </si>
  <si>
    <t>scottbennet@gmail.com</t>
  </si>
  <si>
    <t>CLB5444</t>
  </si>
  <si>
    <t>pi_3OpNhoC8mwI7APee1e08L8gV</t>
  </si>
  <si>
    <t>101-0004-0075</t>
  </si>
  <si>
    <t>Peter McKee</t>
  </si>
  <si>
    <t>petemckee07@gmail.com</t>
  </si>
  <si>
    <t>CMF5256</t>
  </si>
  <si>
    <t>pi_3OpOOQC8mwI7APee1CxH754H</t>
  </si>
  <si>
    <t>101-0004-0077</t>
  </si>
  <si>
    <t>Durray Bosch</t>
  </si>
  <si>
    <t>durray.bosch@gmail.com</t>
  </si>
  <si>
    <t>DJE452</t>
  </si>
  <si>
    <t>pi_3OpOa9C8mwI7APee0eSGxyHO</t>
  </si>
  <si>
    <t>101-0004-0078</t>
  </si>
  <si>
    <t>Tracy Shanmugam</t>
  </si>
  <si>
    <t>ta_bruneau@yahoo.com</t>
  </si>
  <si>
    <t>BKG7899</t>
  </si>
  <si>
    <t>pi_3OwqiFC8mwI7APee1jVtJ6e7</t>
  </si>
  <si>
    <t>101-0004-0079</t>
  </si>
  <si>
    <t>Sheena James</t>
  </si>
  <si>
    <t>candy23413@gmail.com</t>
  </si>
  <si>
    <t>UZU238</t>
  </si>
  <si>
    <t>pi_3Oq1IMC8mwI7APee1OJNkBk3</t>
  </si>
  <si>
    <t>101-0004-0080</t>
  </si>
  <si>
    <t>pi_3OpWgvC8mwI7APee1EItkcPM</t>
  </si>
  <si>
    <t>101-0004-0081</t>
  </si>
  <si>
    <t>Home Grant</t>
  </si>
  <si>
    <t>johnegrant10@gmail.com</t>
  </si>
  <si>
    <t>CFX5653</t>
  </si>
  <si>
    <t>pi_3Owm02C8mwI7APee0lFEZe20</t>
  </si>
  <si>
    <t>101-0004-0082</t>
  </si>
  <si>
    <t>pi_3Owm0cC8mwI7APee1mRfd22m</t>
  </si>
  <si>
    <t>101-0004-0083</t>
  </si>
  <si>
    <t>Evan Zhang</t>
  </si>
  <si>
    <t>evan.zh7@outlook.com</t>
  </si>
  <si>
    <t>BMP5753</t>
  </si>
  <si>
    <t>pi_3OpYG4C8mwI7APee15Te2mAW</t>
  </si>
  <si>
    <t>101-0004-0084</t>
  </si>
  <si>
    <t>pi_3OpYNUC8mwI7APee1pihMpjZ</t>
  </si>
  <si>
    <t>101-0004-0085</t>
  </si>
  <si>
    <t>pi_3OpYTdC8mwI7APee0LXP031E</t>
  </si>
  <si>
    <t>101-0004-0086</t>
  </si>
  <si>
    <t>pi_3OpZrpC8mwI7APee0w64QeJQ</t>
  </si>
  <si>
    <t>101-0004-0087</t>
  </si>
  <si>
    <t>Zachary Field</t>
  </si>
  <si>
    <t>zacharydfield@gmail.com</t>
  </si>
  <si>
    <t>BMW3617</t>
  </si>
  <si>
    <t>101-0004-0088</t>
  </si>
  <si>
    <t>Li Bao</t>
  </si>
  <si>
    <t>pollybao123@gmail.com</t>
  </si>
  <si>
    <t>CBP1225</t>
  </si>
  <si>
    <t>pi_3OpZu3C8mwI7APee0AoeSzWj</t>
  </si>
  <si>
    <t>101-0004-0089</t>
  </si>
  <si>
    <t>pi_3OwnvAC8mwI7APee0IxMW1Nh</t>
  </si>
  <si>
    <t>101-0004-0090</t>
  </si>
  <si>
    <t>Karl Nikiforuk</t>
  </si>
  <si>
    <t>kcniki@shaw.ca</t>
  </si>
  <si>
    <t>LAD126</t>
  </si>
  <si>
    <t>pi_3Opa5EC8mwI7APee0F6xHr4i</t>
  </si>
  <si>
    <t>Karl  Nikiforuk</t>
  </si>
  <si>
    <t>101-0004-0091</t>
  </si>
  <si>
    <t>Chelsey Young</t>
  </si>
  <si>
    <t>alwaysdosports@yahoo.com</t>
  </si>
  <si>
    <t>BYN6177</t>
  </si>
  <si>
    <t>pi_3OpbLjC8mwI7APee1MQvSFXs</t>
  </si>
  <si>
    <t>101-0004-0092</t>
  </si>
  <si>
    <t>Alyssa Jessome</t>
  </si>
  <si>
    <t>alyssa.jessome@gmail.com</t>
  </si>
  <si>
    <t>CHH3001</t>
  </si>
  <si>
    <t>pi_3OwpDFC8mwI7APee0Oqd9Esc</t>
  </si>
  <si>
    <t>101-0004-0093</t>
  </si>
  <si>
    <t>101-0004-0094</t>
  </si>
  <si>
    <t>Matt Pelletier</t>
  </si>
  <si>
    <t>matt.pelletier1985@gmail.com</t>
  </si>
  <si>
    <t>CPX2051</t>
  </si>
  <si>
    <t>pi_3OpjLOC8mwI7APee0gYLycf6</t>
  </si>
  <si>
    <t>101-0004-0095</t>
  </si>
  <si>
    <t>Amy Sallenbach</t>
  </si>
  <si>
    <t>flymeamy@gmail.com</t>
  </si>
  <si>
    <t>CFY9265</t>
  </si>
  <si>
    <t>pi_3Opl4EC8mwI7APee0lwwLPMS</t>
  </si>
  <si>
    <t>101-0004-0096</t>
  </si>
  <si>
    <t>Fangzhou Liu</t>
  </si>
  <si>
    <t>f.albert.liu@gmail.com</t>
  </si>
  <si>
    <t>CHS6504</t>
  </si>
  <si>
    <t>pi_3OpsbjC8mwI7APee1YLyWxit</t>
  </si>
  <si>
    <t>101-0004-0097</t>
  </si>
  <si>
    <t>Robert Gibb</t>
  </si>
  <si>
    <t>bobbygibb1976@gmail.com</t>
  </si>
  <si>
    <t>CJC8806</t>
  </si>
  <si>
    <t>pi_3OpsjGC8mwI7APee0LF6UOFi</t>
  </si>
  <si>
    <t>Robert  Gibb</t>
  </si>
  <si>
    <t>101-0004-0098</t>
  </si>
  <si>
    <t>pi_3OpudoC8mwI7APee1KFf7F0E</t>
  </si>
  <si>
    <t>101-0004-0099</t>
  </si>
  <si>
    <t>pi_3OpuedC8mwI7APee1sZExyOF</t>
  </si>
  <si>
    <t>101-0004-0100</t>
  </si>
  <si>
    <t>Ashley Adams</t>
  </si>
  <si>
    <t>ashley_909@msn.com</t>
  </si>
  <si>
    <t>pi_3OpupkC8mwI7APee0X0yGEOW</t>
  </si>
  <si>
    <t>101-0004-0101</t>
  </si>
  <si>
    <t>Jess Fuller</t>
  </si>
  <si>
    <t>jessfuller@gmail.com</t>
  </si>
  <si>
    <t>CHL0077</t>
  </si>
  <si>
    <t>pi_3OpvaiC8mwI7APee1QtPpn1y</t>
  </si>
  <si>
    <t>101-0004-0102</t>
  </si>
  <si>
    <t>Stephanie Newnham</t>
  </si>
  <si>
    <t>stephanienewnham@hotmail.com</t>
  </si>
  <si>
    <t>KWA435</t>
  </si>
  <si>
    <t>pi_3Opw8sC8mwI7APee1ecJXFQ2</t>
  </si>
  <si>
    <t>101-0004-0103</t>
  </si>
  <si>
    <t>Kate Bacon</t>
  </si>
  <si>
    <t>kabacon@gmail.com</t>
  </si>
  <si>
    <t>BFW1829</t>
  </si>
  <si>
    <t>pi_3OpwDGC8mwI7APee079IEtJF</t>
  </si>
  <si>
    <t>Kate  Bacon</t>
  </si>
  <si>
    <t>101-0004-0104</t>
  </si>
  <si>
    <t>101-0004-0105</t>
  </si>
  <si>
    <t>Warren Tutton</t>
  </si>
  <si>
    <t>fltutton@gmail.com</t>
  </si>
  <si>
    <t>BTV9813</t>
  </si>
  <si>
    <t>pi_3OpwNeC8mwI7APee0hI2U1Y9</t>
  </si>
  <si>
    <t>101-0004-0106</t>
  </si>
  <si>
    <t>Sara Turner</t>
  </si>
  <si>
    <t>saracaturner@gmail.com</t>
  </si>
  <si>
    <t>CND8526</t>
  </si>
  <si>
    <t>pi_3OpwTjC8mwI7APee0wWvKxuS</t>
  </si>
  <si>
    <t>101-0004-0107</t>
  </si>
  <si>
    <t>Ali Shaben</t>
  </si>
  <si>
    <t>ali@sablerealty.ca</t>
  </si>
  <si>
    <t>01L676</t>
  </si>
  <si>
    <t>pi_3OpyPnC8mwI7APee1kD0aDyt</t>
  </si>
  <si>
    <t>101-0004-0108</t>
  </si>
  <si>
    <t>Christopher Eisler</t>
  </si>
  <si>
    <t>chriseisler@hotmail.com</t>
  </si>
  <si>
    <t>BYK1401</t>
  </si>
  <si>
    <t>pi_3Oq0v3C8mwI7APee0EaNd7Go</t>
  </si>
  <si>
    <t>101-0004-0109</t>
  </si>
  <si>
    <t>pi_3Oq1y6C8mwI7APee0jJdSMOb</t>
  </si>
  <si>
    <t>101-0004-0110</t>
  </si>
  <si>
    <t>101-0004-0111</t>
  </si>
  <si>
    <t>pi_3Oq2IkC8mwI7APee1DbR1aX1</t>
  </si>
  <si>
    <t>101-0004-0112</t>
  </si>
  <si>
    <t>Ryan Pipes</t>
  </si>
  <si>
    <t>ryanpipes1979@gmail.com</t>
  </si>
  <si>
    <t>CKG2740</t>
  </si>
  <si>
    <t>pi_3Oq4ndC8mwI7APee0qc5dVsi</t>
  </si>
  <si>
    <t xml:space="preserve">Ryan  Pipes </t>
  </si>
  <si>
    <t>101-0004-0115</t>
  </si>
  <si>
    <t>pi_3OwvpYC8mwI7APee0rRhJHRX</t>
  </si>
  <si>
    <t>101-0004-0116</t>
  </si>
  <si>
    <t>101-0004-0117</t>
  </si>
  <si>
    <t>pi_3OqGPtC8mwI7APee1IX9xOnw</t>
  </si>
  <si>
    <t>101-0004-0118</t>
  </si>
  <si>
    <t>pi_3OqGtWC8mwI7APee0zFVPHm7</t>
  </si>
  <si>
    <t>101-0004-0120</t>
  </si>
  <si>
    <t>pi_3OqH1CC8mwI7APee17YQuVXt</t>
  </si>
  <si>
    <t>101-0004-0122</t>
  </si>
  <si>
    <t>Janet Edwards</t>
  </si>
  <si>
    <t>janet.edwards@shaw.ca</t>
  </si>
  <si>
    <t>BZB2905</t>
  </si>
  <si>
    <t>pi_3Owx3aC8mwI7APee0F8XX8yh</t>
  </si>
  <si>
    <t>101-0004-0127</t>
  </si>
  <si>
    <t>Danika May</t>
  </si>
  <si>
    <t>danikamay127@gmail.com</t>
  </si>
  <si>
    <t>CNC7420</t>
  </si>
  <si>
    <t>pi_3Ox8U8C8mwI7APee1UPy64CI</t>
  </si>
  <si>
    <t>101-0004-0128</t>
  </si>
  <si>
    <t>Andrea Neilson</t>
  </si>
  <si>
    <t>andreaneilson@me.com</t>
  </si>
  <si>
    <t>BTR8195</t>
  </si>
  <si>
    <t>pi_3Ox97nC8mwI7APee0RemRdZO</t>
  </si>
  <si>
    <t>101-0004-0129</t>
  </si>
  <si>
    <t>JC Wang</t>
  </si>
  <si>
    <t>jinchuan.wang@gmail.com</t>
  </si>
  <si>
    <t>OAA453</t>
  </si>
  <si>
    <t>pi_3OxCV4C8mwI7APee1fdh1IUU</t>
  </si>
  <si>
    <t>101-0004-0130</t>
  </si>
  <si>
    <t>pi_3OxGQ0C8mwI7APee1zEOjKrO</t>
  </si>
  <si>
    <t>101-0004-0131</t>
  </si>
  <si>
    <t>April Brook</t>
  </si>
  <si>
    <t>a_sarchuk@hotmail.com</t>
  </si>
  <si>
    <t>CKV7953</t>
  </si>
  <si>
    <t>pi_3OxHv0C8mwI7APee07ii2jg5</t>
  </si>
  <si>
    <t>101-0004-0132</t>
  </si>
  <si>
    <t>Simon Elzen-Hoskyn</t>
  </si>
  <si>
    <t>simonhoskyn@hotmail.com</t>
  </si>
  <si>
    <t>CHc6731</t>
  </si>
  <si>
    <t>pi_3OxJLWC8mwI7APee1DDwBx8t</t>
  </si>
  <si>
    <t>101-0004-0133</t>
  </si>
  <si>
    <t>101-0004-0137</t>
  </si>
  <si>
    <t>Graham Westwood</t>
  </si>
  <si>
    <t>gwestwood@hotmail.com</t>
  </si>
  <si>
    <t>BFT1989</t>
  </si>
  <si>
    <t>pi_3OxXQxC8mwI7APee0j4UgMO1</t>
  </si>
  <si>
    <t>101-0004-0138</t>
  </si>
  <si>
    <t>Dylan Row</t>
  </si>
  <si>
    <t>dylan.russell.row@gmail.com</t>
  </si>
  <si>
    <t>B25090</t>
  </si>
  <si>
    <t>pi_3OxXxEC8mwI7APee0CDdO95F</t>
  </si>
  <si>
    <t>101-0004-0142</t>
  </si>
  <si>
    <t>Aimie Hillier</t>
  </si>
  <si>
    <t>aimie1@gmail.com</t>
  </si>
  <si>
    <t>UAV815</t>
  </si>
  <si>
    <t>pi_3Oxb7nC8mwI7APee1bOlEaSt</t>
  </si>
  <si>
    <t>101-0004-0144</t>
  </si>
  <si>
    <t>Claudine Girouard</t>
  </si>
  <si>
    <t>girouardclaudine@gmail.com</t>
  </si>
  <si>
    <t>EMR027</t>
  </si>
  <si>
    <t>pi_3OxdZGC8mwI7APee0IlAvtLG</t>
  </si>
  <si>
    <t>101-0004-0146</t>
  </si>
  <si>
    <t>George Johnson</t>
  </si>
  <si>
    <t>gejohnson@prairiegoldscaffolding.com</t>
  </si>
  <si>
    <t>CHG1424</t>
  </si>
  <si>
    <t>pi_3OxgxLC8mwI7APee08XPYmrT</t>
  </si>
  <si>
    <t>101-0004-0147</t>
  </si>
  <si>
    <t>Ruben Ramirez</t>
  </si>
  <si>
    <t>rubenrmzm@gmail.com</t>
  </si>
  <si>
    <t>BSG2097</t>
  </si>
  <si>
    <t>pi_3OxidPC8mwI7APee042rYPmB</t>
  </si>
  <si>
    <t>Ruben  Ramirez</t>
  </si>
  <si>
    <t>101-0004-0148</t>
  </si>
  <si>
    <t>Andreas Morse</t>
  </si>
  <si>
    <t>andreascgmorse@gmail.com</t>
  </si>
  <si>
    <t>KKA787</t>
  </si>
  <si>
    <t>pi_3OtwkyC8mwI7APee130vn1xx</t>
  </si>
  <si>
    <t>101-0003-9807</t>
  </si>
  <si>
    <t>Janine Roldan</t>
  </si>
  <si>
    <t>janineroldan@hotmail.ca</t>
  </si>
  <si>
    <t>BXC6349</t>
  </si>
  <si>
    <t>pi_3P8oClC8mwI7APee0fb7ZAaN</t>
  </si>
  <si>
    <t>101-0003-9826</t>
  </si>
  <si>
    <t>Jason Connell</t>
  </si>
  <si>
    <t>jasonconnell@gmail.com</t>
  </si>
  <si>
    <t>CKS4391</t>
  </si>
  <si>
    <t>pi_3P1fsvC8mwI7APee0CuL8Eq5</t>
  </si>
  <si>
    <t>101-0003-9834</t>
  </si>
  <si>
    <t>Crystal Dahl</t>
  </si>
  <si>
    <t>crystaldahl@mac.com</t>
  </si>
  <si>
    <t>727LZT</t>
  </si>
  <si>
    <t>pi_3P1uGXC8mwI7APee1HgJnO6H</t>
  </si>
  <si>
    <t>101-0003-9884</t>
  </si>
  <si>
    <t>Dave Wheeler</t>
  </si>
  <si>
    <t>dave.b.wheeler@gmail.com</t>
  </si>
  <si>
    <t>SYT701</t>
  </si>
  <si>
    <t>pi_3P2O6NC8mwI7APee0MijDTmF</t>
  </si>
  <si>
    <t>101-0003-9885</t>
  </si>
  <si>
    <t>gregory.gilmour@gmail.com Gilmour</t>
  </si>
  <si>
    <t>gregory.gilmour@gmail.com</t>
  </si>
  <si>
    <t>BXX2729</t>
  </si>
  <si>
    <t>pi_3P2QigC8mwI7APee0CyfpFZE</t>
  </si>
  <si>
    <t>101-0003-9891</t>
  </si>
  <si>
    <t>Aimee Guy</t>
  </si>
  <si>
    <t>aimee-guy@hotmail.com</t>
  </si>
  <si>
    <t>36P990</t>
  </si>
  <si>
    <t>pi_3P2cKXC8mwI7APee1aj1bDiq</t>
  </si>
  <si>
    <t>101-0003-9892</t>
  </si>
  <si>
    <t>Debbie Dyer</t>
  </si>
  <si>
    <t>deborahdyer74@gmail.com</t>
  </si>
  <si>
    <t>BRNWILD</t>
  </si>
  <si>
    <t>pi_3P2co6C8mwI7APee0WdweY3G</t>
  </si>
  <si>
    <t>101-0003-9923</t>
  </si>
  <si>
    <t>Blaine Stumborg</t>
  </si>
  <si>
    <t>amanda_blaine@shaw.ca</t>
  </si>
  <si>
    <t>A08959</t>
  </si>
  <si>
    <t>pi_3P6n6DC8mwI7APee1zlQJr1G</t>
  </si>
  <si>
    <t>101-0004-0023</t>
  </si>
  <si>
    <t>pi_3P0G83C8mwI7APee1YGzOYeK</t>
  </si>
  <si>
    <t>101-0004-0024</t>
  </si>
  <si>
    <t>101-0004-0038</t>
  </si>
  <si>
    <t>Justin Vachon</t>
  </si>
  <si>
    <t>justinvachon@gmail.com</t>
  </si>
  <si>
    <t>BDV6296</t>
  </si>
  <si>
    <t>pi_3P7HV2C8mwI7APee15mGOGn7</t>
  </si>
  <si>
    <t>101-0004-0048</t>
  </si>
  <si>
    <t>pi_3P7eGpC8mwI7APee1KYLdEpY</t>
  </si>
  <si>
    <t>101-0004-0049</t>
  </si>
  <si>
    <t>101-0004-0050</t>
  </si>
  <si>
    <t>Karly Polkosnik</t>
  </si>
  <si>
    <t>karlyapple@hotmail.com</t>
  </si>
  <si>
    <t>CRX9935</t>
  </si>
  <si>
    <t>pi_3P7hfMC8mwI7APee1QbjrDvN</t>
  </si>
  <si>
    <t>101-0004-0052</t>
  </si>
  <si>
    <t>Kenneth Wiens</t>
  </si>
  <si>
    <t>kwiens@wfcs.ca</t>
  </si>
  <si>
    <t>CCV5081</t>
  </si>
  <si>
    <t>pi_3P4OAsC8mwI7APee1KmPrNlU</t>
  </si>
  <si>
    <t>101-0004-0054</t>
  </si>
  <si>
    <t>Doug Hazelwanter</t>
  </si>
  <si>
    <t>tnthaze88@hotmail.com</t>
  </si>
  <si>
    <t>MINIMOM</t>
  </si>
  <si>
    <t>pi_3P0phFC8mwI7APee1pcuwDt5</t>
  </si>
  <si>
    <t>101-0004-0055</t>
  </si>
  <si>
    <t>101-0004-0062</t>
  </si>
  <si>
    <t>Francisco Domiciano de Bem</t>
  </si>
  <si>
    <t>chicodebem16@gmail.com</t>
  </si>
  <si>
    <t>CML3779</t>
  </si>
  <si>
    <t>101-0004-0063</t>
  </si>
  <si>
    <t>101-0004-0064</t>
  </si>
  <si>
    <t>101-0004-0065</t>
  </si>
  <si>
    <t>101-0004-0066</t>
  </si>
  <si>
    <t>pi_3PAgwoC8mwI7APee0pEKBjre</t>
  </si>
  <si>
    <t>101-0004-0073</t>
  </si>
  <si>
    <t>Karin Steinemann</t>
  </si>
  <si>
    <t>karinlilly@yahoo.com</t>
  </si>
  <si>
    <t>CPH2446</t>
  </si>
  <si>
    <t>pi_3P4ovNC8mwI7APee1pyWd0Zj</t>
  </si>
  <si>
    <t xml:space="preserve">Karin Steinemann </t>
  </si>
  <si>
    <t>101-0004-0113</t>
  </si>
  <si>
    <t>Paul Watkins-burke</t>
  </si>
  <si>
    <t>bruteforce9999@yahoo.co.uk</t>
  </si>
  <si>
    <t>CYPT610</t>
  </si>
  <si>
    <t>pi_3P5d2nC8mwI7APee0bEIfEYv</t>
  </si>
  <si>
    <t>101-0003-9881</t>
  </si>
  <si>
    <t>Noah Bennett</t>
  </si>
  <si>
    <t>noah.bennett1@hotmail.com</t>
  </si>
  <si>
    <t>TH151M</t>
  </si>
  <si>
    <t>pi_3PBf4MC8mwI7APee0DLMOje8</t>
  </si>
  <si>
    <t>Noah  Bennett</t>
  </si>
  <si>
    <t>101-0004-0051</t>
  </si>
  <si>
    <t>pi_3PCNqbC8mwI7APee1fzMuAIh</t>
  </si>
  <si>
    <t>101-0004-0311</t>
  </si>
  <si>
    <t>Chris Rosal</t>
  </si>
  <si>
    <t>cmjrosal@gmail.com</t>
  </si>
  <si>
    <t>CTS0223</t>
  </si>
  <si>
    <t>pi_3QQum6C8mwI7APee1aMp1cad</t>
  </si>
  <si>
    <t>101-0004-0314</t>
  </si>
  <si>
    <t>Pavel Myska</t>
  </si>
  <si>
    <t>paul.myska@gmail.com</t>
  </si>
  <si>
    <t>CLK4940</t>
  </si>
  <si>
    <t>pi_3QPqKWC8mwI7APee0FQ2E2op</t>
  </si>
  <si>
    <t>101-0003-9859</t>
  </si>
  <si>
    <t>Jason Moriyama</t>
  </si>
  <si>
    <t>jasonmoriyama379@gmail.com</t>
  </si>
  <si>
    <t>EH723B</t>
  </si>
  <si>
    <t>pi_3QW19uC8mwI7APee0dkbFaCA</t>
  </si>
  <si>
    <t>101-0003-9906</t>
  </si>
  <si>
    <t>Peter Visscher</t>
  </si>
  <si>
    <t>peter69visscher@live.com</t>
  </si>
  <si>
    <t>CRJ2259</t>
  </si>
  <si>
    <t>pi_3QX6O8C8mwI7APee1VnhnENz</t>
  </si>
  <si>
    <t>101-0003-9940</t>
  </si>
  <si>
    <t>Kelly Brow</t>
  </si>
  <si>
    <t>kellybrow19@shaw.ca</t>
  </si>
  <si>
    <t>YJV181</t>
  </si>
  <si>
    <t>pi_3QX9D8C8mwI7APee18VawSa7</t>
  </si>
  <si>
    <t>101-0004-0007</t>
  </si>
  <si>
    <t>Jeff Marvin</t>
  </si>
  <si>
    <t>jeff@jeffmarvin.com</t>
  </si>
  <si>
    <t>BLL9703</t>
  </si>
  <si>
    <t>pi_3QYLWvC8mwI7APee1k2CfRiz</t>
  </si>
  <si>
    <t>101-0004-0008</t>
  </si>
  <si>
    <t>pi_3QXZBsC8mwI7APee1LB6bvkB</t>
  </si>
  <si>
    <t>101-0004-0046</t>
  </si>
  <si>
    <t>pi_3QXtxRC8mwI7APee1kfexNgn</t>
  </si>
  <si>
    <t>101-0004-0265</t>
  </si>
  <si>
    <t>pi_3QXXXXC8mwI7APee1r00CdZm</t>
  </si>
  <si>
    <t>101-0004-0266</t>
  </si>
  <si>
    <t>CMZ3434</t>
  </si>
  <si>
    <t>pi_3QYdkQC8mwI7APee1ONGT99S</t>
  </si>
  <si>
    <t>101-0004-0267</t>
  </si>
  <si>
    <t>Jonah Bedford</t>
  </si>
  <si>
    <t>jonahbedford1@gmail.com</t>
  </si>
  <si>
    <t>TF094T</t>
  </si>
  <si>
    <t>pi_3QYevdC8mwI7APee1uhJrnE3</t>
  </si>
  <si>
    <t>101-0004-0269</t>
  </si>
  <si>
    <t>pi_3QZ3zCC8mwI7APee0KXdtm5j</t>
  </si>
  <si>
    <t>101-0004-0270</t>
  </si>
  <si>
    <t>Lindsay Moore</t>
  </si>
  <si>
    <t>lindsay.a.moore@hotmail.com</t>
  </si>
  <si>
    <t>KN9963</t>
  </si>
  <si>
    <t>pi_3QbtIcC8mwI7APee1dxxmVbN</t>
  </si>
  <si>
    <t>101-0004-0271</t>
  </si>
  <si>
    <t>Larissa Chenier</t>
  </si>
  <si>
    <t>lchenier@shaw.ca</t>
  </si>
  <si>
    <t>ENT906</t>
  </si>
  <si>
    <t>pi_3QZOhpC8mwI7APee1LRj395F</t>
  </si>
  <si>
    <t>101-0004-0272</t>
  </si>
  <si>
    <t>101-0004-0273</t>
  </si>
  <si>
    <t>pi_3QaNDuC8mwI7APee0HfTQB1D</t>
  </si>
  <si>
    <t>101-0004-0274</t>
  </si>
  <si>
    <t>Jacqueline Ricard</t>
  </si>
  <si>
    <t>jackied.1990@gmail.com</t>
  </si>
  <si>
    <t>CRV6077</t>
  </si>
  <si>
    <t>pi_3Qb2qtC8mwI7APee15j4CIvI</t>
  </si>
  <si>
    <t>101-0004-0275</t>
  </si>
  <si>
    <t>Darcy Dechene</t>
  </si>
  <si>
    <t>darcy.dechene@gmail.com</t>
  </si>
  <si>
    <t>CFV1781</t>
  </si>
  <si>
    <t>pi_3QaUcRC8mwI7APee1GoyQfNa</t>
  </si>
  <si>
    <t xml:space="preserve">Darcy Dechene </t>
  </si>
  <si>
    <t>101-0004-0276</t>
  </si>
  <si>
    <t>Trevor Woods</t>
  </si>
  <si>
    <t>t.woods@live.ca</t>
  </si>
  <si>
    <t>CRW2812</t>
  </si>
  <si>
    <t>pi_3Qaf8vC8mwI7APee15MmHPtj</t>
  </si>
  <si>
    <t>101-0004-0277</t>
  </si>
  <si>
    <t>pi_3QafQdC8mwI7APee12U6BOoe</t>
  </si>
  <si>
    <t>101-0004-0278</t>
  </si>
  <si>
    <t>pi_3QafRUC8mwI7APee09rqjinm</t>
  </si>
  <si>
    <t>101-0004-0279</t>
  </si>
  <si>
    <t>Armin Tavakkoli</t>
  </si>
  <si>
    <t>a.tavakkolius@gmail.com</t>
  </si>
  <si>
    <t>0DD766</t>
  </si>
  <si>
    <t>pi_3QahoqC8mwI7APee1TQzRxeH</t>
  </si>
  <si>
    <t>101-0004-0281</t>
  </si>
  <si>
    <t>Jay Ball</t>
  </si>
  <si>
    <t>jball@riverwatch.ab.ca</t>
  </si>
  <si>
    <t>BRW0039</t>
  </si>
  <si>
    <t>pi_3QaiYYC8mwI7APee10axUqpo</t>
  </si>
  <si>
    <t>101-0004-0282</t>
  </si>
  <si>
    <t>101-0004-0284</t>
  </si>
  <si>
    <t>pi_3QajewC8mwI7APee0VGXdZKe</t>
  </si>
  <si>
    <t>101-0004-0286</t>
  </si>
  <si>
    <t>CTC1729</t>
  </si>
  <si>
    <t>pi_3QKgfPC8mwI7APee1O8QoZp0</t>
  </si>
  <si>
    <t>101-0004-0287</t>
  </si>
  <si>
    <t>pi_3QancPC8mwI7APee1V53XZAu</t>
  </si>
  <si>
    <t>101-0004-0288</t>
  </si>
  <si>
    <t>CLK9596</t>
  </si>
  <si>
    <t>pi_3QanmxC8mwI7APee0iTYxqBv</t>
  </si>
  <si>
    <t>101-0004-0289</t>
  </si>
  <si>
    <t>Lorraine Alcantara</t>
  </si>
  <si>
    <t>lj-alcantara@hotmail.com</t>
  </si>
  <si>
    <t>AA3139</t>
  </si>
  <si>
    <t>101-0004-0290</t>
  </si>
  <si>
    <t>CPM9416</t>
  </si>
  <si>
    <t>pi_3QanyXC8mwI7APee0SXS3lkw</t>
  </si>
  <si>
    <t>101-0004-0291</t>
  </si>
  <si>
    <t>pi_3QarglC8mwI7APee0J1Kc13l</t>
  </si>
  <si>
    <t>101-0004-0292</t>
  </si>
  <si>
    <t>Debbie Jensen</t>
  </si>
  <si>
    <t>itsdebbiej@gmail.com</t>
  </si>
  <si>
    <t>CKS6284</t>
  </si>
  <si>
    <t>pi_3QasLFC8mwI7APee0GTII7pj</t>
  </si>
  <si>
    <t>Debbie  Jensen</t>
  </si>
  <si>
    <t>101-0004-0293</t>
  </si>
  <si>
    <t>Dave Macon</t>
  </si>
  <si>
    <t>grrrdave@yahoo.com</t>
  </si>
  <si>
    <t>BYL1900</t>
  </si>
  <si>
    <t>pi_3Qb3yyC8mwI7APee1g3cdLhf</t>
  </si>
  <si>
    <t>101-0004-0294</t>
  </si>
  <si>
    <t>pi_3Qb5eXC8mwI7APee0BDJaTok</t>
  </si>
  <si>
    <t>101-0004-0295</t>
  </si>
  <si>
    <t>John ONeill</t>
  </si>
  <si>
    <t>john@vvollp.com</t>
  </si>
  <si>
    <t>BTP9350</t>
  </si>
  <si>
    <t>pi_3Qc6ayC8mwI7APee1ev2Ym0o</t>
  </si>
  <si>
    <t>101-0004-0296</t>
  </si>
  <si>
    <t>101-0004-0298</t>
  </si>
  <si>
    <t>pi_3QcAQ9C8mwI7APee1iRd1r0Y</t>
  </si>
  <si>
    <t>101-0004-0300</t>
  </si>
  <si>
    <t>hello kerb</t>
  </si>
  <si>
    <t>divyasharathkumar@hotmail.com</t>
  </si>
  <si>
    <t>TSTBYSHAR7</t>
  </si>
  <si>
    <t>pi_3QbD0aC8mwI7APee1hlvUYkZ</t>
  </si>
  <si>
    <t>101-0004-0301</t>
  </si>
  <si>
    <t>claudine_robichaud@hotmail.com</t>
  </si>
  <si>
    <t>pi_3QbOGFC8mwI7APee0IIUW0k7</t>
  </si>
  <si>
    <t>101-0004-0302</t>
  </si>
  <si>
    <t>Robert Evans</t>
  </si>
  <si>
    <t>robert.boyd.evans@outlook.com</t>
  </si>
  <si>
    <t>JUP132</t>
  </si>
  <si>
    <t>pi_3QbW18C8mwI7APee04ZJuCmu</t>
  </si>
  <si>
    <t>101-0004-0303</t>
  </si>
  <si>
    <t>pi_3QbXW8C8mwI7APee02BoMK1j</t>
  </si>
  <si>
    <t>101-0004-0310</t>
  </si>
  <si>
    <t>Logan Chisholm</t>
  </si>
  <si>
    <t>loganchisholm@gmail.com</t>
  </si>
  <si>
    <t>DB9255</t>
  </si>
  <si>
    <t>pi_3QUWxsC8mwI7APee1SN4TqaT</t>
  </si>
  <si>
    <t xml:space="preserve">Logan Chisholm </t>
  </si>
  <si>
    <t>101-0004-0335</t>
  </si>
  <si>
    <t>Dylan Nelson</t>
  </si>
  <si>
    <t>travel@tritechnical.ca</t>
  </si>
  <si>
    <t>AE8279</t>
  </si>
  <si>
    <t>pi_3QShq8C8mwI7APee1HnLRN7X</t>
  </si>
  <si>
    <t>101-0004-0336</t>
  </si>
  <si>
    <t>pi_3QSlCvC8mwI7APee05gTL3GT</t>
  </si>
  <si>
    <t>101-0004-0363</t>
  </si>
  <si>
    <t>101-0003-9756</t>
  </si>
  <si>
    <t>Kimberly Farrugia Deleeuw</t>
  </si>
  <si>
    <t>kseemore@hotmail.com</t>
  </si>
  <si>
    <t>CTT5420</t>
  </si>
  <si>
    <t>pi_3Qe6WIC8mwI7APee0G3ckFfY</t>
  </si>
  <si>
    <t xml:space="preserve">Kimberly  Farrugia Deleeuw </t>
  </si>
  <si>
    <t>101-0003-9864</t>
  </si>
  <si>
    <t>pi_3QhaxYC8mwI7APee0UTkA3q5</t>
  </si>
  <si>
    <t>101-0003-9877</t>
  </si>
  <si>
    <t>Jennifer Kowton</t>
  </si>
  <si>
    <t>jennifer.kowton@gmail.com</t>
  </si>
  <si>
    <t>MAL914</t>
  </si>
  <si>
    <t>pi_3QhyWgC8mwI7APee05DOx2Qp</t>
  </si>
  <si>
    <t>101-0004-0163</t>
  </si>
  <si>
    <t>Arturo Pelaez</t>
  </si>
  <si>
    <t>arturopelaez_5000@hotmail.com</t>
  </si>
  <si>
    <t>CPL5479</t>
  </si>
  <si>
    <t>pi_3QifGpC8mwI7APee1rCOWqqL</t>
  </si>
  <si>
    <t>101-0004-0164</t>
  </si>
  <si>
    <t>pi_3QigKEC8mwI7APee130xDwdn</t>
  </si>
  <si>
    <t>101-0004-0166</t>
  </si>
  <si>
    <t>pi_3QiVEQC8mwI7APee0bGTiAGI</t>
  </si>
  <si>
    <t>101-0004-0264</t>
  </si>
  <si>
    <t>pi_3Qd1mOC8mwI7APee1aLdIb4E</t>
  </si>
  <si>
    <t>101-0004-0268</t>
  </si>
  <si>
    <t>Lindsay Anderson</t>
  </si>
  <si>
    <t>lindsaykateanderson@gmail.com</t>
  </si>
  <si>
    <t>DUK355</t>
  </si>
  <si>
    <t>pi_3Qj5zuC8mwI7APee1m6S9RzT</t>
  </si>
  <si>
    <t>101-0004-0280</t>
  </si>
  <si>
    <t>101-0004-0283</t>
  </si>
  <si>
    <t>101-0004-0285</t>
  </si>
  <si>
    <t>pi_3QakeAC8mwI7APee1JVXmJR8</t>
  </si>
  <si>
    <t>101-0004-0297</t>
  </si>
  <si>
    <t>pi_3QccQQC8mwI7APee1gPwDmLd</t>
  </si>
  <si>
    <t>101-0004-0299</t>
  </si>
  <si>
    <t>pi_3QcEQIC8mwI7APee14VH0zH1</t>
  </si>
  <si>
    <t>101-0004-0304</t>
  </si>
  <si>
    <t>Jonathan Page</t>
  </si>
  <si>
    <t>jonathangjpage@gmail.com</t>
  </si>
  <si>
    <t>BFB5655</t>
  </si>
  <si>
    <t>pi_3QcesIC8mwI7APee0Jt2uzbq</t>
  </si>
  <si>
    <t>101-0004-0305</t>
  </si>
  <si>
    <t>pi_3Qd0czC8mwI7APee1Ri0TJt1</t>
  </si>
  <si>
    <t>101-0004-0306</t>
  </si>
  <si>
    <t>pi_3QjC3VC8mwI7APee0kaUSdHV</t>
  </si>
  <si>
    <t>101-0004-0307</t>
  </si>
  <si>
    <t>pi_3Qd1kqC8mwI7APee0Tgs6BsE</t>
  </si>
  <si>
    <t>101-0004-0308</t>
  </si>
  <si>
    <t>pi_3QfmrLC8mwI7APee0zM61tPa</t>
  </si>
  <si>
    <t>101-0004-0309</t>
  </si>
  <si>
    <t>101-0004-0312</t>
  </si>
  <si>
    <t>Teddy Medvedev</t>
  </si>
  <si>
    <t>medvedevteddy22@gmail.com</t>
  </si>
  <si>
    <t>BWY6790</t>
  </si>
  <si>
    <t>pi_3QdDISC8mwI7APee0O3wk5Fj</t>
  </si>
  <si>
    <t>101-0004-0313</t>
  </si>
  <si>
    <t>CRV5343</t>
  </si>
  <si>
    <t>pi_3QdF1zC8mwI7APee1CuMClXp</t>
  </si>
  <si>
    <t>101-0004-0315</t>
  </si>
  <si>
    <t>Bailey Coats</t>
  </si>
  <si>
    <t>baileycoats@me.com</t>
  </si>
  <si>
    <t>CGM1001</t>
  </si>
  <si>
    <t>pi_3QdSQZC8mwI7APee1LJ2fpIl</t>
  </si>
  <si>
    <t>101-0004-0316</t>
  </si>
  <si>
    <t>pi_3QdaW5C8mwI7APee15WrzU2z</t>
  </si>
  <si>
    <t>101-0004-0317</t>
  </si>
  <si>
    <t>Lyle Vanderkaa</t>
  </si>
  <si>
    <t>lyle.vanderkaa@gmail.com</t>
  </si>
  <si>
    <t>CTJ9768</t>
  </si>
  <si>
    <t>pi_3QdcwNC8mwI7APee035ehUtz</t>
  </si>
  <si>
    <t>101-0004-0318</t>
  </si>
  <si>
    <t>pi_3QkrX8C8mwI7APee094IYUJm</t>
  </si>
  <si>
    <t>101-0004-0319</t>
  </si>
  <si>
    <t>Test250393 Kerb</t>
  </si>
  <si>
    <t>sharathakashavy@gmail.com</t>
  </si>
  <si>
    <t>TSTSHA118</t>
  </si>
  <si>
    <t>pi_3QkzzXC8mwI7APee1btbUeV3</t>
  </si>
  <si>
    <t>101-0004-0320</t>
  </si>
  <si>
    <t>Gordon Nekolaichuk</t>
  </si>
  <si>
    <t>gordonn@ualberta.ca</t>
  </si>
  <si>
    <t>BJB8020</t>
  </si>
  <si>
    <t>pi_3Ql2TfC8mwI7APee09aQstF5</t>
  </si>
  <si>
    <t>101-0004-0321</t>
  </si>
  <si>
    <t>austin poirier</t>
  </si>
  <si>
    <t>apoirier420@gmail.com</t>
  </si>
  <si>
    <t>ckt4812</t>
  </si>
  <si>
    <t>pi_3QlCLzC8mwI7APee1dXZEPsb</t>
  </si>
  <si>
    <t>austin  poirier</t>
  </si>
  <si>
    <t>101-0004-0322</t>
  </si>
  <si>
    <t>pi_3QlD6DC8mwI7APee0uVfAnvo</t>
  </si>
  <si>
    <t>101-0004-0323</t>
  </si>
  <si>
    <t>Jenni Williams</t>
  </si>
  <si>
    <t>jlm_breitkreitz@hotmail.com</t>
  </si>
  <si>
    <t>CDY4634</t>
  </si>
  <si>
    <t>pi_3QlDIKC8mwI7APee071CsJ5C</t>
  </si>
  <si>
    <t>101-0004-0324</t>
  </si>
  <si>
    <t>CRJ0139</t>
  </si>
  <si>
    <t>pi_3QlEniC8mwI7APee1BrXHYyL</t>
  </si>
  <si>
    <t>101-0004-0325</t>
  </si>
  <si>
    <t>Judy Gray</t>
  </si>
  <si>
    <t>jammaof1@gmail.com</t>
  </si>
  <si>
    <t>CPS9587</t>
  </si>
  <si>
    <t>pi_3QlNAbC8mwI7APee01rqJ8BN</t>
  </si>
  <si>
    <t xml:space="preserve">Judy Gray </t>
  </si>
  <si>
    <t>101-0004-0327</t>
  </si>
  <si>
    <t>Cvf2032</t>
  </si>
  <si>
    <t>pi_3QlXLDC8mwI7APee0oxAiPoz</t>
  </si>
  <si>
    <t>101-0004-0328</t>
  </si>
  <si>
    <t>Shannon Miles</t>
  </si>
  <si>
    <t>shannonmiles29@gmail.com</t>
  </si>
  <si>
    <t>CDS3953</t>
  </si>
  <si>
    <t>pi_3QlYO6C8mwI7APee1agmgAZT</t>
  </si>
  <si>
    <t>101-0004-0329</t>
  </si>
  <si>
    <t>pi_3QlZH3C8mwI7APee160gYNC6</t>
  </si>
  <si>
    <t>101-0004-0330</t>
  </si>
  <si>
    <t>pi_3QlZJyC8mwI7APee1g4UBsz9</t>
  </si>
  <si>
    <t>101-0004-0331</t>
  </si>
  <si>
    <t>Taryn Lough</t>
  </si>
  <si>
    <t>tloughf@gmail.com</t>
  </si>
  <si>
    <t>CKS1611</t>
  </si>
  <si>
    <t>pi_3Qlhj0C8mwI7APee1H9RXnp9</t>
  </si>
  <si>
    <t>Taryn  Lough</t>
  </si>
  <si>
    <t>101-0004-0333</t>
  </si>
  <si>
    <t>pi_3QmSqrC8mwI7APee1qb84xbr</t>
  </si>
  <si>
    <t>101-0004-0338</t>
  </si>
  <si>
    <t>Tyson Read</t>
  </si>
  <si>
    <t>tysonread19@gmail.com</t>
  </si>
  <si>
    <t>CDT4367</t>
  </si>
  <si>
    <t>pi_3Qf0OyC8mwI7APee0iGWM6J4</t>
  </si>
  <si>
    <t>101-0004-0339</t>
  </si>
  <si>
    <t>pi_3QQhuAC8mwI7APee1Ep3eCag</t>
  </si>
  <si>
    <t>101-0004-0362</t>
  </si>
  <si>
    <t>Solomon Turner</t>
  </si>
  <si>
    <t>solomon.turner@kerb.works</t>
  </si>
  <si>
    <t>CPZ2397</t>
  </si>
  <si>
    <t>pi_3Qb4GkC8mwI7APee1bf0X9hL</t>
  </si>
  <si>
    <t>101-0004-0364</t>
  </si>
  <si>
    <t>TSTSHAR1</t>
  </si>
  <si>
    <t>pi_3QcJ3ZC8mwI7APee0WH4ZiU0</t>
  </si>
  <si>
    <t>101-0004-0326</t>
  </si>
  <si>
    <t>Steven Dollansky</t>
  </si>
  <si>
    <t>steven.dollansky@gmail.com</t>
  </si>
  <si>
    <t>CBN2844</t>
  </si>
  <si>
    <t>pi_3QlX1UC8mwI7APee0nmzVjIQ</t>
  </si>
  <si>
    <t>101-0004-0332</t>
  </si>
  <si>
    <t>Matthew Kindrat</t>
  </si>
  <si>
    <t>mkindrat@rivercreeresort.com</t>
  </si>
  <si>
    <t>CNJ8519</t>
  </si>
  <si>
    <t>pi_3QkCgXC8mwI7APee0wQI40mz</t>
  </si>
  <si>
    <t>101-0004-0334</t>
  </si>
  <si>
    <t>pi_3QnhpcC8mwI7APee0qiPhd0T</t>
  </si>
  <si>
    <t>101-0004-0337</t>
  </si>
  <si>
    <t>pi_3QmbOKC8mwI7APee1TNFpUIJ</t>
  </si>
  <si>
    <t>101-0004-0340</t>
  </si>
  <si>
    <t>pi_3Qs4i8C8mwI7APee1Kq70lbR</t>
  </si>
  <si>
    <t>101-0004-0341</t>
  </si>
  <si>
    <t>pi_3QpMFwC8mwI7APee0ArzCK5G</t>
  </si>
  <si>
    <t>101-0004-0342</t>
  </si>
  <si>
    <t>pi_3QsPhzC8mwI7APee1i1lnOuC</t>
  </si>
  <si>
    <t>101-0004-0343</t>
  </si>
  <si>
    <t>Mark Stinson</t>
  </si>
  <si>
    <t>mark_stinson7@hotmail.com</t>
  </si>
  <si>
    <t>BRY2824</t>
  </si>
  <si>
    <t>pi_3QsyZzC8mwI7APee1zaXafZc</t>
  </si>
  <si>
    <t>101-0004-0344</t>
  </si>
  <si>
    <t>pi_3QtCyWC8mwI7APee1xrueySZ</t>
  </si>
  <si>
    <t>101-0004-0345</t>
  </si>
  <si>
    <t>Michael Wlasichuk</t>
  </si>
  <si>
    <t>wlasichu@ualberta.ca</t>
  </si>
  <si>
    <t>CSP4280</t>
  </si>
  <si>
    <t>pi_3QqMLnC8mwI7APee0MT3tkgO</t>
  </si>
  <si>
    <t xml:space="preserve">Michael  Wlasichuk </t>
  </si>
  <si>
    <t>101-0004-0346</t>
  </si>
  <si>
    <t>101-0004-0347</t>
  </si>
  <si>
    <t>pi_3QqkVpC8mwI7APee1YIF6FLO</t>
  </si>
  <si>
    <t>101-0004-0348</t>
  </si>
  <si>
    <t>Dan Walter</t>
  </si>
  <si>
    <t>danwalt@telus.net</t>
  </si>
  <si>
    <t>BYB3027</t>
  </si>
  <si>
    <t>pi_3QunSsC8mwI7APee0WTKMR5z</t>
  </si>
  <si>
    <t>101-0004-0349</t>
  </si>
  <si>
    <t>Mabeth Panahon</t>
  </si>
  <si>
    <t>mpanahon@gmail.com</t>
  </si>
  <si>
    <t>CSJ3083</t>
  </si>
  <si>
    <t>pi_3QrK6EC8mwI7APee1twL8ikZ</t>
  </si>
  <si>
    <t>101-0004-0350</t>
  </si>
  <si>
    <t>M86033</t>
  </si>
  <si>
    <t>pi_3QwnndC8mwI7APee0TVIoYC0</t>
  </si>
  <si>
    <t>101-0004-0351</t>
  </si>
  <si>
    <t>pi_3QxWcNC8mwI7APee17sAil6p</t>
  </si>
  <si>
    <t>101-0004-0352</t>
  </si>
  <si>
    <t>pi_3R2NodC8mwI7APee009zbkO8</t>
  </si>
  <si>
    <t>101-0004-0353</t>
  </si>
  <si>
    <t>Joannie Jacobs</t>
  </si>
  <si>
    <t>watermeyerjoa@yahoo.com</t>
  </si>
  <si>
    <t>CSN5367</t>
  </si>
  <si>
    <t>pi_3QzVkIC8mwI7APee10W6IIqD</t>
  </si>
  <si>
    <t>101-0004-0354</t>
  </si>
  <si>
    <t>William Bossmann</t>
  </si>
  <si>
    <t>bill.bossmann@gmail.com</t>
  </si>
  <si>
    <t>CDH8060</t>
  </si>
  <si>
    <t>pi_3R2dXIC8mwI7APee0Ag3rjA1</t>
  </si>
  <si>
    <t>William  Bossmann</t>
  </si>
  <si>
    <t>101-0004-0355</t>
  </si>
  <si>
    <t>Lyle Woloshyn</t>
  </si>
  <si>
    <t>lwoloshyn1@gmail.com</t>
  </si>
  <si>
    <t>CKN3737</t>
  </si>
  <si>
    <t>pi_3R2i3FC8mwI7APee0stOjcUi</t>
  </si>
  <si>
    <t>101-0004-0356</t>
  </si>
  <si>
    <t>Dean Spicer</t>
  </si>
  <si>
    <t>dean.spicer@gmail.com</t>
  </si>
  <si>
    <t>YTM615</t>
  </si>
  <si>
    <t>pi_3R2kQoC8mwI7APee0s8uZfXw</t>
  </si>
  <si>
    <t>101-0004-0357</t>
  </si>
  <si>
    <t>Cody Apps</t>
  </si>
  <si>
    <t>beater_bug@hotmail.com</t>
  </si>
  <si>
    <t>RA674D</t>
  </si>
  <si>
    <t>pi_3R2uFFC8mwI7APee0kIJ28RC</t>
  </si>
  <si>
    <t>101-0004-0358</t>
  </si>
  <si>
    <t>101-0004-0359</t>
  </si>
  <si>
    <t>pi_3R2wKqC8mwI7APee1lpkaT2F</t>
  </si>
  <si>
    <t>101-0004-0360</t>
  </si>
  <si>
    <t>CPF6612</t>
  </si>
  <si>
    <t>pi_3R0Ei1C8mwI7APee00KJd7Y3</t>
  </si>
  <si>
    <t>101-0004-0361</t>
  </si>
  <si>
    <t>Holly Leeder</t>
  </si>
  <si>
    <t>hollyandbrock@gmail.com</t>
  </si>
  <si>
    <t>BJE758</t>
  </si>
  <si>
    <t>pi_3R0lMNC8mwI7APee0VaEwiM1</t>
  </si>
  <si>
    <t>Holly  Leeder</t>
  </si>
  <si>
    <t>101-0004-0365</t>
  </si>
  <si>
    <t>TESTQA123</t>
  </si>
  <si>
    <t>pi_3R3JvsC8mwI7APee0cYrokEG</t>
  </si>
  <si>
    <t>101-0004-0366</t>
  </si>
  <si>
    <t>Simon Potrykus</t>
  </si>
  <si>
    <t>simon.potrykus@gmail.com</t>
  </si>
  <si>
    <t>12K912</t>
  </si>
  <si>
    <t>pi_3R3K1aC8mwI7APee0qWBCAYg</t>
  </si>
  <si>
    <t>101-0004-0367</t>
  </si>
  <si>
    <t>Troy Giebelhaus</t>
  </si>
  <si>
    <t>kbdpickers@gmail.com</t>
  </si>
  <si>
    <t>pi_3R5GwLC8mwI7APee0dNodA4V</t>
  </si>
  <si>
    <t>101-0004-0368</t>
  </si>
  <si>
    <t>pi_3R5pGCC8mwI7APee1XXNDkKq</t>
  </si>
  <si>
    <t>101-0004-0369</t>
  </si>
  <si>
    <t>pi_3R8NeCC8mwI7APee0oHHy0tU</t>
  </si>
  <si>
    <t>101-0004-0370</t>
  </si>
  <si>
    <t>pi_3R8P0KC8mwI7APee0NAfmTvg</t>
  </si>
  <si>
    <t>101-0004-0371</t>
  </si>
  <si>
    <t>Patrick Notton</t>
  </si>
  <si>
    <t>pnotton@gmail.com</t>
  </si>
  <si>
    <t>JVU626</t>
  </si>
  <si>
    <t>pi_3R9aeOC8mwI7APee1e4RUZZP</t>
  </si>
  <si>
    <t xml:space="preserve">Patrick  Notton </t>
  </si>
  <si>
    <t>101-0004-0372</t>
  </si>
  <si>
    <t>CNJ0028</t>
  </si>
  <si>
    <t>pi_3RAIAJC8mwI7APee1JPoawfe</t>
  </si>
  <si>
    <t>101-0004-0373</t>
  </si>
  <si>
    <t>pi_3RCRZdC8mwI7APee12pOjqD7</t>
  </si>
  <si>
    <t>101-0004-0374</t>
  </si>
  <si>
    <t>Kathrin Paruk</t>
  </si>
  <si>
    <t>kathrinparuk@gmail.com</t>
  </si>
  <si>
    <t>BHL4188</t>
  </si>
  <si>
    <t>pi_3RCilMC8mwI7APee1UYpuhfu</t>
  </si>
  <si>
    <t>101-0004-0375</t>
  </si>
  <si>
    <t>pi_3RCu7QC8mwI7APee17GvMc0Y</t>
  </si>
  <si>
    <t>101-0004-0376</t>
  </si>
  <si>
    <t>pi_3RCwBSC8mwI7APee0G5K8Xbr</t>
  </si>
  <si>
    <t>101-0004-0377</t>
  </si>
  <si>
    <t>pi_3RD5urC8mwI7APee0xJedfSI</t>
  </si>
  <si>
    <t>101-0004-0378</t>
  </si>
  <si>
    <t>Geoff Cook</t>
  </si>
  <si>
    <t>dgcook@shaw.ca</t>
  </si>
  <si>
    <t>CKG3102</t>
  </si>
  <si>
    <t>pi_3RDfs2C8mwI7APee0BgEYL2j</t>
  </si>
  <si>
    <t>101-0004-0379</t>
  </si>
  <si>
    <t>0EE470</t>
  </si>
  <si>
    <t>pi_3REa7LC8mwI7APee1HdJUyR3</t>
  </si>
  <si>
    <t>101-0004-0380</t>
  </si>
  <si>
    <t>101-0004-0381</t>
  </si>
  <si>
    <t>pi_3RF0LHC8mwI7APee1cuwFHhK</t>
  </si>
  <si>
    <t>101-0004-0382</t>
  </si>
  <si>
    <t>101-0004-0383</t>
  </si>
  <si>
    <t>pi_3RF1CmC8mwI7APee0T2NaZZn</t>
  </si>
  <si>
    <t>101-0004-0384</t>
  </si>
  <si>
    <t>CLL7622</t>
  </si>
  <si>
    <t>pi_3RFRRDC8mwI7APee0204M1et</t>
  </si>
  <si>
    <t>101-0009-7960</t>
  </si>
  <si>
    <t>Jeevun Gill</t>
  </si>
  <si>
    <t>jeevun1108@gmail.com</t>
  </si>
  <si>
    <t>+1 825 440 2855</t>
  </si>
  <si>
    <t>RWB242</t>
  </si>
  <si>
    <t>Windcave</t>
  </si>
  <si>
    <t>card</t>
  </si>
  <si>
    <t>0000000d15e7ac2c</t>
  </si>
  <si>
    <t>101-0009-8887</t>
  </si>
  <si>
    <t>nelson robe-from</t>
  </si>
  <si>
    <t>nrobe09@gmail.com</t>
  </si>
  <si>
    <t>+1 587 989 7712</t>
  </si>
  <si>
    <t>CSG5569</t>
  </si>
  <si>
    <t>0000000a0ce23791</t>
  </si>
  <si>
    <t>101-0010-4465</t>
  </si>
  <si>
    <t>Drive Up - Prepaid</t>
  </si>
  <si>
    <t>ABHINAV JAIDKA</t>
  </si>
  <si>
    <t>CXG9313</t>
  </si>
  <si>
    <t>0000000a0e1e91b5</t>
  </si>
  <si>
    <t>anonymousUser</t>
  </si>
  <si>
    <t>101-0010-5970</t>
  </si>
  <si>
    <t>Kim Malayko</t>
  </si>
  <si>
    <t>darmal@shaw.ca</t>
  </si>
  <si>
    <t>+1 780 904 5030</t>
  </si>
  <si>
    <t>WJ610W</t>
  </si>
  <si>
    <t>0000001a002ce6fc</t>
  </si>
  <si>
    <t>101-0011-3167</t>
  </si>
  <si>
    <t>Laurie Hansen</t>
  </si>
  <si>
    <t>brooksll@hotmail.com</t>
  </si>
  <si>
    <t>+1 780 206 7568</t>
  </si>
  <si>
    <t>43N405</t>
  </si>
  <si>
    <t>0000000d1753ab8c</t>
  </si>
  <si>
    <t>101-0011-3176</t>
  </si>
  <si>
    <t>chelsey hunter</t>
  </si>
  <si>
    <t>chelseyhunter@gmail.com</t>
  </si>
  <si>
    <t>+1 780 999 8559</t>
  </si>
  <si>
    <t>CFT7908</t>
  </si>
  <si>
    <t>0000000d17548ce1</t>
  </si>
  <si>
    <t>101-0011-3186</t>
  </si>
  <si>
    <t>WILLIAM STENGEL</t>
  </si>
  <si>
    <t>KYR005</t>
  </si>
  <si>
    <t>0000000d1755ae15</t>
  </si>
  <si>
    <t>101-0011-6766</t>
  </si>
  <si>
    <t>Tracey Snow</t>
  </si>
  <si>
    <t>tcsnow@telus.net</t>
  </si>
  <si>
    <t>+1 780 517 2215</t>
  </si>
  <si>
    <t>CTG5001</t>
  </si>
  <si>
    <t>0000000a0f12e3d7</t>
  </si>
  <si>
    <t>101-0011-6769</t>
  </si>
  <si>
    <t>101MRT</t>
  </si>
  <si>
    <t>TRUCK</t>
  </si>
  <si>
    <t>0000000a0f12f878</t>
  </si>
  <si>
    <t>101-0011-7936</t>
  </si>
  <si>
    <t>Lena Fehr</t>
  </si>
  <si>
    <t>fehr.lena44@gmail.com</t>
  </si>
  <si>
    <t>+1 587 370 1801</t>
  </si>
  <si>
    <t>BDL8758</t>
  </si>
  <si>
    <t>0000000a0f602582</t>
  </si>
  <si>
    <t>101-0011-7954</t>
  </si>
  <si>
    <t>Shondelle Klym</t>
  </si>
  <si>
    <t>shondelle5@hotmail.com</t>
  </si>
  <si>
    <t>+1 780 296 0127</t>
  </si>
  <si>
    <t>CMJ0819</t>
  </si>
  <si>
    <t>0000000a0f61821d</t>
  </si>
  <si>
    <t>101-0012-0530</t>
  </si>
  <si>
    <t>0000000a0fff84d6</t>
  </si>
  <si>
    <t>101-0012-1138</t>
  </si>
  <si>
    <t>Caryn Watt</t>
  </si>
  <si>
    <t>caryn.watt@gmail.com</t>
  </si>
  <si>
    <t>+1 780 217 6876</t>
  </si>
  <si>
    <t>CRZ3496</t>
  </si>
  <si>
    <t>0000000a101bc615</t>
  </si>
  <si>
    <t>101-0012-1253</t>
  </si>
  <si>
    <t>Scott Bishop</t>
  </si>
  <si>
    <t>scott-bishop@outlook.com</t>
  </si>
  <si>
    <t>+1 780 965 2107</t>
  </si>
  <si>
    <t>BBM5310</t>
  </si>
  <si>
    <t>0000000a1020b37b</t>
  </si>
  <si>
    <t>101-0012-1787</t>
  </si>
  <si>
    <t>wade apannah-pastion</t>
  </si>
  <si>
    <t>wadepastion@gmail.com</t>
  </si>
  <si>
    <t>+1 403 861 4039</t>
  </si>
  <si>
    <t>CJY8935</t>
  </si>
  <si>
    <t>0000000a1040c038</t>
  </si>
  <si>
    <t>101-0012-2830</t>
  </si>
  <si>
    <t>0000000a1069e8c8</t>
  </si>
  <si>
    <t>101-0012-4369</t>
  </si>
  <si>
    <t>Stuart Boman</t>
  </si>
  <si>
    <t>sboman93@gmail.com</t>
  </si>
  <si>
    <t>+1 780 725 3002</t>
  </si>
  <si>
    <t>CRD4093</t>
  </si>
  <si>
    <t>0000000a108a9736</t>
  </si>
  <si>
    <t>101-0012-7030</t>
  </si>
  <si>
    <t>Clint Berry</t>
  </si>
  <si>
    <t>clint.berry@me.com</t>
  </si>
  <si>
    <t>+1 780 296 5502</t>
  </si>
  <si>
    <t>CKY9865</t>
  </si>
  <si>
    <t>0000001a00c40df5</t>
  </si>
  <si>
    <t>101-0012-8197</t>
  </si>
  <si>
    <t>Sean Williams</t>
  </si>
  <si>
    <t>sgwillia@ualberta.ca</t>
  </si>
  <si>
    <t>+1 780 686 4439</t>
  </si>
  <si>
    <t>BTV8610</t>
  </si>
  <si>
    <t>0000001a010ce57e</t>
  </si>
  <si>
    <t>101-0013-1789</t>
  </si>
  <si>
    <t>Rico Enss</t>
  </si>
  <si>
    <t>ricoenss@gmail.com</t>
  </si>
  <si>
    <t>+1 780 995 2751</t>
  </si>
  <si>
    <t>ELL570</t>
  </si>
  <si>
    <t>0000000a118d6988</t>
  </si>
  <si>
    <t>101-0013-1904</t>
  </si>
  <si>
    <t>Ursula Parenteau</t>
  </si>
  <si>
    <t>ursberto@me.com</t>
  </si>
  <si>
    <t>+1 780 237 2673</t>
  </si>
  <si>
    <t>BYW348</t>
  </si>
  <si>
    <t>0000000a1191be8b</t>
  </si>
  <si>
    <t>101-0013-2182</t>
  </si>
  <si>
    <t>CXC5558</t>
  </si>
  <si>
    <t>0000000a119d2a1c</t>
  </si>
  <si>
    <t>101-0013-2205</t>
  </si>
  <si>
    <t>0000000a119e0501</t>
  </si>
  <si>
    <t>101-0013-2591</t>
  </si>
  <si>
    <t>CHZ6116</t>
  </si>
  <si>
    <t>0000000a11a97810</t>
  </si>
  <si>
    <t>101-0013-2919</t>
  </si>
  <si>
    <t>0000000a11b5deb9</t>
  </si>
  <si>
    <t>101-0013-2930</t>
  </si>
  <si>
    <t>0000000a11b6c1cf</t>
  </si>
  <si>
    <t>101-0013-3275</t>
  </si>
  <si>
    <t>Cassandra Clair-Mudge</t>
  </si>
  <si>
    <t>cassandra.clair@yahoo.com</t>
  </si>
  <si>
    <t>+1 386 451 6593</t>
  </si>
  <si>
    <t>AF6631</t>
  </si>
  <si>
    <t>0000001a01367de5</t>
  </si>
  <si>
    <t>101-0013-3720</t>
  </si>
  <si>
    <t>0000001a014b9427</t>
  </si>
  <si>
    <t>101-0013-4247</t>
  </si>
  <si>
    <t>Greg Propp</t>
  </si>
  <si>
    <t>gpropp@proppertech.com</t>
  </si>
  <si>
    <t>+1 780 901 3820</t>
  </si>
  <si>
    <t>ZGV270</t>
  </si>
  <si>
    <t>0000001a01612255</t>
  </si>
  <si>
    <t>101-0013-5461</t>
  </si>
  <si>
    <t>Kevin Jeroncic</t>
  </si>
  <si>
    <t>kevjer1@gmail.com</t>
  </si>
  <si>
    <t>+1 780 984 9297</t>
  </si>
  <si>
    <t>CNN7540</t>
  </si>
  <si>
    <t>0000000d17ead2b8</t>
  </si>
  <si>
    <t>101-0013-6217</t>
  </si>
  <si>
    <t>Avel Espiritu</t>
  </si>
  <si>
    <t>espiritu.avel@gmail.com</t>
  </si>
  <si>
    <t>+1 587 337 1544</t>
  </si>
  <si>
    <t>BSJ6472</t>
  </si>
  <si>
    <t>Included</t>
  </si>
  <si>
    <t>0000000d181b71ff</t>
  </si>
  <si>
    <t>101-0013-8638</t>
  </si>
  <si>
    <t>Aleksandra Markovic</t>
  </si>
  <si>
    <t>korceba.aleksandra@gmail.com</t>
  </si>
  <si>
    <t>+1 780 605 2900</t>
  </si>
  <si>
    <t>BBS9817</t>
  </si>
  <si>
    <t>0000000d186302b2</t>
  </si>
  <si>
    <t>101-0014-0108</t>
  </si>
  <si>
    <t>Kylie Carson</t>
  </si>
  <si>
    <t>kyliercarson@hotmail.com</t>
  </si>
  <si>
    <t>+61 433 208 558</t>
  </si>
  <si>
    <t>0EW364</t>
  </si>
  <si>
    <t>0000000d189b49ac</t>
  </si>
  <si>
    <t>101-0014-0584</t>
  </si>
  <si>
    <t>0000000d18b8692f</t>
  </si>
  <si>
    <t>101-0014-0993</t>
  </si>
  <si>
    <t>Sarah Tymo</t>
  </si>
  <si>
    <t>s_tymo@sbcglobal.net</t>
  </si>
  <si>
    <t>+1 780 819 0082</t>
  </si>
  <si>
    <t>0EL856</t>
  </si>
  <si>
    <t>0000000d18c78a89</t>
  </si>
  <si>
    <t>101-0014-1149</t>
  </si>
  <si>
    <t>Jarett Johnson</t>
  </si>
  <si>
    <t>jcjbusiness@gmail.com</t>
  </si>
  <si>
    <t>+1 780 777 9703</t>
  </si>
  <si>
    <t>BNK7615</t>
  </si>
  <si>
    <t>0000000d18ccada0</t>
  </si>
  <si>
    <t>101-0014-1499</t>
  </si>
  <si>
    <t>0000000d18d92372</t>
  </si>
  <si>
    <t>101-0014-1500</t>
  </si>
  <si>
    <t>Craig Meisner</t>
  </si>
  <si>
    <t>cmeisner@worldbank.org</t>
  </si>
  <si>
    <t>+1 571 332 0062</t>
  </si>
  <si>
    <t>0FV212</t>
  </si>
  <si>
    <t>0000000d18d976a6</t>
  </si>
  <si>
    <t>101-0014-1507</t>
  </si>
  <si>
    <t>Mark Iype</t>
  </si>
  <si>
    <t>mniype@gmail.com</t>
  </si>
  <si>
    <t>+1 587 873 8050</t>
  </si>
  <si>
    <t>BNC6446</t>
  </si>
  <si>
    <t>0000000d18da4641</t>
  </si>
  <si>
    <t>101-0014-1508</t>
  </si>
  <si>
    <t>Kellie Flett</t>
  </si>
  <si>
    <t>kellieflett@outlook.com</t>
  </si>
  <si>
    <t>+1 780 221 8596</t>
  </si>
  <si>
    <t>DAO454</t>
  </si>
  <si>
    <t>0000000d18da4b4a</t>
  </si>
  <si>
    <t>101-0014-1516</t>
  </si>
  <si>
    <t>0000000d18db23c4</t>
  </si>
  <si>
    <t>101-0014-1524</t>
  </si>
  <si>
    <t>Brad Geddes</t>
  </si>
  <si>
    <t>bradley.geddes19@gmail.com</t>
  </si>
  <si>
    <t>+1 780 360 9264</t>
  </si>
  <si>
    <t>0000000d18dc3587</t>
  </si>
  <si>
    <t>101-0014-1525</t>
  </si>
  <si>
    <t>0000000d18dc4df6</t>
  </si>
  <si>
    <t>101-0014-1538</t>
  </si>
  <si>
    <t>Wenchie Lobitana</t>
  </si>
  <si>
    <t>lobitanawenchieee@gmail.com</t>
  </si>
  <si>
    <t>+1 780 931 9388</t>
  </si>
  <si>
    <t>CGS3531</t>
  </si>
  <si>
    <t>0000000d18df9c84</t>
  </si>
  <si>
    <t>101-0014-1983</t>
  </si>
  <si>
    <t>Lisa Booker</t>
  </si>
  <si>
    <t>lisabooker@shaw.ca</t>
  </si>
  <si>
    <t>+1 780 278 2896</t>
  </si>
  <si>
    <t>BZS0990</t>
  </si>
  <si>
    <t>0000000d18f52ff8</t>
  </si>
  <si>
    <t>101-0014-1988</t>
  </si>
  <si>
    <t>0000000d18f55169</t>
  </si>
  <si>
    <t>101-0014-2881</t>
  </si>
  <si>
    <t>0000000d1914cf91</t>
  </si>
  <si>
    <t>101-0014-2884</t>
  </si>
  <si>
    <t>0000000d1916343d</t>
  </si>
  <si>
    <t>101-0014-2885</t>
  </si>
  <si>
    <t>0000000d19175b36</t>
  </si>
  <si>
    <t>101-0014-2963</t>
  </si>
  <si>
    <t>0000000d1923f9af</t>
  </si>
  <si>
    <t>101-0014-3180</t>
  </si>
  <si>
    <t>Lois Alcantara</t>
  </si>
  <si>
    <t>loisjeremi@gmail.com</t>
  </si>
  <si>
    <t>+1 780 935 6755</t>
  </si>
  <si>
    <t>0000000d19321dc3</t>
  </si>
  <si>
    <t>101-0014-3530</t>
  </si>
  <si>
    <t>0000000d194504fe</t>
  </si>
  <si>
    <t>101-0014-3874</t>
  </si>
  <si>
    <t>Jeff Amulung</t>
  </si>
  <si>
    <t>jdamulung@gmail.com</t>
  </si>
  <si>
    <t>+1 403 771 2153</t>
  </si>
  <si>
    <t>VPG964</t>
  </si>
  <si>
    <t>0000000d19551fa3</t>
  </si>
  <si>
    <t>101-0014-3880</t>
  </si>
  <si>
    <t>0000000d1958333e</t>
  </si>
  <si>
    <t>101-0014-3881</t>
  </si>
  <si>
    <t>Monica Surgenor</t>
  </si>
  <si>
    <t>monsurge@gmail.com</t>
  </si>
  <si>
    <t>+1 780 850 9834</t>
  </si>
  <si>
    <t>CNX4116</t>
  </si>
  <si>
    <t>0000000d19583d02</t>
  </si>
  <si>
    <t>101-0014-3883</t>
  </si>
  <si>
    <t>0000000d19584a36</t>
  </si>
  <si>
    <t>101-0014-3891</t>
  </si>
  <si>
    <t>0000000d195924c8</t>
  </si>
  <si>
    <t>101-0014-3893</t>
  </si>
  <si>
    <t>0000000d19594a28</t>
  </si>
  <si>
    <t>101-0014-3913</t>
  </si>
  <si>
    <t>Brooklynn White</t>
  </si>
  <si>
    <t>wbrooklynn088@gmail.com</t>
  </si>
  <si>
    <t>+1 780 805 4087</t>
  </si>
  <si>
    <t>CLR8171</t>
  </si>
  <si>
    <t>0000000a11bcc725</t>
  </si>
  <si>
    <t>101-0014-3916</t>
  </si>
  <si>
    <t>Shayna Heeg</t>
  </si>
  <si>
    <t>shaynakelly2013@gmail.com</t>
  </si>
  <si>
    <t>+1 289 209 1099</t>
  </si>
  <si>
    <t>CXR4826</t>
  </si>
  <si>
    <t>0000000a11bd1a1c</t>
  </si>
  <si>
    <t>101-0014-3919</t>
  </si>
  <si>
    <t>sonny theroux</t>
  </si>
  <si>
    <t>sonnytheroux@gmail.com</t>
  </si>
  <si>
    <t>+1 780 231 4741</t>
  </si>
  <si>
    <t>CSX7599</t>
  </si>
  <si>
    <t>0000000a11bd8023</t>
  </si>
  <si>
    <t>101-0014-4557</t>
  </si>
  <si>
    <t>Keir Savage</t>
  </si>
  <si>
    <t>keirmarisa@me.com</t>
  </si>
  <si>
    <t>+1 441 501 5014</t>
  </si>
  <si>
    <t>0EJ094</t>
  </si>
  <si>
    <t>0000000a11dda944</t>
  </si>
  <si>
    <t>101-0014-4769</t>
  </si>
  <si>
    <t>Shelley Greenwood</t>
  </si>
  <si>
    <t>titus06@telus.net</t>
  </si>
  <si>
    <t>+1 780 984 6576</t>
  </si>
  <si>
    <t>AA1269</t>
  </si>
  <si>
    <t>0000000a11e72da4</t>
  </si>
  <si>
    <t>101-0014-5102</t>
  </si>
  <si>
    <t>Wes Obrigewitch</t>
  </si>
  <si>
    <t>wrapitconstinc@gmail.com</t>
  </si>
  <si>
    <t>+1 780 953 7977</t>
  </si>
  <si>
    <t>CDY6426</t>
  </si>
  <si>
    <t>0000000a11f19f55</t>
  </si>
  <si>
    <t>101-0014-5473</t>
  </si>
  <si>
    <t>Peter Delaney</t>
  </si>
  <si>
    <t>mdelaney@live.ca</t>
  </si>
  <si>
    <t>+1 780 668 6000</t>
  </si>
  <si>
    <t>SAF161</t>
  </si>
  <si>
    <t>0000000a11ff36e1</t>
  </si>
  <si>
    <t>101-0014-5528</t>
  </si>
  <si>
    <t>John Bennett</t>
  </si>
  <si>
    <t>cjtm4@northwestel.net</t>
  </si>
  <si>
    <t>+1 780 264 8220</t>
  </si>
  <si>
    <t>0000000a12019692</t>
  </si>
  <si>
    <t>101-0014-5994</t>
  </si>
  <si>
    <t>Bill Predinchuk</t>
  </si>
  <si>
    <t>toofast15@hotmail.ca</t>
  </si>
  <si>
    <t>+1 780 239 8889</t>
  </si>
  <si>
    <t>BPB6420</t>
  </si>
  <si>
    <t>0000000a122205b3</t>
  </si>
  <si>
    <t>101-0014-6085</t>
  </si>
  <si>
    <t>Jacqueline Kirk</t>
  </si>
  <si>
    <t>jacqikirk@icloud.com</t>
  </si>
  <si>
    <t>+1 780 982 6631</t>
  </si>
  <si>
    <t>RYF813</t>
  </si>
  <si>
    <t>0000000a1226e49a</t>
  </si>
  <si>
    <t>101-0014-6111</t>
  </si>
  <si>
    <t>Zachary Moldenhauer</t>
  </si>
  <si>
    <t>zacharym@rbwgroup.com</t>
  </si>
  <si>
    <t>+1 780 554 2297</t>
  </si>
  <si>
    <t>CMN2600</t>
  </si>
  <si>
    <t>0000000a12280d16</t>
  </si>
  <si>
    <t>101-0014-6206</t>
  </si>
  <si>
    <t>John Grant</t>
  </si>
  <si>
    <t>johnegrant@hotmail.com</t>
  </si>
  <si>
    <t>+1 780 818 8045</t>
  </si>
  <si>
    <t>CJX5653</t>
  </si>
  <si>
    <t>0000000a122c7867</t>
  </si>
  <si>
    <t>101-0014-6227</t>
  </si>
  <si>
    <t>Paige Hutchings</t>
  </si>
  <si>
    <t>paige.hutchings@gmail.com</t>
  </si>
  <si>
    <t>+1 236 513 7894</t>
  </si>
  <si>
    <t>WP050F</t>
  </si>
  <si>
    <t>0000000a122d54fe</t>
  </si>
  <si>
    <t>101-0014-6530</t>
  </si>
  <si>
    <t>0000000a1239b2ec</t>
  </si>
  <si>
    <t>101-0014-6573</t>
  </si>
  <si>
    <t>Emily Thomas</t>
  </si>
  <si>
    <t>emilyandleighthomas@gmail.com</t>
  </si>
  <si>
    <t>+1 780 887 7438</t>
  </si>
  <si>
    <t>BBJ2059</t>
  </si>
  <si>
    <t>0000000a123b41ef</t>
  </si>
  <si>
    <t>101-0014-6605</t>
  </si>
  <si>
    <t>Karen Rokosh</t>
  </si>
  <si>
    <t>karencd22@hotmail.com</t>
  </si>
  <si>
    <t>+1 780 722 5227</t>
  </si>
  <si>
    <t>CXB3789</t>
  </si>
  <si>
    <t>0000000a123c8418</t>
  </si>
  <si>
    <t>101-0014-6699</t>
  </si>
  <si>
    <t>0000000a12400537</t>
  </si>
  <si>
    <t>101-0014-6768</t>
  </si>
  <si>
    <t>Phil Pocklington</t>
  </si>
  <si>
    <t>phil@can1.ca</t>
  </si>
  <si>
    <t>+1 780 893 5041</t>
  </si>
  <si>
    <t>M78690</t>
  </si>
  <si>
    <t>0000000a1241cd16</t>
  </si>
  <si>
    <t>101-0014-6771</t>
  </si>
  <si>
    <t>0000000a1241d6ca</t>
  </si>
  <si>
    <t>101-0014-6774</t>
  </si>
  <si>
    <t>0000000a1241e0bd</t>
  </si>
  <si>
    <t>101-0014-6910</t>
  </si>
  <si>
    <t>Lyndon Bartman</t>
  </si>
  <si>
    <t>lyndonbartman@hotmail.com</t>
  </si>
  <si>
    <t>+1 780 536 1018</t>
  </si>
  <si>
    <t>CJC3501</t>
  </si>
  <si>
    <t>0000000a124c19fd</t>
  </si>
  <si>
    <t>101-0014-6925</t>
  </si>
  <si>
    <t>Brent Boisvert</t>
  </si>
  <si>
    <t>boisvertgroup@gmail.com</t>
  </si>
  <si>
    <t>+1 780 886 9569</t>
  </si>
  <si>
    <t>CDY9670</t>
  </si>
  <si>
    <t>0000000a124e19f5</t>
  </si>
  <si>
    <t>101-0014-6930</t>
  </si>
  <si>
    <t>Shawn Auger</t>
  </si>
  <si>
    <t>shawnauger2015@gmail.com</t>
  </si>
  <si>
    <t>+1 780 843 5596</t>
  </si>
  <si>
    <t>BTB4334</t>
  </si>
  <si>
    <t>0000000a12503fe3</t>
  </si>
  <si>
    <t>101-0014-7026</t>
  </si>
  <si>
    <t>Shinyong Park</t>
  </si>
  <si>
    <t>s8606649@gmail.com</t>
  </si>
  <si>
    <t>+1 780 860 6649</t>
  </si>
  <si>
    <t>CJH7485</t>
  </si>
  <si>
    <t>0000000a125aebc1</t>
  </si>
  <si>
    <t>101-0014-7986</t>
  </si>
  <si>
    <t>Kang ah Kim</t>
  </si>
  <si>
    <t>kaylakim0911@gmail.com</t>
  </si>
  <si>
    <t>+1 438 348 0707</t>
  </si>
  <si>
    <t>CXG3257</t>
  </si>
  <si>
    <t>0000000a127f41c5</t>
  </si>
  <si>
    <t>101-0014-7988</t>
  </si>
  <si>
    <t>Curtis Massie</t>
  </si>
  <si>
    <t>curtis_massie@outlook.com</t>
  </si>
  <si>
    <t>+1 780 915 9218</t>
  </si>
  <si>
    <t>WNC017</t>
  </si>
  <si>
    <t>0000000a127f9708</t>
  </si>
  <si>
    <t>101-0014-7992</t>
  </si>
  <si>
    <t>Vanessa Watson</t>
  </si>
  <si>
    <t>vanessafoley@hotmail.com</t>
  </si>
  <si>
    <t>+1 780 490 8768</t>
  </si>
  <si>
    <t>BBT7821</t>
  </si>
  <si>
    <t>0000000a1282148f</t>
  </si>
  <si>
    <t>101-0014-8781</t>
  </si>
  <si>
    <t>Julia Rutkowski</t>
  </si>
  <si>
    <t>julia.rutkowski@gmail.com</t>
  </si>
  <si>
    <t>+1 780 905 4919</t>
  </si>
  <si>
    <t>BRB4912</t>
  </si>
  <si>
    <t>0000000a12a4b4e5</t>
  </si>
  <si>
    <t>101-0014-8823</t>
  </si>
  <si>
    <t>0000000a12a5e89b</t>
  </si>
  <si>
    <t>101-0014-8841</t>
  </si>
  <si>
    <t>0000000a12a669ba</t>
  </si>
  <si>
    <t>101-0014-8846</t>
  </si>
  <si>
    <t>Jessica Meyer</t>
  </si>
  <si>
    <t>runvs19@hotmail.com</t>
  </si>
  <si>
    <t>+1 780 965 4601</t>
  </si>
  <si>
    <t>DC0498</t>
  </si>
  <si>
    <t>0000000a12a6923e</t>
  </si>
  <si>
    <t>101-0014-8903</t>
  </si>
  <si>
    <t>0000000a12a87218</t>
  </si>
  <si>
    <t>101-0014-8918</t>
  </si>
  <si>
    <t>CMC9113</t>
  </si>
  <si>
    <t>0000000a12a8c203</t>
  </si>
  <si>
    <t>101-0014-9355</t>
  </si>
  <si>
    <t>Cece Cabuyao</t>
  </si>
  <si>
    <t>rottingstrawberry@gmail.com</t>
  </si>
  <si>
    <t>+1 780 915 5062</t>
  </si>
  <si>
    <t>CMB3160</t>
  </si>
  <si>
    <t>0000000a12b7a25f</t>
  </si>
  <si>
    <t>101-0014-9371</t>
  </si>
  <si>
    <t>Vanessa Procinsky</t>
  </si>
  <si>
    <t>vanessa.pro2992@gmail.com</t>
  </si>
  <si>
    <t>+1 780 288 2964</t>
  </si>
  <si>
    <t>CMG4179</t>
  </si>
  <si>
    <t>0000000a12bb20d7</t>
  </si>
  <si>
    <t>101-0014-9393</t>
  </si>
  <si>
    <t>0000000a12c23a11</t>
  </si>
  <si>
    <t>101-0015-0369</t>
  </si>
  <si>
    <t>Angela Minish</t>
  </si>
  <si>
    <t>angela.minish@lakelandcollege.ca</t>
  </si>
  <si>
    <t>+1 780 581 0828</t>
  </si>
  <si>
    <t>BZD2771</t>
  </si>
  <si>
    <t>0000000a12ea150f</t>
  </si>
  <si>
    <t>101-0015-0401</t>
  </si>
  <si>
    <t>Garett Kozijn</t>
  </si>
  <si>
    <t>gkozijn@eton-west.com</t>
  </si>
  <si>
    <t>+1 780 995 9226</t>
  </si>
  <si>
    <t>CDR8617</t>
  </si>
  <si>
    <t>0000000a12eb81f4</t>
  </si>
  <si>
    <t>101-0015-0543</t>
  </si>
  <si>
    <t>William Marsh</t>
  </si>
  <si>
    <t>bmarsh01@gmail.com</t>
  </si>
  <si>
    <t>+1 780 916 9787</t>
  </si>
  <si>
    <t>EYD073</t>
  </si>
  <si>
    <t>0000000a12f11b04</t>
  </si>
  <si>
    <t>101-0015-0691</t>
  </si>
  <si>
    <t>Maeva Toal</t>
  </si>
  <si>
    <t>mtoal1@hotmail.com</t>
  </si>
  <si>
    <t>+1 780 221 2116</t>
  </si>
  <si>
    <t>CNR7062</t>
  </si>
  <si>
    <t>0000000a12f7ded0</t>
  </si>
  <si>
    <t>101-0015-0735</t>
  </si>
  <si>
    <t>0000000a12fd6b71</t>
  </si>
  <si>
    <t>101-0015-2147</t>
  </si>
  <si>
    <t>Amanda Di Monte</t>
  </si>
  <si>
    <t>amanda.dimonte@hotmail.com</t>
  </si>
  <si>
    <t>+1 873 822 1256</t>
  </si>
  <si>
    <t>CTK3089</t>
  </si>
  <si>
    <t>0000000a1339725f</t>
  </si>
  <si>
    <t>101-0015-2207</t>
  </si>
  <si>
    <t>shannon.miles@fairmont.com</t>
  </si>
  <si>
    <t>+1 416 890 2845</t>
  </si>
  <si>
    <t>0000000a13418793</t>
  </si>
  <si>
    <t>101-0015-3358</t>
  </si>
  <si>
    <t>Shelly Barabash</t>
  </si>
  <si>
    <t>barabash55@gmail.com</t>
  </si>
  <si>
    <t>+1 780 940 9763</t>
  </si>
  <si>
    <t>BYL8303</t>
  </si>
  <si>
    <t>0000000a1376aa04</t>
  </si>
  <si>
    <t>101-0015-3360</t>
  </si>
  <si>
    <t>0000000a1376afe2</t>
  </si>
  <si>
    <t>101-0015-4994</t>
  </si>
  <si>
    <t>katers6644@hotmail.com</t>
  </si>
  <si>
    <t>+1 780 903 9149</t>
  </si>
  <si>
    <t>0000000d199f888d</t>
  </si>
  <si>
    <t>101-0015-6012</t>
  </si>
  <si>
    <t>CMM2279</t>
  </si>
  <si>
    <t>0000000d19de0c6c</t>
  </si>
  <si>
    <t>101-0015-8895</t>
  </si>
  <si>
    <t>Richard Woods</t>
  </si>
  <si>
    <t>woodsinbolton@hotmail.com</t>
  </si>
  <si>
    <t>+44 7941 447623</t>
  </si>
  <si>
    <t>UNKNOWN</t>
  </si>
  <si>
    <t>0000000d1a659dfe</t>
  </si>
  <si>
    <t>101-0015-9775</t>
  </si>
  <si>
    <t>Darren Lau</t>
  </si>
  <si>
    <t>darren.lau@gmail.com</t>
  </si>
  <si>
    <t>+1 780 887 2811</t>
  </si>
  <si>
    <t>CRG4351</t>
  </si>
  <si>
    <t>0000000d1a8e7b9c</t>
  </si>
  <si>
    <t>101-0015-9842</t>
  </si>
  <si>
    <t>Nicole Fraser</t>
  </si>
  <si>
    <t>nicole.fraser@hotmail.com</t>
  </si>
  <si>
    <t>+1 587 987 1100</t>
  </si>
  <si>
    <t>CVS8065</t>
  </si>
  <si>
    <t>0000000d1a908e65</t>
  </si>
  <si>
    <t>101-0016-0354</t>
  </si>
  <si>
    <t>Christa Laforce</t>
  </si>
  <si>
    <t>eclama@proton.me</t>
  </si>
  <si>
    <t>+1 587 988 5907</t>
  </si>
  <si>
    <t>EEW811</t>
  </si>
  <si>
    <t>0000000d1aa9b5df</t>
  </si>
  <si>
    <t>101-0016-1488</t>
  </si>
  <si>
    <t>0000000d1ad296a3</t>
  </si>
  <si>
    <t>101-0016-1787</t>
  </si>
  <si>
    <t>Leona Tran</t>
  </si>
  <si>
    <t>leonaatran@gmail.com</t>
  </si>
  <si>
    <t>+1 647 773 0168</t>
  </si>
  <si>
    <t>CHR0754</t>
  </si>
  <si>
    <t>0000000d1adfeda3</t>
  </si>
  <si>
    <t>101-0016-2939</t>
  </si>
  <si>
    <t>jon-988@outlook.com</t>
  </si>
  <si>
    <t>+1 780 906 0708</t>
  </si>
  <si>
    <t>0000001a016774fd</t>
  </si>
  <si>
    <t>101-0016-2941</t>
  </si>
  <si>
    <t>0000001a01678fea</t>
  </si>
  <si>
    <t>101-0016-3492</t>
  </si>
  <si>
    <t>Steven jansen</t>
  </si>
  <si>
    <t>stevenjansen2@gmail.com</t>
  </si>
  <si>
    <t>+1 780 305 9566</t>
  </si>
  <si>
    <t>CMG3355</t>
  </si>
  <si>
    <t>0000001a0184ee1a</t>
  </si>
  <si>
    <t>101-0016-6307</t>
  </si>
  <si>
    <t>John Thornton</t>
  </si>
  <si>
    <t>thorntonj004@gmail.com</t>
  </si>
  <si>
    <t>+1 780 504 4394</t>
  </si>
  <si>
    <t>CNF8664</t>
  </si>
  <si>
    <t>0000001a021525e4</t>
  </si>
  <si>
    <t>101-0016-8766</t>
  </si>
  <si>
    <t>0000001a02904d5e</t>
  </si>
  <si>
    <t>101-0017-0729</t>
  </si>
  <si>
    <t>Todd Valdes</t>
  </si>
  <si>
    <t>tavaldes@gmail.com</t>
  </si>
  <si>
    <t>+1 310 871 2402</t>
  </si>
  <si>
    <t>RMH8136</t>
  </si>
  <si>
    <t>0000001a02e25da9</t>
  </si>
  <si>
    <t>101-0017-5945</t>
  </si>
  <si>
    <t>Galen Gower</t>
  </si>
  <si>
    <t>galen.gower@santanderconsumer.ca</t>
  </si>
  <si>
    <t>+1 902 880 1899</t>
  </si>
  <si>
    <t>0000000a1472ff5c</t>
  </si>
  <si>
    <t>101-0017-6272</t>
  </si>
  <si>
    <t>0000000a147e17d0</t>
  </si>
  <si>
    <t>101-0017-6412</t>
  </si>
  <si>
    <t>Melissa Berg</t>
  </si>
  <si>
    <t>berg_melissa@hotmail.com</t>
  </si>
  <si>
    <t>+1 780 361 6744</t>
  </si>
  <si>
    <t>CXJ5010</t>
  </si>
  <si>
    <t>0000000a148422fa</t>
  </si>
  <si>
    <t>101-0017-6681</t>
  </si>
  <si>
    <t>Irek Dyjak</t>
  </si>
  <si>
    <t>dyjak@ualberta.ca</t>
  </si>
  <si>
    <t>+1 780 984 4088</t>
  </si>
  <si>
    <t>CXM2155</t>
  </si>
  <si>
    <t>0000000a149bc687</t>
  </si>
  <si>
    <t>101-0017-7394</t>
  </si>
  <si>
    <t>Francesca Manalo</t>
  </si>
  <si>
    <t>francesca.l.manalo@gmail.com</t>
  </si>
  <si>
    <t>+1 647 284 6396</t>
  </si>
  <si>
    <t>GVJT264</t>
  </si>
  <si>
    <t>0000000a14b961d2</t>
  </si>
  <si>
    <t>101-0017-7817</t>
  </si>
  <si>
    <t>Jordan Reddekopp</t>
  </si>
  <si>
    <t>jreddekopp2@gmail.com</t>
  </si>
  <si>
    <t>+1 780 993 6970</t>
  </si>
  <si>
    <t>BHK1576</t>
  </si>
  <si>
    <t>0000000a14ccea3b</t>
  </si>
  <si>
    <t>101-0017-7818</t>
  </si>
  <si>
    <t>Bridget Cunningham</t>
  </si>
  <si>
    <t>cunninghamb600@gmail.com</t>
  </si>
  <si>
    <t>+1 780 518 1981</t>
  </si>
  <si>
    <t>CDL5912</t>
  </si>
  <si>
    <t>0000000a14ce75c2</t>
  </si>
  <si>
    <t>101-0017-8047</t>
  </si>
  <si>
    <t>0000000a14dd5be8</t>
  </si>
  <si>
    <t>101-0017-8607</t>
  </si>
  <si>
    <t>Blaine Findlay</t>
  </si>
  <si>
    <t>blaine.findlay2@gmail.com</t>
  </si>
  <si>
    <t>+1 403 308 3774</t>
  </si>
  <si>
    <t>BDM4030</t>
  </si>
  <si>
    <t>0000000a14f0f8b1</t>
  </si>
  <si>
    <t>101-0017-9051</t>
  </si>
  <si>
    <t>Nils Tuerling</t>
  </si>
  <si>
    <t>ntuerling@gmail.com</t>
  </si>
  <si>
    <t>+1 647 287 4222</t>
  </si>
  <si>
    <t>0000000a14fe1f31</t>
  </si>
  <si>
    <t>101-0017-9216</t>
  </si>
  <si>
    <t>Dani O'Connor</t>
  </si>
  <si>
    <t>danioconnor.doc@gmail.com</t>
  </si>
  <si>
    <t>+1 780 402 4523</t>
  </si>
  <si>
    <t>CWV8240</t>
  </si>
  <si>
    <t>0000000a1507cb4a</t>
  </si>
  <si>
    <t>101-0017-9217</t>
  </si>
  <si>
    <t>0000000a15088ddc</t>
  </si>
  <si>
    <t>101-0017-9218</t>
  </si>
  <si>
    <t>Jay Vantol</t>
  </si>
  <si>
    <t>vonjae@gmail.com</t>
  </si>
  <si>
    <t>+1 780 975 6705</t>
  </si>
  <si>
    <t>CFG5855</t>
  </si>
  <si>
    <t>0000000a1508ae5f</t>
  </si>
  <si>
    <t>101-0017-9220</t>
  </si>
  <si>
    <t>0000000a150b8fbb</t>
  </si>
  <si>
    <t>101-0018-1285</t>
  </si>
  <si>
    <t>0000000a1579c422</t>
  </si>
  <si>
    <t>101-0018-1286</t>
  </si>
  <si>
    <t>CSC6924</t>
  </si>
  <si>
    <t>0000000a1579d5e9</t>
  </si>
  <si>
    <t>101-0018-1287</t>
  </si>
  <si>
    <t>0000000a1579d7b8</t>
  </si>
  <si>
    <t>101-0018-4262</t>
  </si>
  <si>
    <t>Christina Lofthaug</t>
  </si>
  <si>
    <t>ckkuehn@shaw.ca</t>
  </si>
  <si>
    <t>+1 780 292 1203</t>
  </si>
  <si>
    <t>BZH1220</t>
  </si>
  <si>
    <t>0000001a03dc18df</t>
  </si>
  <si>
    <t>101-0018-4351</t>
  </si>
  <si>
    <t>Nicola Thomson</t>
  </si>
  <si>
    <t>nicolahthomson@gmail.com</t>
  </si>
  <si>
    <t>+1 780 296 2034</t>
  </si>
  <si>
    <t>CNX4706</t>
  </si>
  <si>
    <t>0000001a03dfbd14</t>
  </si>
  <si>
    <t>101-0018-4360</t>
  </si>
  <si>
    <t>EHK221</t>
  </si>
  <si>
    <t>0000001a03e023c9</t>
  </si>
  <si>
    <t>101-0018-4668</t>
  </si>
  <si>
    <t>Marc Thauvette</t>
  </si>
  <si>
    <t>thauvette@live.com</t>
  </si>
  <si>
    <t>+1 780 952 6104</t>
  </si>
  <si>
    <t>CGS8950</t>
  </si>
  <si>
    <t>0000001a03ecf22e</t>
  </si>
  <si>
    <t>101-0018-5469</t>
  </si>
  <si>
    <t>Dan Covelli</t>
  </si>
  <si>
    <t>dan_covelli@yahoo.com</t>
  </si>
  <si>
    <t>+1 780 994 6068</t>
  </si>
  <si>
    <t>CGT5042</t>
  </si>
  <si>
    <t>0000001a040eaec6</t>
  </si>
  <si>
    <t>101-0018-5471</t>
  </si>
  <si>
    <t>Jessica Hagen</t>
  </si>
  <si>
    <t>jessicathagen@gmail.com</t>
  </si>
  <si>
    <t>+1 780 690 9109</t>
  </si>
  <si>
    <t>DFE634</t>
  </si>
  <si>
    <t>0000001a040fb36a</t>
  </si>
  <si>
    <t>101-0018-5782</t>
  </si>
  <si>
    <t>Kelli Ouellette</t>
  </si>
  <si>
    <t>kelliouellette@hotmail.com</t>
  </si>
  <si>
    <t>+1 780 645 9499</t>
  </si>
  <si>
    <t>CDJ2989</t>
  </si>
  <si>
    <t>0000001a04220452</t>
  </si>
  <si>
    <t>101-0018-5905</t>
  </si>
  <si>
    <t>Darren Paget</t>
  </si>
  <si>
    <t>ddpaget@gmail.com</t>
  </si>
  <si>
    <t>+1 403 807 1136</t>
  </si>
  <si>
    <t>FEL028</t>
  </si>
  <si>
    <t>0000001a04268cdc</t>
  </si>
  <si>
    <t>101-0018-5916</t>
  </si>
  <si>
    <t>0000001a0426ed57</t>
  </si>
  <si>
    <t>101-0018-6970</t>
  </si>
  <si>
    <t>Matthew Robison</t>
  </si>
  <si>
    <t>mattrobisoncontracting@gmail.com</t>
  </si>
  <si>
    <t>+1 780 706 4890</t>
  </si>
  <si>
    <t>CXZ7686</t>
  </si>
  <si>
    <t>0000001a044c91af</t>
  </si>
  <si>
    <t>101-0018-7341</t>
  </si>
  <si>
    <t>Landon Rudnisky</t>
  </si>
  <si>
    <t>lrudnisky1@gmail.com</t>
  </si>
  <si>
    <t>+1 780 242 6337</t>
  </si>
  <si>
    <t>CXN3399</t>
  </si>
  <si>
    <t>0000001a04701318</t>
  </si>
  <si>
    <t>101-0018-7425</t>
  </si>
  <si>
    <t>Shayna Stahl</t>
  </si>
  <si>
    <t>shayna.briggs.5@gmail.com</t>
  </si>
  <si>
    <t>+1 780 932 0495</t>
  </si>
  <si>
    <t>CXR8837</t>
  </si>
  <si>
    <t>0000001a0473e653</t>
  </si>
  <si>
    <t>101-0018-8056</t>
  </si>
  <si>
    <t>Darryl Horn</t>
  </si>
  <si>
    <t>darrylhorn99@gmail.com</t>
  </si>
  <si>
    <t>+1 780 918 4788</t>
  </si>
  <si>
    <t>DUE002</t>
  </si>
  <si>
    <t>0000001a04a0714f</t>
  </si>
  <si>
    <t>101-0019-0685</t>
  </si>
  <si>
    <t>Cathryn Jones</t>
  </si>
  <si>
    <t>greg_2@telus.net</t>
  </si>
  <si>
    <t>+1 780 458 4880</t>
  </si>
  <si>
    <t>BMU651</t>
  </si>
  <si>
    <t>0000001a0572464c</t>
  </si>
  <si>
    <t>101-0019-0693</t>
  </si>
  <si>
    <t>0000001a05729281</t>
  </si>
  <si>
    <t>101-0019-0732</t>
  </si>
  <si>
    <t>Jason Waywood</t>
  </si>
  <si>
    <t>a.j.waywood@shaw.ca</t>
  </si>
  <si>
    <t>+1 780 634 0250</t>
  </si>
  <si>
    <t>YYA948</t>
  </si>
  <si>
    <t>0000001a0574dd4f</t>
  </si>
  <si>
    <t>101-0019-0742</t>
  </si>
  <si>
    <t>0000001a05757ab2</t>
  </si>
  <si>
    <t>101-0019-0817</t>
  </si>
  <si>
    <t>0000001a057a33a8</t>
  </si>
  <si>
    <t>101-0019-1039</t>
  </si>
  <si>
    <t>0000001a05874479</t>
  </si>
  <si>
    <t>101-0019-1053</t>
  </si>
  <si>
    <t>0000001a0587c0f9</t>
  </si>
  <si>
    <t>101-0019-1428</t>
  </si>
  <si>
    <t>Dan McEleney</t>
  </si>
  <si>
    <t>dan.mceleney@gmail.com</t>
  </si>
  <si>
    <t>+1 780 237 5739</t>
  </si>
  <si>
    <t>BDK3030</t>
  </si>
  <si>
    <t>0000001a0597eb37</t>
  </si>
  <si>
    <t>101-0019-1429</t>
  </si>
  <si>
    <t>marie lavallee</t>
  </si>
  <si>
    <t>mariepop_18@hotmail.com</t>
  </si>
  <si>
    <t>+1 450 888 3001</t>
  </si>
  <si>
    <t>CTB0642</t>
  </si>
  <si>
    <t>0000001a0599da53</t>
  </si>
  <si>
    <t>101-0019-1430</t>
  </si>
  <si>
    <t>0000001a0599dcb1</t>
  </si>
  <si>
    <t>101-0019-1431</t>
  </si>
  <si>
    <t>Lisa Norris</t>
  </si>
  <si>
    <t>lisa.norris@live.ca</t>
  </si>
  <si>
    <t>+1 780 231 6722</t>
  </si>
  <si>
    <t>BJE131</t>
  </si>
  <si>
    <t>0000001a059a3f08</t>
  </si>
  <si>
    <t>101-0019-1447</t>
  </si>
  <si>
    <t>0000001a059abbf4</t>
  </si>
  <si>
    <t>101-0019-2022</t>
  </si>
  <si>
    <t>0000001a05bb0a59</t>
  </si>
  <si>
    <t>101-0019-2281</t>
  </si>
  <si>
    <t>Bent Jensen</t>
  </si>
  <si>
    <t>ben@jensenpeaks.com</t>
  </si>
  <si>
    <t>+1 780 932 9010</t>
  </si>
  <si>
    <t>CRP1250</t>
  </si>
  <si>
    <t>0000001a05c5f3c3</t>
  </si>
  <si>
    <t>101-0019-2929</t>
  </si>
  <si>
    <t>0000001a05df0780</t>
  </si>
  <si>
    <t>101-0019-2930</t>
  </si>
  <si>
    <t>Tian Tian</t>
  </si>
  <si>
    <t>ttian@ualberta.ca</t>
  </si>
  <si>
    <t>+1 780 710 7533</t>
  </si>
  <si>
    <t>BMT7607</t>
  </si>
  <si>
    <t>0000001a05dfed82</t>
  </si>
  <si>
    <t>101-0019-2932</t>
  </si>
  <si>
    <t>80N724</t>
  </si>
  <si>
    <t>0000001a05e0e103</t>
  </si>
  <si>
    <t>101-0019-2933</t>
  </si>
  <si>
    <t>CLY9408</t>
  </si>
  <si>
    <t>0000001a05e0fada</t>
  </si>
  <si>
    <t>101-0019-4465</t>
  </si>
  <si>
    <t>0000001a061aa3b6</t>
  </si>
  <si>
    <t>101-0019-4468</t>
  </si>
  <si>
    <t>0000001a061b290a</t>
  </si>
  <si>
    <t>101-0019-4470</t>
  </si>
  <si>
    <t>0000001a061d64d4</t>
  </si>
  <si>
    <t>101-0019-4471</t>
  </si>
  <si>
    <t>0000001a061d7075</t>
  </si>
  <si>
    <t>101-0019-4621</t>
  </si>
  <si>
    <t>0000001a0631002f</t>
  </si>
  <si>
    <t>101-0019-4622</t>
  </si>
  <si>
    <t>0000001a06314dde</t>
  </si>
  <si>
    <t>101-0019-5284</t>
  </si>
  <si>
    <t>Ryan Faulkner</t>
  </si>
  <si>
    <t>rrfaulkner@me.com</t>
  </si>
  <si>
    <t>+1 780 860 4404</t>
  </si>
  <si>
    <t>BSW6686</t>
  </si>
  <si>
    <t>0000000a15843cce</t>
  </si>
  <si>
    <t>101-0019-5657</t>
  </si>
  <si>
    <t>Shawn Santo</t>
  </si>
  <si>
    <t>shawn.santo@raeengineering.ca</t>
  </si>
  <si>
    <t>+1 780 718 2880</t>
  </si>
  <si>
    <t>CWC0760</t>
  </si>
  <si>
    <t>0000000a159b14e4</t>
  </si>
  <si>
    <t>101-0019-9684</t>
  </si>
  <si>
    <t>MATT ADCOCK</t>
  </si>
  <si>
    <t>matt@adcock.ca</t>
  </si>
  <si>
    <t>+1 780 699 6111</t>
  </si>
  <si>
    <t>DA7250</t>
  </si>
  <si>
    <t>0000000a1697d48f</t>
  </si>
  <si>
    <t>101-0020-0183</t>
  </si>
  <si>
    <t>Sabrina Gagnon</t>
  </si>
  <si>
    <t>sabrinahgagnon@yahoo.ca</t>
  </si>
  <si>
    <t>+1 780 220 3036</t>
  </si>
  <si>
    <t>CNS8523</t>
  </si>
  <si>
    <t>0000000a16b69170</t>
  </si>
  <si>
    <t>101-0020-0315</t>
  </si>
  <si>
    <t>Jess Fletcher</t>
  </si>
  <si>
    <t>jess.fletcher159@gmail.com</t>
  </si>
  <si>
    <t>+1 519 321 1695</t>
  </si>
  <si>
    <t>CTM7120</t>
  </si>
  <si>
    <t>0000000a16bd1742</t>
  </si>
  <si>
    <t>101-0020-1209</t>
  </si>
  <si>
    <t>Mike Steacy</t>
  </si>
  <si>
    <t>mjsteacy@gmail.com</t>
  </si>
  <si>
    <t>+1 780 717 3715</t>
  </si>
  <si>
    <t>RV797X</t>
  </si>
  <si>
    <t>0000000a16e5146e</t>
  </si>
  <si>
    <t>101-0020-1212</t>
  </si>
  <si>
    <t>Kimberly Thai</t>
  </si>
  <si>
    <t>kimberlythai@hotmail.com</t>
  </si>
  <si>
    <t>+1 780 904 6828</t>
  </si>
  <si>
    <t>ILUVPHO</t>
  </si>
  <si>
    <t>0000000a16e8171d</t>
  </si>
  <si>
    <t>101-0020-1213</t>
  </si>
  <si>
    <t>Adam Molnar</t>
  </si>
  <si>
    <t>admolnar1@shaw.ca</t>
  </si>
  <si>
    <t>+1 780 218 7362</t>
  </si>
  <si>
    <t>CWD5353</t>
  </si>
  <si>
    <t>0000000a16e8c5c7</t>
  </si>
  <si>
    <t>101-0020-1902</t>
  </si>
  <si>
    <t>Bailee Johansen</t>
  </si>
  <si>
    <t>baileetoll@gmail.com</t>
  </si>
  <si>
    <t>+1 250 640 0536</t>
  </si>
  <si>
    <t>SV9966</t>
  </si>
  <si>
    <t>0000000a17087203</t>
  </si>
  <si>
    <t>101-0020-2662</t>
  </si>
  <si>
    <t>0000000a1726f5af</t>
  </si>
  <si>
    <t>101-0020-2705</t>
  </si>
  <si>
    <t>Hiral Patel</t>
  </si>
  <si>
    <t>hiralpatel4000@gmail.com</t>
  </si>
  <si>
    <t>+1 780 242 3200</t>
  </si>
  <si>
    <t>CHH0637</t>
  </si>
  <si>
    <t>0000000a1730e25c</t>
  </si>
  <si>
    <t>101-0020-2706</t>
  </si>
  <si>
    <t>0000000a1730ea18</t>
  </si>
  <si>
    <t>101-0020-5792</t>
  </si>
  <si>
    <t>Jason Rasmussen</t>
  </si>
  <si>
    <t>jason.rasmussen@me.com</t>
  </si>
  <si>
    <t>+1 780 708 3286</t>
  </si>
  <si>
    <t>BTX8183</t>
  </si>
  <si>
    <t>0000000d1b8e437c</t>
  </si>
  <si>
    <t>101-0020-9368</t>
  </si>
  <si>
    <t>Rita Baumann</t>
  </si>
  <si>
    <t>rbaumann208@gmail.com</t>
  </si>
  <si>
    <t>+1 780 616 0213</t>
  </si>
  <si>
    <t>CBK0211</t>
  </si>
  <si>
    <t>0000000d1c363221</t>
  </si>
  <si>
    <t>101-0020-9370</t>
  </si>
  <si>
    <t>Leonie Trutschler</t>
  </si>
  <si>
    <t>leonie.atk@gmail.com</t>
  </si>
  <si>
    <t>+1 825 523 9637</t>
  </si>
  <si>
    <t>2DV5TF</t>
  </si>
  <si>
    <t>0000000d1c365425</t>
  </si>
  <si>
    <t>101-0020-9680</t>
  </si>
  <si>
    <t>PWA901</t>
  </si>
  <si>
    <t>0000000d1c519d86</t>
  </si>
  <si>
    <t>101-0020-9686</t>
  </si>
  <si>
    <t>0000000d1c51eb90</t>
  </si>
  <si>
    <t>101-0021-0127</t>
  </si>
  <si>
    <t>0000000d1c64e85e</t>
  </si>
  <si>
    <t>101-0021-0132</t>
  </si>
  <si>
    <t>0000000d1c65134d</t>
  </si>
  <si>
    <t>101-0021-0860</t>
  </si>
  <si>
    <t>0000000d1c7ea50d</t>
  </si>
  <si>
    <t>101-0021-0861</t>
  </si>
  <si>
    <t>TJX100</t>
  </si>
  <si>
    <t>0000000d1c7eaf39</t>
  </si>
  <si>
    <t>101-0021-0866</t>
  </si>
  <si>
    <t>0000000d1c814c7e</t>
  </si>
  <si>
    <t>101-0021-0867</t>
  </si>
  <si>
    <t>AG7945</t>
  </si>
  <si>
    <t>0000000d1c81577a</t>
  </si>
  <si>
    <t>101-0021-4697</t>
  </si>
  <si>
    <t>Norm Suvan</t>
  </si>
  <si>
    <t>nsuvan@suvy.ca</t>
  </si>
  <si>
    <t>+1 780 504 7886</t>
  </si>
  <si>
    <t>72P960</t>
  </si>
  <si>
    <t>0000001a06a760df</t>
  </si>
  <si>
    <t>101-0021-5095</t>
  </si>
  <si>
    <t>John Paul Lachambre</t>
  </si>
  <si>
    <t>jpl@kayruss.ca</t>
  </si>
  <si>
    <t>+1 780 886 3741</t>
  </si>
  <si>
    <t>CYG3831</t>
  </si>
  <si>
    <t>0000001a06c494cf</t>
  </si>
  <si>
    <t>101-0021-6716</t>
  </si>
  <si>
    <t>Rob Flook</t>
  </si>
  <si>
    <t>flookrob@gmail.com</t>
  </si>
  <si>
    <t>+1 780 245 2827</t>
  </si>
  <si>
    <t>DC3420</t>
  </si>
  <si>
    <t>0000001a07344952</t>
  </si>
  <si>
    <t>101-0021-6717</t>
  </si>
  <si>
    <t>0000001a07345eb8</t>
  </si>
  <si>
    <t>101-0021-7348</t>
  </si>
  <si>
    <t>0000001a0756165b</t>
  </si>
  <si>
    <t>101-0021-7396</t>
  </si>
  <si>
    <t>+1 780 208 4266</t>
  </si>
  <si>
    <t>0000001a07581982</t>
  </si>
  <si>
    <t>101-0021-7532</t>
  </si>
  <si>
    <t>Julie Arsenault</t>
  </si>
  <si>
    <t>perfectstormjulie@gmail.com</t>
  </si>
  <si>
    <t>+1 780 862 4337</t>
  </si>
  <si>
    <t>ETA340</t>
  </si>
  <si>
    <t>0000001a075c8097</t>
  </si>
  <si>
    <t>101-0021-8055</t>
  </si>
  <si>
    <t>0000001a0773c53d</t>
  </si>
  <si>
    <t>101-0021-8505</t>
  </si>
  <si>
    <t>0000001a07979148</t>
  </si>
  <si>
    <t>101-0021-9520</t>
  </si>
  <si>
    <t>BWD0018</t>
  </si>
  <si>
    <t>0000001a07bef1e9</t>
  </si>
  <si>
    <t>101-0021-9524</t>
  </si>
  <si>
    <t>0000001a07c11f15</t>
  </si>
  <si>
    <t>101-0021-9526</t>
  </si>
  <si>
    <t>Sara Korzan</t>
  </si>
  <si>
    <t>sarakorzan@gmail.com</t>
  </si>
  <si>
    <t>+1 780 920 9910</t>
  </si>
  <si>
    <t>CHF5041</t>
  </si>
  <si>
    <t>0000001a07c2385d</t>
  </si>
  <si>
    <t>101-0022-1010</t>
  </si>
  <si>
    <t>0000001a07fccf61</t>
  </si>
  <si>
    <t>101-0022-3387</t>
  </si>
  <si>
    <t>Ceceil Reyes</t>
  </si>
  <si>
    <t>ceceil_reyes@yahoo.com</t>
  </si>
  <si>
    <t>+1 780 718 4226</t>
  </si>
  <si>
    <t>BTV5187</t>
  </si>
  <si>
    <t>0000000a183530f8</t>
  </si>
  <si>
    <t>101-0022-5930</t>
  </si>
  <si>
    <t>Megan Olynyk</t>
  </si>
  <si>
    <t>me_grant@hotmail.com</t>
  </si>
  <si>
    <t>+1 780 984 1231</t>
  </si>
  <si>
    <t>CTN3342</t>
  </si>
  <si>
    <t>0000000a18d7f76d</t>
  </si>
  <si>
    <t>101-0022-6084</t>
  </si>
  <si>
    <t>Amie Meunier</t>
  </si>
  <si>
    <t>amie.h@hotmail.com</t>
  </si>
  <si>
    <t>+1 780 996 6808</t>
  </si>
  <si>
    <t>CSZ2513</t>
  </si>
  <si>
    <t>0000000a18dff3e6</t>
  </si>
  <si>
    <t>101-0022-6117</t>
  </si>
  <si>
    <t>Shondra Orlick</t>
  </si>
  <si>
    <t>shonorlick@gmail.com</t>
  </si>
  <si>
    <t>+1 780 940 3939</t>
  </si>
  <si>
    <t>41N359</t>
  </si>
  <si>
    <t>0000000a18e16e02</t>
  </si>
  <si>
    <t>101-0022-7122</t>
  </si>
  <si>
    <t>0000000a19081dac</t>
  </si>
  <si>
    <t>101-0022-7125</t>
  </si>
  <si>
    <t>Candace Workman</t>
  </si>
  <si>
    <t>candacekate.may@gmail.com</t>
  </si>
  <si>
    <t>+1 780 908 2248</t>
  </si>
  <si>
    <t>CKX6076</t>
  </si>
  <si>
    <t>0000000a190b488a</t>
  </si>
  <si>
    <t>101-0022-7854</t>
  </si>
  <si>
    <t>Toby Elston</t>
  </si>
  <si>
    <t>elstontoby@gmail.com</t>
  </si>
  <si>
    <t>+1 778 970 0377</t>
  </si>
  <si>
    <t>CXW9674</t>
  </si>
  <si>
    <t>0000001a0814817d</t>
  </si>
  <si>
    <t>101-0022-7974</t>
  </si>
  <si>
    <t>Jamie Haggett</t>
  </si>
  <si>
    <t>jamie.haggett@gmail.com</t>
  </si>
  <si>
    <t>+1 780 667 6982</t>
  </si>
  <si>
    <t>CCH4067</t>
  </si>
  <si>
    <t>0000001a08199e95</t>
  </si>
  <si>
    <t>101-0022-7977</t>
  </si>
  <si>
    <t>PHW945</t>
  </si>
  <si>
    <t>0000001a0819c005</t>
  </si>
  <si>
    <t>101-0022-8205</t>
  </si>
  <si>
    <t>0000001a082173d4</t>
  </si>
  <si>
    <t>101-0022-8636</t>
  </si>
  <si>
    <t>Emily Switser</t>
  </si>
  <si>
    <t>eswitser5@yahoo.com</t>
  </si>
  <si>
    <t>+1 802 745 7006</t>
  </si>
  <si>
    <t>0GB951</t>
  </si>
  <si>
    <t>0000001a082da6b9</t>
  </si>
  <si>
    <t>101-0022-8647</t>
  </si>
  <si>
    <t>Krista Frohlich</t>
  </si>
  <si>
    <t>klfrohlich@hotmail.com</t>
  </si>
  <si>
    <t>+1 780 991 3433</t>
  </si>
  <si>
    <t>ECG954</t>
  </si>
  <si>
    <t>0000001a0832f710</t>
  </si>
  <si>
    <t>101-0022-8648</t>
  </si>
  <si>
    <t>Carly McLennan</t>
  </si>
  <si>
    <t>carly.mclennan@gmail.com</t>
  </si>
  <si>
    <t>+1 780 686 9825</t>
  </si>
  <si>
    <t>65L441</t>
  </si>
  <si>
    <t>0000001a0833f5f3</t>
  </si>
  <si>
    <t>101-0022-8649</t>
  </si>
  <si>
    <t>Meredith McLennan</t>
  </si>
  <si>
    <t>meredithmclennan@gmail.com</t>
  </si>
  <si>
    <t>+1 780 965 6471</t>
  </si>
  <si>
    <t>AF5765</t>
  </si>
  <si>
    <t>0000001a083414cb</t>
  </si>
  <si>
    <t>101-0022-8654</t>
  </si>
  <si>
    <t>Amanda Kwiatkowski</t>
  </si>
  <si>
    <t>ameasures@hotmail.com</t>
  </si>
  <si>
    <t>+1 780 523 7161</t>
  </si>
  <si>
    <t>USP711</t>
  </si>
  <si>
    <t>0000001a08356a1f</t>
  </si>
  <si>
    <t>101-0022-8773</t>
  </si>
  <si>
    <t>Kelly Goldsworthy</t>
  </si>
  <si>
    <t>goldys@telus.net</t>
  </si>
  <si>
    <t>+1 780 920 7876</t>
  </si>
  <si>
    <t>BZC3504</t>
  </si>
  <si>
    <t>0000001a08406a35</t>
  </si>
  <si>
    <t>101-0022-8957</t>
  </si>
  <si>
    <t>0000001a0847e7d7</t>
  </si>
  <si>
    <t>101-0023-0117</t>
  </si>
  <si>
    <t>0000001a086e25cd</t>
  </si>
  <si>
    <t>101-0023-0119</t>
  </si>
  <si>
    <t>Aaron Black</t>
  </si>
  <si>
    <t>aarongordonblack@gmail.com</t>
  </si>
  <si>
    <t>+1 604 290 7248</t>
  </si>
  <si>
    <t>BCD1132</t>
  </si>
  <si>
    <t>0000001a086f2122</t>
  </si>
  <si>
    <t>101-0023-0121</t>
  </si>
  <si>
    <t>0000001a08710f20</t>
  </si>
  <si>
    <t>101-0023-0122</t>
  </si>
  <si>
    <t>0000001a08717362</t>
  </si>
  <si>
    <t>101-0023-1805</t>
  </si>
  <si>
    <t>John Frame</t>
  </si>
  <si>
    <t>jframe@wittenlaw.com</t>
  </si>
  <si>
    <t>+1 780 722 4040</t>
  </si>
  <si>
    <t>AE4583</t>
  </si>
  <si>
    <t>0000000d1d1d39f4</t>
  </si>
  <si>
    <t>101-0023-2783</t>
  </si>
  <si>
    <t>0000000d1d3f1ca0</t>
  </si>
  <si>
    <t>101-0023-2812</t>
  </si>
  <si>
    <t>Nancy Brennan</t>
  </si>
  <si>
    <t>nbrennan1@live.com</t>
  </si>
  <si>
    <t>+1 780 908 4829</t>
  </si>
  <si>
    <t>HLU336</t>
  </si>
  <si>
    <t>0000000d1d4a9423</t>
  </si>
  <si>
    <t>101-0023-2813</t>
  </si>
  <si>
    <t>0000000d1d4abf15</t>
  </si>
  <si>
    <t>101-0023-4018</t>
  </si>
  <si>
    <t>Marcela Salamanca</t>
  </si>
  <si>
    <t>salaman.marcela@gmail.com</t>
  </si>
  <si>
    <t>+1 825 975 1199</t>
  </si>
  <si>
    <t>CNH0597</t>
  </si>
  <si>
    <t>0000000d1d8f68e8</t>
  </si>
  <si>
    <t>101-0023-4554</t>
  </si>
  <si>
    <t>0000000d1daeaa8e</t>
  </si>
  <si>
    <t>101-0023-5328</t>
  </si>
  <si>
    <t>Angelie Comia</t>
  </si>
  <si>
    <t>anjesta@hotmail.com</t>
  </si>
  <si>
    <t>+1 780 902 4272</t>
  </si>
  <si>
    <t>CTP1025</t>
  </si>
  <si>
    <t>0000000d1dcd2067</t>
  </si>
  <si>
    <t>101-0023-5332</t>
  </si>
  <si>
    <t>Alana Friesen</t>
  </si>
  <si>
    <t>alana@daata.ca</t>
  </si>
  <si>
    <t>+1 204 391 6622</t>
  </si>
  <si>
    <t>S03633</t>
  </si>
  <si>
    <t>0000000d1dd1456f</t>
  </si>
  <si>
    <t>101-0023-6786</t>
  </si>
  <si>
    <t>Matthew Grant</t>
  </si>
  <si>
    <t>mattt.grant@hotmail.com</t>
  </si>
  <si>
    <t>+1 807 633 8860</t>
  </si>
  <si>
    <t>CC85188</t>
  </si>
  <si>
    <t>0000000d1e17c2c8</t>
  </si>
  <si>
    <t>101-0023-6788</t>
  </si>
  <si>
    <t>Lyman Zollinger</t>
  </si>
  <si>
    <t>lymanzolli@gmail.con</t>
  </si>
  <si>
    <t>+1 780 238 0203</t>
  </si>
  <si>
    <t>CPT8961</t>
  </si>
  <si>
    <t>0000000d1e1a35b9</t>
  </si>
  <si>
    <t>101-0023-6791</t>
  </si>
  <si>
    <t>Alejandro Suarez Torres</t>
  </si>
  <si>
    <t>alesuarezt99@gmail.com</t>
  </si>
  <si>
    <t>+1 780 782 8258</t>
  </si>
  <si>
    <t>CSX5103</t>
  </si>
  <si>
    <t>0000000d1e1bedba</t>
  </si>
  <si>
    <t>101-0023-7480</t>
  </si>
  <si>
    <t>Julia Khafizov</t>
  </si>
  <si>
    <t>julia@satoriyoga.ca</t>
  </si>
  <si>
    <t>+1 780 512 7573</t>
  </si>
  <si>
    <t>0000000d1e43e306</t>
  </si>
  <si>
    <t>101-0023-8274</t>
  </si>
  <si>
    <t>0000000d1e59442d</t>
  </si>
  <si>
    <t>101-0023-8390</t>
  </si>
  <si>
    <t>Lawrie McKeith</t>
  </si>
  <si>
    <t>rup3rt@telus.net</t>
  </si>
  <si>
    <t>+1 780 832 0784</t>
  </si>
  <si>
    <t>ZRW739</t>
  </si>
  <si>
    <t>0000000d1e5e7c46</t>
  </si>
  <si>
    <t>101-0023-8398</t>
  </si>
  <si>
    <t>Kurtis Streeper</t>
  </si>
  <si>
    <t>kbstreeper@gmail.com</t>
  </si>
  <si>
    <t>+1 780 554 5770</t>
  </si>
  <si>
    <t>CFF8544</t>
  </si>
  <si>
    <t>0000000d1e610f98</t>
  </si>
  <si>
    <t>101-0023-8399</t>
  </si>
  <si>
    <t>Jeff Steeves</t>
  </si>
  <si>
    <t>jeffssteeves22@hotmail.com</t>
  </si>
  <si>
    <t>+1 587 873 3003</t>
  </si>
  <si>
    <t>CGS4317</t>
  </si>
  <si>
    <t>0000000d1e629f81</t>
  </si>
  <si>
    <t>101-0023-8400</t>
  </si>
  <si>
    <t>0000000d1e62b46d</t>
  </si>
  <si>
    <t>101-0023-8405</t>
  </si>
  <si>
    <t>Mandy Larsson</t>
  </si>
  <si>
    <t>mandicle@hotmail.com</t>
  </si>
  <si>
    <t>+1 639 536 0963</t>
  </si>
  <si>
    <t>CXV9278</t>
  </si>
  <si>
    <t>0000000d1e65034a</t>
  </si>
  <si>
    <t>101-0023-8406</t>
  </si>
  <si>
    <t>Tariq Boost</t>
  </si>
  <si>
    <t>tariqboost@gmail.com</t>
  </si>
  <si>
    <t>+1 780 901 0407</t>
  </si>
  <si>
    <t>48P353</t>
  </si>
  <si>
    <t>0000000d1e65e0d9</t>
  </si>
  <si>
    <t>101-0023-8408</t>
  </si>
  <si>
    <t>Scott Manson</t>
  </si>
  <si>
    <t>smanwelder@gmail.com</t>
  </si>
  <si>
    <t>+1 905 872 0980</t>
  </si>
  <si>
    <t>CHM5131</t>
  </si>
  <si>
    <t>0000000d1e678253</t>
  </si>
  <si>
    <t>101-0023-9990</t>
  </si>
  <si>
    <t>0000000d1ea71127</t>
  </si>
  <si>
    <t>101-0024-3254</t>
  </si>
  <si>
    <t>0000000a1985e8d6</t>
  </si>
  <si>
    <t>101-0024-3258</t>
  </si>
  <si>
    <t>0000000a198602df</t>
  </si>
  <si>
    <t>101-0024-6476</t>
  </si>
  <si>
    <t>Claire Hart</t>
  </si>
  <si>
    <t>clairen_@hotmail.com</t>
  </si>
  <si>
    <t>+1 250 719 1304</t>
  </si>
  <si>
    <t>BWR9930</t>
  </si>
  <si>
    <t>0000001a091e0e9a</t>
  </si>
  <si>
    <t>101-0024-7214</t>
  </si>
  <si>
    <t>Mario Murillo</t>
  </si>
  <si>
    <t>mario.murillo@live.ca</t>
  </si>
  <si>
    <t>+1 780 721 8793</t>
  </si>
  <si>
    <t>DC0778</t>
  </si>
  <si>
    <t>0000001a093867b1</t>
  </si>
  <si>
    <t>101-0024-7585</t>
  </si>
  <si>
    <t>Alycia Chuckrey</t>
  </si>
  <si>
    <t>alycia.chuckrey@icloud.com</t>
  </si>
  <si>
    <t>+1 204 365 6029</t>
  </si>
  <si>
    <t>04727</t>
  </si>
  <si>
    <t>0000001a09419378</t>
  </si>
  <si>
    <t>101-0024-7617</t>
  </si>
  <si>
    <t>Nadine Horner</t>
  </si>
  <si>
    <t>nadinehorner@gmail.com</t>
  </si>
  <si>
    <t>+1 780 233 7064</t>
  </si>
  <si>
    <t>BXG1129</t>
  </si>
  <si>
    <t>0000001a09467dd6</t>
  </si>
  <si>
    <t>101-0024-7622</t>
  </si>
  <si>
    <t>Brandy Leuenberger-Lenihan</t>
  </si>
  <si>
    <t>brandy_leuenberger@hotmail.com</t>
  </si>
  <si>
    <t>+1 780 832 4388</t>
  </si>
  <si>
    <t>BPM1841</t>
  </si>
  <si>
    <t>0000001a09493c9a</t>
  </si>
  <si>
    <t>101-0024-7626</t>
  </si>
  <si>
    <t>0000001a094e915d</t>
  </si>
  <si>
    <t>101-0024-7634</t>
  </si>
  <si>
    <t>0000001a09532e5f</t>
  </si>
  <si>
    <t>101-0024-7681</t>
  </si>
  <si>
    <t>Royce Johnson</t>
  </si>
  <si>
    <t>rmapasqua@gmail.com</t>
  </si>
  <si>
    <t>+1 780 497 1516</t>
  </si>
  <si>
    <t>BWX8024</t>
  </si>
  <si>
    <t>0000001a09591fb3</t>
  </si>
  <si>
    <t>101-0024-7688</t>
  </si>
  <si>
    <t>0000001a095969ae</t>
  </si>
  <si>
    <t>101-0024-7693</t>
  </si>
  <si>
    <t>0000001a09599e42</t>
  </si>
  <si>
    <t>101-0024-7718</t>
  </si>
  <si>
    <t>Jocelyn Stickney</t>
  </si>
  <si>
    <t>jociiam@hotmail.com</t>
  </si>
  <si>
    <t>+1 780 285 1374</t>
  </si>
  <si>
    <t>CND1646</t>
  </si>
  <si>
    <t>0000001a095a5004</t>
  </si>
  <si>
    <t>101-0024-7748</t>
  </si>
  <si>
    <t>0000001a095b5508</t>
  </si>
  <si>
    <t>101-0024-7946</t>
  </si>
  <si>
    <t>Jeff Ulrich</t>
  </si>
  <si>
    <t>jeffulrich@hotmail.ca</t>
  </si>
  <si>
    <t>+1 780 233 6482</t>
  </si>
  <si>
    <t>VDY004</t>
  </si>
  <si>
    <t>0000001a096202f2</t>
  </si>
  <si>
    <t>101-0024-8096</t>
  </si>
  <si>
    <t>0000001a0967cdb0</t>
  </si>
  <si>
    <t>101-0024-8434</t>
  </si>
  <si>
    <t>0000001a09745149</t>
  </si>
  <si>
    <t>101-0024-8571</t>
  </si>
  <si>
    <t>0000001a0979cf62</t>
  </si>
  <si>
    <t>101-0024-8590</t>
  </si>
  <si>
    <t>Crystal Wasieczko</t>
  </si>
  <si>
    <t>ct_6891@hotmail.com</t>
  </si>
  <si>
    <t>+1 780 887 2862</t>
  </si>
  <si>
    <t>GTE118</t>
  </si>
  <si>
    <t>0000001a097aa354</t>
  </si>
  <si>
    <t>101-0024-8920</t>
  </si>
  <si>
    <t>Stacy Calliou</t>
  </si>
  <si>
    <t>lordoduck@hotmail.com</t>
  </si>
  <si>
    <t>+1 780 305 7260</t>
  </si>
  <si>
    <t>DB5614</t>
  </si>
  <si>
    <t>0000001a0986ca07</t>
  </si>
  <si>
    <t>101-0024-9174</t>
  </si>
  <si>
    <t>Curtis Nelson</t>
  </si>
  <si>
    <t>curtisnelson2009@yahoo.com</t>
  </si>
  <si>
    <t>+1 403 200 2127</t>
  </si>
  <si>
    <t>BTP8711</t>
  </si>
  <si>
    <t>0000001a09913ca4</t>
  </si>
  <si>
    <t>101-0024-9175</t>
  </si>
  <si>
    <t>Brendan Lefebvre</t>
  </si>
  <si>
    <t>brendan1lefebvre@gmail.com</t>
  </si>
  <si>
    <t>+1 780 907 2423</t>
  </si>
  <si>
    <t>CXM5528</t>
  </si>
  <si>
    <t>0000001a09915fb3</t>
  </si>
  <si>
    <t>101-0024-9177</t>
  </si>
  <si>
    <t>Cherie Holuk</t>
  </si>
  <si>
    <t>cherieholuk@gmail.com</t>
  </si>
  <si>
    <t>+1 780 817 4955</t>
  </si>
  <si>
    <t>CBD8111</t>
  </si>
  <si>
    <t>0000001a099332fb</t>
  </si>
  <si>
    <t>101-0024-9179</t>
  </si>
  <si>
    <t>Ranilu Zyra Solis</t>
  </si>
  <si>
    <t>raniluzyra@gmail.com</t>
  </si>
  <si>
    <t>+1 780 838 1928</t>
  </si>
  <si>
    <t>CML0955</t>
  </si>
  <si>
    <t>0000001a0995cb1b</t>
  </si>
  <si>
    <t>101-0024-9457</t>
  </si>
  <si>
    <t>Avrina Montgomery</t>
  </si>
  <si>
    <t>avrinamontgomery@gmail.com</t>
  </si>
  <si>
    <t>+33 7 50 64 16 04</t>
  </si>
  <si>
    <t>K79903</t>
  </si>
  <si>
    <t>0000001a09a78e3a</t>
  </si>
  <si>
    <t>101-0024-9572</t>
  </si>
  <si>
    <t>Sam Kluthe</t>
  </si>
  <si>
    <t>sam.kluthe@gmail.com</t>
  </si>
  <si>
    <t>+1 780 221 0769</t>
  </si>
  <si>
    <t>CYH4630</t>
  </si>
  <si>
    <t>0000001a09ab47d7</t>
  </si>
  <si>
    <t>101-0025-2475</t>
  </si>
  <si>
    <t>Robyn Maloney</t>
  </si>
  <si>
    <t>maloney.robyn@gmail.com</t>
  </si>
  <si>
    <t>+1 780 238 8858</t>
  </si>
  <si>
    <t>CBC8819</t>
  </si>
  <si>
    <t>0000000a19e7adde</t>
  </si>
  <si>
    <t>101-0025-2484</t>
  </si>
  <si>
    <t>0000000a19e7ed30</t>
  </si>
  <si>
    <t>101-0025-3500</t>
  </si>
  <si>
    <t>0000000a1a295564</t>
  </si>
  <si>
    <t>101-0025-3502</t>
  </si>
  <si>
    <t>0000000a1a2979df</t>
  </si>
  <si>
    <t>101-0025-3693</t>
  </si>
  <si>
    <t>Sandra Tremblay</t>
  </si>
  <si>
    <t>sand.tremblay7@gmail.com</t>
  </si>
  <si>
    <t>+1 780 695 9169</t>
  </si>
  <si>
    <t>BTM6036</t>
  </si>
  <si>
    <t>0000000a1a3497ca</t>
  </si>
  <si>
    <t>101-0025-3698</t>
  </si>
  <si>
    <t>0000000a1a34d3ce</t>
  </si>
  <si>
    <t>101-0025-4541</t>
  </si>
  <si>
    <t>Heidi Cheung</t>
  </si>
  <si>
    <t>saucyabby@gmail.com</t>
  </si>
  <si>
    <t>+1 780 221 6369</t>
  </si>
  <si>
    <t>CGY9666</t>
  </si>
  <si>
    <t>0000000d1f02d9e3</t>
  </si>
  <si>
    <t>101-0025-4543</t>
  </si>
  <si>
    <t>0000000d1f02facf</t>
  </si>
  <si>
    <t>101-0025-5351</t>
  </si>
  <si>
    <t>Cindy Briggs</t>
  </si>
  <si>
    <t>cindy.briggs4@gmail.com</t>
  </si>
  <si>
    <t>+1 780 975 2374</t>
  </si>
  <si>
    <t>PPF807</t>
  </si>
  <si>
    <t>0000000d1f2f6b7b</t>
  </si>
  <si>
    <t>101-0025-5774</t>
  </si>
  <si>
    <t>Andre Santos</t>
  </si>
  <si>
    <t>asantos3d@gmail.com</t>
  </si>
  <si>
    <t>+1 780 278 7407</t>
  </si>
  <si>
    <t>SUS077</t>
  </si>
  <si>
    <t>0000000d1f43d61b</t>
  </si>
  <si>
    <t>101-0025-6723</t>
  </si>
  <si>
    <t>0000000d1f695ad0</t>
  </si>
  <si>
    <t>101-0025-6724</t>
  </si>
  <si>
    <t>0000000d1f699ddc</t>
  </si>
  <si>
    <t>101-0025-7973</t>
  </si>
  <si>
    <t>Helen Do</t>
  </si>
  <si>
    <t>helen.do180@gmail.com</t>
  </si>
  <si>
    <t>+1 780 709 8898</t>
  </si>
  <si>
    <t>CWD9398</t>
  </si>
  <si>
    <t>0000000d1fa509af</t>
  </si>
  <si>
    <t>101-0025-8279</t>
  </si>
  <si>
    <t>Brad Wearmouth</t>
  </si>
  <si>
    <t>bradww1985@gmail.com</t>
  </si>
  <si>
    <t>+1 780 485 7296</t>
  </si>
  <si>
    <t>CNS8826</t>
  </si>
  <si>
    <t>0000000d1fb346da</t>
  </si>
  <si>
    <t>101-0025-8280</t>
  </si>
  <si>
    <t>0000000d1fb40947</t>
  </si>
  <si>
    <t>101-0025-8281</t>
  </si>
  <si>
    <t>Aaron Barnes</t>
  </si>
  <si>
    <t>senorbarnes@gmail.com</t>
  </si>
  <si>
    <t>+1 780 991 2254</t>
  </si>
  <si>
    <t>CWM9258</t>
  </si>
  <si>
    <t>0000000d1fb53baa</t>
  </si>
  <si>
    <t>101-0025-8287</t>
  </si>
  <si>
    <t>Blair Faulkner</t>
  </si>
  <si>
    <t>faulknerblair@gmail.com</t>
  </si>
  <si>
    <t>+1 780 914 5035</t>
  </si>
  <si>
    <t>CNG4061</t>
  </si>
  <si>
    <t>0000000d1fb95d26</t>
  </si>
  <si>
    <t>101-0025-8288</t>
  </si>
  <si>
    <t>0000000d1fb968ef</t>
  </si>
  <si>
    <t>101-0025-8290</t>
  </si>
  <si>
    <t>Carissa Hufty</t>
  </si>
  <si>
    <t>carissahufty@gmail.com</t>
  </si>
  <si>
    <t>+1 780 910 9215</t>
  </si>
  <si>
    <t>BSS3687</t>
  </si>
  <si>
    <t>0000000d1fb9c55a</t>
  </si>
  <si>
    <t>101-0025-9221</t>
  </si>
  <si>
    <t>bo jing</t>
  </si>
  <si>
    <t>lucifer.k9@hotmail.com</t>
  </si>
  <si>
    <t>+1 780 707 9033</t>
  </si>
  <si>
    <t>BTJ8863</t>
  </si>
  <si>
    <t>0000000d1fe07719</t>
  </si>
  <si>
    <t>101-0025-9324</t>
  </si>
  <si>
    <t>0000000d1fe38af8</t>
  </si>
  <si>
    <t>101-0025-9815</t>
  </si>
  <si>
    <t>Angela Sutton</t>
  </si>
  <si>
    <t>angelaphan@msn.com</t>
  </si>
  <si>
    <t>+1 780 935 8220</t>
  </si>
  <si>
    <t>CXB2122</t>
  </si>
  <si>
    <t>0000000d1ff1c9ca</t>
  </si>
  <si>
    <t>101-0025-9818</t>
  </si>
  <si>
    <t>0000000d1ff2400c</t>
  </si>
  <si>
    <t>101-0025-9819</t>
  </si>
  <si>
    <t>Kali Hennessey</t>
  </si>
  <si>
    <t>kali_michelle@rocketmail.com</t>
  </si>
  <si>
    <t>+1 780 747 3382</t>
  </si>
  <si>
    <t>FNU487</t>
  </si>
  <si>
    <t>0000000d1ff28a5c</t>
  </si>
  <si>
    <t>101-0025-9821</t>
  </si>
  <si>
    <t>Mara Armbruster</t>
  </si>
  <si>
    <t>marajadearmbruster@gmail.com</t>
  </si>
  <si>
    <t>+1 250 261 4488</t>
  </si>
  <si>
    <t>PV035R</t>
  </si>
  <si>
    <t>0000000d1ff2e5bc</t>
  </si>
  <si>
    <t>101-0025-9822</t>
  </si>
  <si>
    <t>Cameron Cragg</t>
  </si>
  <si>
    <t>cameron.cragg@surepoint.ca</t>
  </si>
  <si>
    <t>+1 587 986 0894</t>
  </si>
  <si>
    <t>0000000d1ff30a4b</t>
  </si>
  <si>
    <t>101-0025-9823</t>
  </si>
  <si>
    <t>0000000d1ff3ec60</t>
  </si>
  <si>
    <t>101-0025-9824</t>
  </si>
  <si>
    <t>Jeoffrey Arellano</t>
  </si>
  <si>
    <t>jheoarellano@yahoo.com</t>
  </si>
  <si>
    <t>+1 780 740 3435</t>
  </si>
  <si>
    <t>BBN0622</t>
  </si>
  <si>
    <t>0000000d1ff3f394</t>
  </si>
  <si>
    <t>101-0025-9866</t>
  </si>
  <si>
    <t>Sharon Lynes</t>
  </si>
  <si>
    <t>sdlynes@hotmail.com</t>
  </si>
  <si>
    <t>+1 780 349 1507</t>
  </si>
  <si>
    <t>84P081</t>
  </si>
  <si>
    <t>0000000d1ffe1bc0</t>
  </si>
  <si>
    <t>101-0025-9979</t>
  </si>
  <si>
    <t>0000000d200570f5</t>
  </si>
  <si>
    <t>101-0026-0184</t>
  </si>
  <si>
    <t>0000000d2014952c</t>
  </si>
  <si>
    <t>101-0026-0854</t>
  </si>
  <si>
    <t>0000000d2033e517</t>
  </si>
  <si>
    <t>101-0026-0856</t>
  </si>
  <si>
    <t>Kyle MacDonald</t>
  </si>
  <si>
    <t>kylemacdonald1987@gmail.com</t>
  </si>
  <si>
    <t>+1 780 904 1148</t>
  </si>
  <si>
    <t>CWW7512</t>
  </si>
  <si>
    <t>0000000d20343251</t>
  </si>
  <si>
    <t>101-0026-0857</t>
  </si>
  <si>
    <t>0000000d2034759f</t>
  </si>
  <si>
    <t>101-0026-0865</t>
  </si>
  <si>
    <t>Jonathan Alves</t>
  </si>
  <si>
    <t>jonathan.alves@me.com</t>
  </si>
  <si>
    <t>+1 780 220 9880</t>
  </si>
  <si>
    <t>BFH8774</t>
  </si>
  <si>
    <t>0000000d2037f8a3</t>
  </si>
  <si>
    <t>101-0026-1383</t>
  </si>
  <si>
    <t>Paul Nyhus</t>
  </si>
  <si>
    <t>paulnyhus1@gmail.com</t>
  </si>
  <si>
    <t>+1 780 905 1048</t>
  </si>
  <si>
    <t>CLC6402</t>
  </si>
  <si>
    <t>0000001a0a20be6e</t>
  </si>
  <si>
    <t>101-0026-1399</t>
  </si>
  <si>
    <t>mike verbitsky</t>
  </si>
  <si>
    <t>michaelverbitsky@live.ca</t>
  </si>
  <si>
    <t>+1 780 990 7515</t>
  </si>
  <si>
    <t>CWN9763</t>
  </si>
  <si>
    <t>0000001a0a21586b</t>
  </si>
  <si>
    <t>101-0026-1589</t>
  </si>
  <si>
    <t>Darren Hudson</t>
  </si>
  <si>
    <t>darrenandamyhudson@gmail.com</t>
  </si>
  <si>
    <t>+1 780 264 4167</t>
  </si>
  <si>
    <t>CVK8154</t>
  </si>
  <si>
    <t>0000001a0a284f67</t>
  </si>
  <si>
    <t>101-0026-1768</t>
  </si>
  <si>
    <t>Michelle Carbonneau</t>
  </si>
  <si>
    <t>michellesorokin@me.com</t>
  </si>
  <si>
    <t>+1 780 239 5941</t>
  </si>
  <si>
    <t>CWW6585</t>
  </si>
  <si>
    <t>0000001a0a2d5228</t>
  </si>
  <si>
    <t>101-0026-2215</t>
  </si>
  <si>
    <t>0000001a0a3fd10b</t>
  </si>
  <si>
    <t>101-0026-2221</t>
  </si>
  <si>
    <t>0000001a0a433539</t>
  </si>
  <si>
    <t>101-0026-2222</t>
  </si>
  <si>
    <t>Andres Ibinarriaga</t>
  </si>
  <si>
    <t>andresito117@icloud.com</t>
  </si>
  <si>
    <t>+52 55 5413 2620</t>
  </si>
  <si>
    <t>A15ONB</t>
  </si>
  <si>
    <t>0000001a0a433e28</t>
  </si>
  <si>
    <t>101-0026-2240</t>
  </si>
  <si>
    <t>Russell Hildebrandt</t>
  </si>
  <si>
    <t>caru096@gmail.com</t>
  </si>
  <si>
    <t>+1 780 913 2982</t>
  </si>
  <si>
    <t>WWX942</t>
  </si>
  <si>
    <t>0000001c000f368d</t>
  </si>
  <si>
    <t>101-0026-2310</t>
  </si>
  <si>
    <t>cody Goodwin</t>
  </si>
  <si>
    <t>cg-9@hotmail.com</t>
  </si>
  <si>
    <t>+1 780 914 7719</t>
  </si>
  <si>
    <t>WZG425</t>
  </si>
  <si>
    <t>0000001a0a4952f6</t>
  </si>
  <si>
    <t>101-0026-2460</t>
  </si>
  <si>
    <t>DA0454</t>
  </si>
  <si>
    <t>0000001a0a5241f6</t>
  </si>
  <si>
    <t>101-0026-2461</t>
  </si>
  <si>
    <t>0000001a0a525529</t>
  </si>
  <si>
    <t>101-0026-2670</t>
  </si>
  <si>
    <t>Karolin Peters</t>
  </si>
  <si>
    <t>karolin.peters85@gmail.com</t>
  </si>
  <si>
    <t>+49 173 5871445</t>
  </si>
  <si>
    <t>XT964N</t>
  </si>
  <si>
    <t>0000001a0a602f6a</t>
  </si>
  <si>
    <t>101-0026-3299</t>
  </si>
  <si>
    <t>0000001a0a828600</t>
  </si>
  <si>
    <t>101-0026-3306</t>
  </si>
  <si>
    <t>0000001a0a8479df</t>
  </si>
  <si>
    <t>101-0026-3308</t>
  </si>
  <si>
    <t>Abha Phul</t>
  </si>
  <si>
    <t>absiegle@hotmail.com</t>
  </si>
  <si>
    <t>+1 780 966 8505</t>
  </si>
  <si>
    <t>CCC2974</t>
  </si>
  <si>
    <t>0000001a0a85f43a</t>
  </si>
  <si>
    <t>101-0026-3430</t>
  </si>
  <si>
    <t>Michelle VantLand</t>
  </si>
  <si>
    <t>michellevantland@gmail.com</t>
  </si>
  <si>
    <t>+1 403 999 0299</t>
  </si>
  <si>
    <t>AB7540</t>
  </si>
  <si>
    <t>0000001a0a96248f</t>
  </si>
  <si>
    <t>101-0026-3927</t>
  </si>
  <si>
    <t>0000001a0aaec661</t>
  </si>
  <si>
    <t>101-0026-3934</t>
  </si>
  <si>
    <t>0000001a0aaf02af</t>
  </si>
  <si>
    <t>101-0026-4739</t>
  </si>
  <si>
    <t>Remi Do</t>
  </si>
  <si>
    <t>remipiano@hotmail.com</t>
  </si>
  <si>
    <t>+1 780 722 4820</t>
  </si>
  <si>
    <t>CHS9646</t>
  </si>
  <si>
    <t>0000001a0ad96655</t>
  </si>
  <si>
    <t>101-0026-4740</t>
  </si>
  <si>
    <t>Jadon Begg</t>
  </si>
  <si>
    <t>jasonc_b@telus.net</t>
  </si>
  <si>
    <t>+1 780 402 4214</t>
  </si>
  <si>
    <t>BST1189</t>
  </si>
  <si>
    <t>0000001a0ad9e04e</t>
  </si>
  <si>
    <t>101-0026-4826</t>
  </si>
  <si>
    <t>Cheri-Ann MacKinlay</t>
  </si>
  <si>
    <t>cheriannmackinlay@gmail.com</t>
  </si>
  <si>
    <t>+1 780 225 9536</t>
  </si>
  <si>
    <t>CTB7769</t>
  </si>
  <si>
    <t>0000001a0ae127fe</t>
  </si>
  <si>
    <t>101-0026-4857</t>
  </si>
  <si>
    <t>0000001a0ae25450</t>
  </si>
  <si>
    <t>101-0026-5307</t>
  </si>
  <si>
    <t>0000001a0aebffda</t>
  </si>
  <si>
    <t>101-0026-5333</t>
  </si>
  <si>
    <t>CYJ2033</t>
  </si>
  <si>
    <t>0000001a0aec461f</t>
  </si>
  <si>
    <t>101-0026-5480</t>
  </si>
  <si>
    <t>Alita van Deventer</t>
  </si>
  <si>
    <t>alita.avd@gmail.com</t>
  </si>
  <si>
    <t>+1 604 226 8520</t>
  </si>
  <si>
    <t>RG977V</t>
  </si>
  <si>
    <t>0000001a0aeedd42</t>
  </si>
  <si>
    <t>101-0026-6341</t>
  </si>
  <si>
    <t>Cordell Collett</t>
  </si>
  <si>
    <t>blainecollett@gmail.com</t>
  </si>
  <si>
    <t>+1 780 446 4306</t>
  </si>
  <si>
    <t>CMC1588</t>
  </si>
  <si>
    <t>0000001a0b0115d2</t>
  </si>
  <si>
    <t>101-0026-6342</t>
  </si>
  <si>
    <t>0000001a0b012566</t>
  </si>
  <si>
    <t>101-0026-6345</t>
  </si>
  <si>
    <t>Amy Collett</t>
  </si>
  <si>
    <t>amyscollett@icloud.com</t>
  </si>
  <si>
    <t>+1 780 217 7560</t>
  </si>
  <si>
    <t>8G98XV</t>
  </si>
  <si>
    <t>0000001a0b034261</t>
  </si>
  <si>
    <t>101-0026-6346</t>
  </si>
  <si>
    <t>Michael Butlin</t>
  </si>
  <si>
    <t>mikebutlin@hotmail.com</t>
  </si>
  <si>
    <t>+1 780 975 1911</t>
  </si>
  <si>
    <t>YBP844</t>
  </si>
  <si>
    <t>0000001a0b046c50</t>
  </si>
  <si>
    <t>101-0026-6349</t>
  </si>
  <si>
    <t>Natalie Lima</t>
  </si>
  <si>
    <t>n_lylyk@shaw.ca</t>
  </si>
  <si>
    <t>+1 780 233 0013</t>
  </si>
  <si>
    <t>YZK195</t>
  </si>
  <si>
    <t>0000001a0b05ca93</t>
  </si>
  <si>
    <t>101-0026-6708</t>
  </si>
  <si>
    <t>Fran Chambers</t>
  </si>
  <si>
    <t>francescachambers@hotmail.co.uk</t>
  </si>
  <si>
    <t>+44 7813 903957</t>
  </si>
  <si>
    <t>0GK359</t>
  </si>
  <si>
    <t>0000000d204c29f3</t>
  </si>
  <si>
    <t>101-0026-6881</t>
  </si>
  <si>
    <t>0000000d2054ed81</t>
  </si>
  <si>
    <t>101-0026-7166</t>
  </si>
  <si>
    <t>Zhenzhen Ma</t>
  </si>
  <si>
    <t>zzma2011@hotmail.ca</t>
  </si>
  <si>
    <t>+1 416 875 0367</t>
  </si>
  <si>
    <t>XH320F</t>
  </si>
  <si>
    <t>0000000d2062f8f4</t>
  </si>
  <si>
    <t>101-0026-7195</t>
  </si>
  <si>
    <t>XIANFENG WU</t>
  </si>
  <si>
    <t>wineaaron@yahoo.com</t>
  </si>
  <si>
    <t>+1 416 302 8861</t>
  </si>
  <si>
    <t>UNKOWN</t>
  </si>
  <si>
    <t>0000000d2064b8ea</t>
  </si>
  <si>
    <t>101-0026-7291</t>
  </si>
  <si>
    <t>Adela Driver</t>
  </si>
  <si>
    <t>adelakocman@hotmail.com</t>
  </si>
  <si>
    <t>+1 780 978 9015</t>
  </si>
  <si>
    <t>EGH538</t>
  </si>
  <si>
    <t>0000000d20682c98</t>
  </si>
  <si>
    <t>101-0026-7858</t>
  </si>
  <si>
    <t>Tracy Bouvier</t>
  </si>
  <si>
    <t>tbielert@telus.net</t>
  </si>
  <si>
    <t>+1 780 305 4184</t>
  </si>
  <si>
    <t>CYH5942</t>
  </si>
  <si>
    <t>0000000d207d6489</t>
  </si>
  <si>
    <t>101-0026-7859</t>
  </si>
  <si>
    <t>0000000d207e87db</t>
  </si>
  <si>
    <t>101-0026-7860</t>
  </si>
  <si>
    <t>0000000d207ec8fb</t>
  </si>
  <si>
    <t>101-0026-7861</t>
  </si>
  <si>
    <t>Sue Peters</t>
  </si>
  <si>
    <t>sue.p.peters@gmail.com</t>
  </si>
  <si>
    <t>+1 780 908 2228</t>
  </si>
  <si>
    <t>BWS5832</t>
  </si>
  <si>
    <t>0000000d207ef923</t>
  </si>
  <si>
    <t>101-0026-7862</t>
  </si>
  <si>
    <t>Marc Devaney</t>
  </si>
  <si>
    <t>devaneymarc@gmail.com</t>
  </si>
  <si>
    <t>+1 780 996 7270</t>
  </si>
  <si>
    <t>CNM1143</t>
  </si>
  <si>
    <t>0000000d207f06ff</t>
  </si>
  <si>
    <t>101-0026-8970</t>
  </si>
  <si>
    <t>0000000d209f9585</t>
  </si>
  <si>
    <t>101-0026-9296</t>
  </si>
  <si>
    <t>Ramya El-Hayouni</t>
  </si>
  <si>
    <t>ramya.elhayouni@gmail.com</t>
  </si>
  <si>
    <t>+1 780 906 1744</t>
  </si>
  <si>
    <t>CNJ4776</t>
  </si>
  <si>
    <t>0000000d20a8875e</t>
  </si>
  <si>
    <t>101-0026-9297</t>
  </si>
  <si>
    <t>Michelle Martyn</t>
  </si>
  <si>
    <t>michelle.martyn@hotmail.com</t>
  </si>
  <si>
    <t>+1 306 287 1444</t>
  </si>
  <si>
    <t>CRS3579</t>
  </si>
  <si>
    <t>0000000d20a8a001</t>
  </si>
  <si>
    <t>101-0026-9300</t>
  </si>
  <si>
    <t>Kirsten Brinks</t>
  </si>
  <si>
    <t>dkbrinks1@gmail.com</t>
  </si>
  <si>
    <t>+1 780 705 8455</t>
  </si>
  <si>
    <t>BXT7631</t>
  </si>
  <si>
    <t>0000000d20a91696</t>
  </si>
  <si>
    <t>101-0026-9303</t>
  </si>
  <si>
    <t>Chelsey Cortes</t>
  </si>
  <si>
    <t>cortes.chelsey@gmail.com</t>
  </si>
  <si>
    <t>+1 780 721 8183</t>
  </si>
  <si>
    <t>BZB7420</t>
  </si>
  <si>
    <t>0000000d20aa56a5</t>
  </si>
  <si>
    <t>101-0026-9308</t>
  </si>
  <si>
    <t>Rebecca Schille</t>
  </si>
  <si>
    <t>babybigtoes@gmail.com</t>
  </si>
  <si>
    <t>+1 306 830 0906</t>
  </si>
  <si>
    <t>BWF1617</t>
  </si>
  <si>
    <t>0000000d20abc3b8</t>
  </si>
  <si>
    <t>101-0026-9342</t>
  </si>
  <si>
    <t>Amit Patel</t>
  </si>
  <si>
    <t>amitpatel0812@gmail.com</t>
  </si>
  <si>
    <t>+1 714 675 2000</t>
  </si>
  <si>
    <t>VN559J</t>
  </si>
  <si>
    <t>0000000d20b5c27b</t>
  </si>
  <si>
    <t>101-0027-0434</t>
  </si>
  <si>
    <t>0000000d20e3c913</t>
  </si>
  <si>
    <t>101-0027-0437</t>
  </si>
  <si>
    <t>Dianna Miller</t>
  </si>
  <si>
    <t>diannamiller177@gmail.com</t>
  </si>
  <si>
    <t>+1 780 518 0993</t>
  </si>
  <si>
    <t>CXK8387</t>
  </si>
  <si>
    <t>0000000d20e7c651</t>
  </si>
  <si>
    <t>101-0027-1747</t>
  </si>
  <si>
    <t>Bryan Burnett</t>
  </si>
  <si>
    <t>bryanburnett@burcoelectric.com</t>
  </si>
  <si>
    <t>+1 306 491 7462</t>
  </si>
  <si>
    <t>312MMY</t>
  </si>
  <si>
    <t>0000000a1a5bb6db</t>
  </si>
  <si>
    <t>101-0027-1748</t>
  </si>
  <si>
    <t>0000000a1a5bbdfb</t>
  </si>
  <si>
    <t>101-0027-5900</t>
  </si>
  <si>
    <t>Dan Ma</t>
  </si>
  <si>
    <t>l_g@telus.net</t>
  </si>
  <si>
    <t>+1 780 431 0328</t>
  </si>
  <si>
    <t>0FV387</t>
  </si>
  <si>
    <t>0000000a1b347891</t>
  </si>
  <si>
    <t>101-0027-6579</t>
  </si>
  <si>
    <t>Edghill Gerrick</t>
  </si>
  <si>
    <t>edghill.gerrick30@gmail.com</t>
  </si>
  <si>
    <t>+1 780 402 9151</t>
  </si>
  <si>
    <t>CTL1652</t>
  </si>
  <si>
    <t>0000000a1b4dee3d</t>
  </si>
  <si>
    <t>101-0027-8082</t>
  </si>
  <si>
    <t>Dean Liske</t>
  </si>
  <si>
    <t>deanliske@gmail.com</t>
  </si>
  <si>
    <t>+1 780 203 4949</t>
  </si>
  <si>
    <t>YKT858</t>
  </si>
  <si>
    <t>0000000a1b83e113</t>
  </si>
  <si>
    <t>101-0027-8084</t>
  </si>
  <si>
    <t>Michelle Cardinal</t>
  </si>
  <si>
    <t>cardinal_m@yahoo.ca</t>
  </si>
  <si>
    <t>+1 780 493 1373</t>
  </si>
  <si>
    <t>CWF3035</t>
  </si>
  <si>
    <t>0000000a1b87b2c4</t>
  </si>
  <si>
    <t>101-0028-0254</t>
  </si>
  <si>
    <t>Enrique Mendez</t>
  </si>
  <si>
    <t>enriquemendez28@gmail.com</t>
  </si>
  <si>
    <t>+1 587 984 5919</t>
  </si>
  <si>
    <t>CNH2195</t>
  </si>
  <si>
    <t>0000000d21382ddc</t>
  </si>
  <si>
    <t>101-0028-3225</t>
  </si>
  <si>
    <t>Jared Milligan</t>
  </si>
  <si>
    <t>jaredmilligan@shaw.ca</t>
  </si>
  <si>
    <t>+1 780 913 0911</t>
  </si>
  <si>
    <t>CKL1556</t>
  </si>
  <si>
    <t>0000000d21fb58e0</t>
  </si>
  <si>
    <t>101-0028-4494</t>
  </si>
  <si>
    <t>0000000d2241fc1b</t>
  </si>
  <si>
    <t>101-0028-4495</t>
  </si>
  <si>
    <t>CWH4457</t>
  </si>
  <si>
    <t>0000000d22421470</t>
  </si>
  <si>
    <t>101-0028-4497</t>
  </si>
  <si>
    <t>0000000d22446a5a</t>
  </si>
  <si>
    <t>101-0028-4498</t>
  </si>
  <si>
    <t>0000000d22447735</t>
  </si>
  <si>
    <t>101-0028-5914</t>
  </si>
  <si>
    <t>0000000d2280be63</t>
  </si>
  <si>
    <t>101-0028-5915</t>
  </si>
  <si>
    <t>0000000d2280c157</t>
  </si>
  <si>
    <t>101-0028-9431</t>
  </si>
  <si>
    <t>Justin Krisko</t>
  </si>
  <si>
    <t>krisko82@gmail.com</t>
  </si>
  <si>
    <t>+1 403 596 2130</t>
  </si>
  <si>
    <t>BSY6561</t>
  </si>
  <si>
    <t>0000000d23886d6f</t>
  </si>
  <si>
    <t>101-0028-9432</t>
  </si>
  <si>
    <t>0000000d238879e1</t>
  </si>
  <si>
    <t>101-0029-0655</t>
  </si>
  <si>
    <t>Maria Tennison</t>
  </si>
  <si>
    <t>shmata78@hotmail.com</t>
  </si>
  <si>
    <t>+1 780 399 1163</t>
  </si>
  <si>
    <t>CNX8562</t>
  </si>
  <si>
    <t>0000000d23d05c41</t>
  </si>
  <si>
    <t>101-0029-0665</t>
  </si>
  <si>
    <t>blake fels</t>
  </si>
  <si>
    <t>blakefels@gmail.com</t>
  </si>
  <si>
    <t>+1 780 307 9090</t>
  </si>
  <si>
    <t>CMC7546</t>
  </si>
  <si>
    <t>0000000d23d29bd7</t>
  </si>
  <si>
    <t>101-0029-0680</t>
  </si>
  <si>
    <t>Gregory Uhryn</t>
  </si>
  <si>
    <t>greg.uhryn@gmail.com</t>
  </si>
  <si>
    <t>+1 780 952 5251</t>
  </si>
  <si>
    <t>49P942</t>
  </si>
  <si>
    <t>0000000d23df535f</t>
  </si>
  <si>
    <t>101-0029-9612</t>
  </si>
  <si>
    <t>Carter Smith</t>
  </si>
  <si>
    <t>cartershaun.smith@gmail.com</t>
  </si>
  <si>
    <t>+1 780 296 6338</t>
  </si>
  <si>
    <t>CCV5193</t>
  </si>
  <si>
    <t>0000001a0bfd7781</t>
  </si>
  <si>
    <t>101-0029-9794</t>
  </si>
  <si>
    <t>Derek Basey</t>
  </si>
  <si>
    <t>derekbasey@gmail.com</t>
  </si>
  <si>
    <t>+1 780 566 0474</t>
  </si>
  <si>
    <t>DB7107</t>
  </si>
  <si>
    <t>0000001a0c027ef0</t>
  </si>
  <si>
    <t>101-0029-9819</t>
  </si>
  <si>
    <t>Michael Lachambre</t>
  </si>
  <si>
    <t>mike.lachambre@gmail.com</t>
  </si>
  <si>
    <t>+1 403 809 3946</t>
  </si>
  <si>
    <t>CHL9500</t>
  </si>
  <si>
    <t>0000001a0c03418d</t>
  </si>
  <si>
    <t>Day of Week (Session Start)</t>
  </si>
  <si>
    <t>Day of Week (Session End)</t>
  </si>
  <si>
    <t>Monday</t>
  </si>
  <si>
    <t>Wednesday</t>
  </si>
  <si>
    <t>Thursday</t>
  </si>
  <si>
    <t>Saturday</t>
  </si>
  <si>
    <t>Sunday</t>
  </si>
  <si>
    <t>Tuesday</t>
  </si>
  <si>
    <t>Friday</t>
  </si>
  <si>
    <t>Row Labels</t>
  </si>
  <si>
    <t>Grand Total</t>
  </si>
  <si>
    <t>2023</t>
  </si>
  <si>
    <t>2024</t>
  </si>
  <si>
    <t>2025</t>
  </si>
  <si>
    <t>2026</t>
  </si>
  <si>
    <t>Nov</t>
  </si>
  <si>
    <t>Dec</t>
  </si>
  <si>
    <t>Jan</t>
  </si>
  <si>
    <t>Feb</t>
  </si>
  <si>
    <t>Mar</t>
  </si>
  <si>
    <t>Apr</t>
  </si>
  <si>
    <t>May</t>
  </si>
  <si>
    <t>Ski Season</t>
  </si>
  <si>
    <t>New or Returning Parker</t>
  </si>
  <si>
    <t>Session Revenue</t>
  </si>
  <si>
    <t>Booking ID</t>
  </si>
  <si>
    <t>2024/25 Season</t>
  </si>
  <si>
    <t>2025/26 Season</t>
  </si>
  <si>
    <t>2023/24 Season</t>
  </si>
  <si>
    <t>Total Parking Duration</t>
  </si>
  <si>
    <t>Session Start Date</t>
  </si>
  <si>
    <t>Session End Date</t>
  </si>
  <si>
    <t>Pricing Policy</t>
  </si>
  <si>
    <t>Day of the Week (Start)</t>
  </si>
  <si>
    <t>Day of the Week (End)</t>
  </si>
  <si>
    <t>Average Parking Duration</t>
  </si>
  <si>
    <t>Revenue</t>
  </si>
  <si>
    <t>Column Labels</t>
  </si>
  <si>
    <t>New</t>
  </si>
  <si>
    <t>Returning</t>
  </si>
  <si>
    <t>Parking Sessions</t>
  </si>
  <si>
    <t>Ski Resort Parking Analytics Dashboard</t>
  </si>
  <si>
    <t>Count of New or Returning Parker</t>
  </si>
  <si>
    <t>Number of Parking Sessions</t>
  </si>
  <si>
    <t>Average Revenue Per Parker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</si>
</sst>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quot;$&quot;#,##0.00"/>
  </numFmts>
  <fonts count="4" x14ac:knownFonts="1">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right/>
      <top/>
      <bottom style="double">
        <color indexed="64"/>
      </bottom>
      <diagonal/>
    </border>
    <border>
      <left/>
      <right/>
      <top/>
      <bottom style="medium">
        <color theme="4"/>
      </bottom>
      <diagonal/>
    </border>
  </borders>
  <cellStyleXfs count="1">
    <xf numFmtId="0" fontId="0" fillId="0" borderId="0"/>
  </cellStyleXfs>
  <cellXfs count="17">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xf numFmtId="0" fontId="1" fillId="0" borderId="0" xfId="0" applyFont="1"/>
    <xf numFmtId="164" fontId="1" fillId="0" borderId="0" xfId="0" applyNumberFormat="1" applyFont="1"/>
    <xf numFmtId="165" fontId="0" fillId="0" borderId="0" xfId="0" applyNumberFormat="1"/>
    <xf numFmtId="2" fontId="0" fillId="0" borderId="0" xfId="0" applyNumberFormat="1"/>
    <xf numFmtId="1" fontId="0" fillId="0" borderId="0" xfId="0" applyNumberFormat="1"/>
    <xf numFmtId="0" fontId="0" fillId="2" borderId="0" xfId="0" applyFill="1"/>
    <xf numFmtId="0" fontId="0" fillId="2" borderId="1" xfId="0" applyFill="1" applyBorder="1"/>
    <xf numFmtId="0" fontId="3" fillId="2" borderId="2" xfId="0" applyFont="1" applyFill="1" applyBorder="1" applyAlignment="1">
      <alignment horizontal="center"/>
    </xf>
    <xf numFmtId="0" fontId="0" fillId="2" borderId="2" xfId="0" applyFill="1" applyBorder="1" applyAlignment="1">
      <alignment horizontal="center"/>
    </xf>
    <xf numFmtId="0" fontId="0" fillId="0" borderId="0" xfId="0" applyNumberFormat="1"/>
  </cellXfs>
  <cellStyles count="1">
    <cellStyle name="Normal" xfId="0" builtinId="0"/>
  </cellStyles>
  <dxfs count="36">
    <dxf>
      <numFmt numFmtId="165" formatCode="&quot;$&quot;#,##0.00"/>
    </dxf>
    <dxf>
      <numFmt numFmtId="1" formatCode="0"/>
    </dxf>
    <dxf>
      <numFmt numFmtId="2" formatCode="0.00"/>
    </dxf>
    <dxf>
      <numFmt numFmtId="165" formatCode="&quot;$&quot;#,##0.00"/>
    </dxf>
    <dxf>
      <numFmt numFmtId="165" formatCode="&quot;$&quot;#,##0.00"/>
    </dxf>
    <dxf>
      <numFmt numFmtId="1" formatCode="0"/>
    </dxf>
    <dxf>
      <numFmt numFmtId="2" formatCode="0.00"/>
    </dxf>
    <dxf>
      <numFmt numFmtId="165" formatCode="&quot;$&quot;#,##0.00"/>
    </dxf>
    <dxf>
      <numFmt numFmtId="165" formatCode="&quot;$&quot;#,##0.00"/>
    </dxf>
    <dxf>
      <numFmt numFmtId="1" formatCode="0"/>
    </dxf>
    <dxf>
      <numFmt numFmtId="2" formatCode="0.00"/>
    </dxf>
    <dxf>
      <numFmt numFmtId="165" formatCode="&quot;$&quot;#,##0.00"/>
    </dxf>
    <dxf>
      <numFmt numFmtId="164" formatCode="[$-F800]dddd\,\ mmmm\ dd\,\ yyyy"/>
    </dxf>
    <dxf>
      <numFmt numFmtId="164" formatCode="[$-F800]dddd\,\ mmmm\ dd\,\ yyyy"/>
    </dxf>
    <dxf>
      <font>
        <b/>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800]dddd\,\ mmmm\ dd\,\ yyyy"/>
    </dxf>
    <dxf>
      <numFmt numFmtId="0" formatCode="General"/>
    </dxf>
    <dxf>
      <numFmt numFmtId="27" formatCode="m/d/yyyy\ h:mm"/>
    </dxf>
    <dxf>
      <numFmt numFmtId="27" formatCode="m/d/yyyy\ h:mm"/>
    </dxf>
    <dxf>
      <numFmt numFmtId="0" formatCode="General"/>
    </dxf>
    <dxf>
      <numFmt numFmtId="164" formatCode="[$-F800]dddd\,\ mmmm\ dd\,\ 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4" xr9:uid="{654EDBC1-1CEF-4595-8CD9-5B2E9956F2AA}"/>
  </tableStyles>
  <extLst>
    <ext xmlns:x14="http://schemas.microsoft.com/office/spreadsheetml/2009/9/main" uri="{46F421CA-312F-682f-3DD2-61675219B42D}">
      <x14:dxfs count="4">
        <dxf>
          <font>
            <color theme="0"/>
          </font>
        </dxf>
        <dxf>
          <fill>
            <patternFill>
              <bgColor theme="4"/>
            </patternFill>
          </fill>
        </dxf>
        <dxf>
          <fill>
            <patternFill>
              <bgColor theme="4"/>
            </patternFill>
          </fill>
        </dxf>
        <dxf>
          <fill>
            <patternFill>
              <bgColor theme="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NoData" dxfId="2"/>
            <x14:slicerStyleElement type="hovered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[skiresortrevenue_dashboard_and_clean_data.xlsx]Revenue_and_Bookings!PivotTable1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Revenue and Parking Sessions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dLbl>
          <c:idx val="0"/>
          <c:layout>
            <c:manualLayout>
              <c:x val="4.0899795501022499E-3"/>
              <c:y val="-0.1995909763340287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r>
                  <a:rPr lang="en-US"/>
                  <a:t>Jan. 17: Parking changed from daily paid parking to weekends &amp; holidays only.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strRef>
              <c:f>Revenue_and_Bookings!$B$1</c:f>
              <c:strCache>
                <c:ptCount val="1"/>
                <c:pt idx="0">
                  <c:v>Revenue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invertIfNegative val="0"/>
          <c:dPt>
            <c:idx val="9"/>
            <c:invertIfNegative val="0"/>
            <c:bubble3D val="0"/>
            <c:spPr>
              <a:solidFill>
                <a:srgbClr val="C00000"/>
              </a:solidFill>
              <a:ln>
                <a:noFill/>
              </a:ln>
              <a:effectLst/>
            </c:spPr>
            <c:extLst>
              <c:ext xmlns:c16="http://schemas.microsoft.com/office/drawing/2014/chart" uri="{C3380CC4-5D6E-409C-BE32-E72D297353CC}">
                <c16:uniqueId val="{00000003-FD4C-4568-ADC0-5F57F9C5764E}"/>
              </c:ext>
            </c:extLst>
          </c:dPt>
          <c:dLbls>
            <c:dLbl>
              <c:idx val="9"/>
              <c:layout>
                <c:manualLayout>
                  <c:x val="4.0899795501022499E-3"/>
                  <c:y val="-0.19959097633402878"/>
                </c:manualLayout>
              </c:layout>
              <c:tx>
                <c:rich>
                  <a:bodyPr/>
                  <a:lstStyle/>
                  <a:p>
                    <a:r>
                      <a:rPr lang="en-US"/>
                      <a:t>Jan. 17: Parking changed from daily paid parking to weekends &amp; holidays only.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D4C-4568-ADC0-5F57F9C576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Revenue_and_Bookings!$A$2:$A$31</c:f>
              <c:multiLvlStrCache>
                <c:ptCount val="20"/>
                <c:lvl>
                  <c:pt idx="0">
                    <c:v>Nov</c:v>
                  </c:pt>
                  <c:pt idx="1">
                    <c:v>Dec</c:v>
                  </c:pt>
                  <c:pt idx="2">
                    <c:v>Jan</c:v>
                  </c:pt>
                  <c:pt idx="3">
                    <c:v>Feb</c:v>
                  </c:pt>
                  <c:pt idx="4">
                    <c:v>Mar</c:v>
                  </c:pt>
                  <c:pt idx="5">
                    <c:v>Apr</c:v>
                  </c:pt>
                  <c:pt idx="6">
                    <c:v>May</c:v>
                  </c:pt>
                  <c:pt idx="7">
                    <c:v>Nov</c:v>
                  </c:pt>
                  <c:pt idx="8">
                    <c:v>Dec</c:v>
                  </c:pt>
                  <c:pt idx="9">
                    <c:v>Jan</c:v>
                  </c:pt>
                  <c:pt idx="10">
                    <c:v>Feb</c:v>
                  </c:pt>
                  <c:pt idx="11">
                    <c:v>Mar</c:v>
                  </c:pt>
                  <c:pt idx="12">
                    <c:v>Apr</c:v>
                  </c:pt>
                  <c:pt idx="13">
                    <c:v>Nov</c:v>
                  </c:pt>
                  <c:pt idx="14">
                    <c:v>Dec</c:v>
                  </c:pt>
                  <c:pt idx="15">
                    <c:v>Jan</c:v>
                  </c:pt>
                  <c:pt idx="16">
                    <c:v>Feb</c:v>
                  </c:pt>
                  <c:pt idx="17">
                    <c:v>Mar</c:v>
                  </c:pt>
                  <c:pt idx="18">
                    <c:v>Apr</c:v>
                  </c:pt>
                  <c:pt idx="19">
                    <c:v>May</c:v>
                  </c:pt>
                </c:lvl>
                <c:lvl>
                  <c:pt idx="0">
                    <c:v>2023</c:v>
                  </c:pt>
                  <c:pt idx="2">
                    <c:v>2024</c:v>
                  </c:pt>
                  <c:pt idx="7">
                    <c:v>2024</c:v>
                  </c:pt>
                  <c:pt idx="9">
                    <c:v>2025</c:v>
                  </c:pt>
                  <c:pt idx="13">
                    <c:v>2025</c:v>
                  </c:pt>
                  <c:pt idx="15">
                    <c:v>2026</c:v>
                  </c:pt>
                </c:lvl>
                <c:lvl>
                  <c:pt idx="0">
                    <c:v>2023/24 Season</c:v>
                  </c:pt>
                  <c:pt idx="7">
                    <c:v>2024/25 Season</c:v>
                  </c:pt>
                  <c:pt idx="13">
                    <c:v>2025/26 Season</c:v>
                  </c:pt>
                </c:lvl>
              </c:multiLvlStrCache>
            </c:multiLvlStrRef>
          </c:cat>
          <c:val>
            <c:numRef>
              <c:f>Revenue_and_Bookings!$B$2:$B$31</c:f>
              <c:numCache>
                <c:formatCode>"$"#,##0.00</c:formatCode>
                <c:ptCount val="20"/>
                <c:pt idx="0">
                  <c:v>19.989999999999998</c:v>
                </c:pt>
                <c:pt idx="1">
                  <c:v>2948.7699999999954</c:v>
                </c:pt>
                <c:pt idx="2">
                  <c:v>2388.9499999999985</c:v>
                </c:pt>
                <c:pt idx="3">
                  <c:v>3238.5999999999922</c:v>
                </c:pt>
                <c:pt idx="4">
                  <c:v>5927.3399999999738</c:v>
                </c:pt>
                <c:pt idx="5">
                  <c:v>679.70000000000016</c:v>
                </c:pt>
                <c:pt idx="6">
                  <c:v>39.979999999999997</c:v>
                </c:pt>
                <c:pt idx="7">
                  <c:v>44.98</c:v>
                </c:pt>
                <c:pt idx="8">
                  <c:v>1200.4600000000003</c:v>
                </c:pt>
                <c:pt idx="9">
                  <c:v>1154.5000000000002</c:v>
                </c:pt>
                <c:pt idx="10">
                  <c:v>449.82000000000011</c:v>
                </c:pt>
                <c:pt idx="11">
                  <c:v>449.82000000000005</c:v>
                </c:pt>
                <c:pt idx="12">
                  <c:v>449.82000000000005</c:v>
                </c:pt>
                <c:pt idx="13">
                  <c:v>174.93</c:v>
                </c:pt>
                <c:pt idx="14">
                  <c:v>2024.1900000000005</c:v>
                </c:pt>
                <c:pt idx="15">
                  <c:v>1524.3900000000003</c:v>
                </c:pt>
                <c:pt idx="16">
                  <c:v>1574.3700000000003</c:v>
                </c:pt>
                <c:pt idx="17">
                  <c:v>3073.7699999999913</c:v>
                </c:pt>
                <c:pt idx="18">
                  <c:v>1424.4300000000003</c:v>
                </c:pt>
                <c:pt idx="19">
                  <c:v>74.97</c:v>
                </c:pt>
              </c:numCache>
            </c:numRef>
          </c:val>
          <c:extLst>
            <c:ext xmlns:c16="http://schemas.microsoft.com/office/drawing/2014/chart" uri="{C3380CC4-5D6E-409C-BE32-E72D297353CC}">
              <c16:uniqueId val="{00000000-FD4C-4568-ADC0-5F57F9C5764E}"/>
            </c:ext>
          </c:extLst>
        </c:ser>
        <c:dLbls>
          <c:showLegendKey val="0"/>
          <c:showVal val="0"/>
          <c:showCatName val="0"/>
          <c:showSerName val="0"/>
          <c:showPercent val="0"/>
          <c:showBubbleSize val="0"/>
        </c:dLbls>
        <c:gapWidth val="219"/>
        <c:overlap val="-27"/>
        <c:axId val="1945290544"/>
        <c:axId val="1819984352"/>
      </c:barChart>
      <c:lineChart>
        <c:grouping val="standard"/>
        <c:varyColors val="0"/>
        <c:ser>
          <c:idx val="1"/>
          <c:order val="1"/>
          <c:tx>
            <c:strRef>
              <c:f>Revenue_and_Bookings!$C$1</c:f>
              <c:strCache>
                <c:ptCount val="1"/>
                <c:pt idx="0">
                  <c:v>Parking Sessions</c:v>
                </c:pt>
              </c:strCache>
            </c:strRef>
          </c:tx>
          <c:spPr>
            <a:ln w="31750" cap="rnd">
              <a:solidFill>
                <a:schemeClr val="accent1">
                  <a:tint val="77000"/>
                </a:schemeClr>
              </a:solidFill>
              <a:round/>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cat>
            <c:multiLvlStrRef>
              <c:f>Revenue_and_Bookings!$A$2:$A$31</c:f>
              <c:multiLvlStrCache>
                <c:ptCount val="20"/>
                <c:lvl>
                  <c:pt idx="0">
                    <c:v>Nov</c:v>
                  </c:pt>
                  <c:pt idx="1">
                    <c:v>Dec</c:v>
                  </c:pt>
                  <c:pt idx="2">
                    <c:v>Jan</c:v>
                  </c:pt>
                  <c:pt idx="3">
                    <c:v>Feb</c:v>
                  </c:pt>
                  <c:pt idx="4">
                    <c:v>Mar</c:v>
                  </c:pt>
                  <c:pt idx="5">
                    <c:v>Apr</c:v>
                  </c:pt>
                  <c:pt idx="6">
                    <c:v>May</c:v>
                  </c:pt>
                  <c:pt idx="7">
                    <c:v>Nov</c:v>
                  </c:pt>
                  <c:pt idx="8">
                    <c:v>Dec</c:v>
                  </c:pt>
                  <c:pt idx="9">
                    <c:v>Jan</c:v>
                  </c:pt>
                  <c:pt idx="10">
                    <c:v>Feb</c:v>
                  </c:pt>
                  <c:pt idx="11">
                    <c:v>Mar</c:v>
                  </c:pt>
                  <c:pt idx="12">
                    <c:v>Apr</c:v>
                  </c:pt>
                  <c:pt idx="13">
                    <c:v>Nov</c:v>
                  </c:pt>
                  <c:pt idx="14">
                    <c:v>Dec</c:v>
                  </c:pt>
                  <c:pt idx="15">
                    <c:v>Jan</c:v>
                  </c:pt>
                  <c:pt idx="16">
                    <c:v>Feb</c:v>
                  </c:pt>
                  <c:pt idx="17">
                    <c:v>Mar</c:v>
                  </c:pt>
                  <c:pt idx="18">
                    <c:v>Apr</c:v>
                  </c:pt>
                  <c:pt idx="19">
                    <c:v>May</c:v>
                  </c:pt>
                </c:lvl>
                <c:lvl>
                  <c:pt idx="0">
                    <c:v>2023</c:v>
                  </c:pt>
                  <c:pt idx="2">
                    <c:v>2024</c:v>
                  </c:pt>
                  <c:pt idx="7">
                    <c:v>2024</c:v>
                  </c:pt>
                  <c:pt idx="9">
                    <c:v>2025</c:v>
                  </c:pt>
                  <c:pt idx="13">
                    <c:v>2025</c:v>
                  </c:pt>
                  <c:pt idx="15">
                    <c:v>2026</c:v>
                  </c:pt>
                </c:lvl>
                <c:lvl>
                  <c:pt idx="0">
                    <c:v>2023/24 Season</c:v>
                  </c:pt>
                  <c:pt idx="7">
                    <c:v>2024/25 Season</c:v>
                  </c:pt>
                  <c:pt idx="13">
                    <c:v>2025/26 Season</c:v>
                  </c:pt>
                </c:lvl>
              </c:multiLvlStrCache>
            </c:multiLvlStrRef>
          </c:cat>
          <c:val>
            <c:numRef>
              <c:f>Revenue_and_Bookings!$C$2:$C$31</c:f>
              <c:numCache>
                <c:formatCode>General</c:formatCode>
                <c:ptCount val="20"/>
                <c:pt idx="0">
                  <c:v>1</c:v>
                </c:pt>
                <c:pt idx="1">
                  <c:v>97</c:v>
                </c:pt>
                <c:pt idx="2">
                  <c:v>87</c:v>
                </c:pt>
                <c:pt idx="3">
                  <c:v>118</c:v>
                </c:pt>
                <c:pt idx="4">
                  <c:v>202</c:v>
                </c:pt>
                <c:pt idx="5">
                  <c:v>24</c:v>
                </c:pt>
                <c:pt idx="6">
                  <c:v>2</c:v>
                </c:pt>
                <c:pt idx="7">
                  <c:v>2</c:v>
                </c:pt>
                <c:pt idx="8">
                  <c:v>43</c:v>
                </c:pt>
                <c:pt idx="9">
                  <c:v>42</c:v>
                </c:pt>
                <c:pt idx="10">
                  <c:v>16</c:v>
                </c:pt>
                <c:pt idx="11">
                  <c:v>16</c:v>
                </c:pt>
                <c:pt idx="12">
                  <c:v>14</c:v>
                </c:pt>
                <c:pt idx="13">
                  <c:v>4</c:v>
                </c:pt>
                <c:pt idx="14">
                  <c:v>78</c:v>
                </c:pt>
                <c:pt idx="15">
                  <c:v>61</c:v>
                </c:pt>
                <c:pt idx="16">
                  <c:v>63</c:v>
                </c:pt>
                <c:pt idx="17">
                  <c:v>116</c:v>
                </c:pt>
                <c:pt idx="18">
                  <c:v>56</c:v>
                </c:pt>
                <c:pt idx="19">
                  <c:v>3</c:v>
                </c:pt>
              </c:numCache>
            </c:numRef>
          </c:val>
          <c:smooth val="0"/>
          <c:extLst>
            <c:ext xmlns:c16="http://schemas.microsoft.com/office/drawing/2014/chart" uri="{C3380CC4-5D6E-409C-BE32-E72D297353CC}">
              <c16:uniqueId val="{00000001-FD4C-4568-ADC0-5F57F9C5764E}"/>
            </c:ext>
          </c:extLst>
        </c:ser>
        <c:dLbls>
          <c:showLegendKey val="0"/>
          <c:showVal val="0"/>
          <c:showCatName val="0"/>
          <c:showSerName val="0"/>
          <c:showPercent val="0"/>
          <c:showBubbleSize val="0"/>
        </c:dLbls>
        <c:marker val="1"/>
        <c:smooth val="0"/>
        <c:axId val="1815010256"/>
        <c:axId val="1820006432"/>
      </c:lineChart>
      <c:catAx>
        <c:axId val="19452905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9984352"/>
        <c:crosses val="autoZero"/>
        <c:auto val="1"/>
        <c:lblAlgn val="ctr"/>
        <c:lblOffset val="100"/>
        <c:noMultiLvlLbl val="0"/>
      </c:catAx>
      <c:valAx>
        <c:axId val="18199843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CA"/>
                  <a:t>Revenue ($CAD)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5290544"/>
        <c:crosses val="autoZero"/>
        <c:crossBetween val="between"/>
      </c:valAx>
      <c:valAx>
        <c:axId val="1820006432"/>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CA"/>
                  <a:t>Number of Parking Sessions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5010256"/>
        <c:crosses val="max"/>
        <c:crossBetween val="between"/>
      </c:valAx>
      <c:catAx>
        <c:axId val="1815010256"/>
        <c:scaling>
          <c:orientation val="minMax"/>
        </c:scaling>
        <c:delete val="1"/>
        <c:axPos val="b"/>
        <c:numFmt formatCode="General" sourceLinked="1"/>
        <c:majorTickMark val="none"/>
        <c:minorTickMark val="none"/>
        <c:tickLblPos val="nextTo"/>
        <c:crossAx val="18200064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[skiresortrevenue_dashboard_and_clean_data.xlsx]New_Returning_Parkers!PivotTable1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New vs Returning Parkers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layout>
            <c:manualLayout>
              <c:x val="4.0899795501022499E-3"/>
              <c:y val="-0.19959097633402878"/>
            </c:manualLayout>
          </c:layout>
          <c:tx>
            <c:rich>
              <a:bodyPr/>
              <a:lstStyle/>
              <a:p>
                <a:r>
                  <a:rPr lang="en-US" sz="900" b="0" i="0" u="none" strike="noStrike" baseline="0"/>
                  <a:t>Jan. 17: Parking changed from daily paid parking to weekends &amp; holidays only.</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layout>
            <c:manualLayout>
              <c:x val="4.0899795501022499E-3"/>
              <c:y val="-0.19959097633402878"/>
            </c:manualLayout>
          </c:layout>
          <c:tx>
            <c:rich>
              <a:bodyPr/>
              <a:lstStyle/>
              <a:p>
                <a:r>
                  <a:rPr lang="en-US" sz="900" b="0" i="0" u="none" strike="noStrike" baseline="0"/>
                  <a:t>Jan. 17: Parking changed from daily paid parking to weekends &amp; holidays only.</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New_Returning_Parkers!$B$1:$B$2</c:f>
              <c:strCache>
                <c:ptCount val="1"/>
                <c:pt idx="0">
                  <c:v>2023/24 Season</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New_Returning_Parkers!$A$3:$A$5</c:f>
              <c:strCache>
                <c:ptCount val="2"/>
                <c:pt idx="0">
                  <c:v>New</c:v>
                </c:pt>
                <c:pt idx="1">
                  <c:v>Returning</c:v>
                </c:pt>
              </c:strCache>
            </c:strRef>
          </c:cat>
          <c:val>
            <c:numRef>
              <c:f>New_Returning_Parkers!$B$3:$B$5</c:f>
              <c:numCache>
                <c:formatCode>General</c:formatCode>
                <c:ptCount val="2"/>
                <c:pt idx="0">
                  <c:v>353</c:v>
                </c:pt>
                <c:pt idx="1">
                  <c:v>178</c:v>
                </c:pt>
              </c:numCache>
            </c:numRef>
          </c:val>
          <c:extLst>
            <c:ext xmlns:c16="http://schemas.microsoft.com/office/drawing/2014/chart" uri="{C3380CC4-5D6E-409C-BE32-E72D297353CC}">
              <c16:uniqueId val="{00000005-CBB0-4CE1-BD6D-1D91BE3AC706}"/>
            </c:ext>
          </c:extLst>
        </c:ser>
        <c:ser>
          <c:idx val="1"/>
          <c:order val="1"/>
          <c:tx>
            <c:strRef>
              <c:f>New_Returning_Parkers!$C$1:$C$2</c:f>
              <c:strCache>
                <c:ptCount val="1"/>
                <c:pt idx="0">
                  <c:v>2024/25 Season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New_Returning_Parkers!$A$3:$A$5</c:f>
              <c:strCache>
                <c:ptCount val="2"/>
                <c:pt idx="0">
                  <c:v>New</c:v>
                </c:pt>
                <c:pt idx="1">
                  <c:v>Returning</c:v>
                </c:pt>
              </c:strCache>
            </c:strRef>
          </c:cat>
          <c:val>
            <c:numRef>
              <c:f>New_Returning_Parkers!$C$3:$C$5</c:f>
              <c:numCache>
                <c:formatCode>General</c:formatCode>
                <c:ptCount val="2"/>
                <c:pt idx="0">
                  <c:v>69</c:v>
                </c:pt>
                <c:pt idx="1">
                  <c:v>64</c:v>
                </c:pt>
              </c:numCache>
            </c:numRef>
          </c:val>
          <c:extLst>
            <c:ext xmlns:c16="http://schemas.microsoft.com/office/drawing/2014/chart" uri="{C3380CC4-5D6E-409C-BE32-E72D297353CC}">
              <c16:uniqueId val="{00000000-71E0-48F2-8958-EAB6E2CF11BC}"/>
            </c:ext>
          </c:extLst>
        </c:ser>
        <c:ser>
          <c:idx val="2"/>
          <c:order val="2"/>
          <c:tx>
            <c:strRef>
              <c:f>New_Returning_Parkers!$D$1:$D$2</c:f>
              <c:strCache>
                <c:ptCount val="1"/>
                <c:pt idx="0">
                  <c:v>2025/26 Season</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New_Returning_Parkers!$A$3:$A$5</c:f>
              <c:strCache>
                <c:ptCount val="2"/>
                <c:pt idx="0">
                  <c:v>New</c:v>
                </c:pt>
                <c:pt idx="1">
                  <c:v>Returning</c:v>
                </c:pt>
              </c:strCache>
            </c:strRef>
          </c:cat>
          <c:val>
            <c:numRef>
              <c:f>New_Returning_Parkers!$D$3:$D$5</c:f>
              <c:numCache>
                <c:formatCode>General</c:formatCode>
                <c:ptCount val="2"/>
                <c:pt idx="0">
                  <c:v>242</c:v>
                </c:pt>
                <c:pt idx="1">
                  <c:v>139</c:v>
                </c:pt>
              </c:numCache>
            </c:numRef>
          </c:val>
          <c:extLst>
            <c:ext xmlns:c16="http://schemas.microsoft.com/office/drawing/2014/chart" uri="{C3380CC4-5D6E-409C-BE32-E72D297353CC}">
              <c16:uniqueId val="{00000001-71E0-48F2-8958-EAB6E2CF11BC}"/>
            </c:ext>
          </c:extLst>
        </c:ser>
        <c:dLbls>
          <c:dLblPos val="outEnd"/>
          <c:showLegendKey val="0"/>
          <c:showVal val="1"/>
          <c:showCatName val="0"/>
          <c:showSerName val="0"/>
          <c:showPercent val="0"/>
          <c:showBubbleSize val="0"/>
        </c:dLbls>
        <c:gapWidth val="100"/>
        <c:axId val="1945290544"/>
        <c:axId val="1819984352"/>
      </c:barChart>
      <c:catAx>
        <c:axId val="19452905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9984352"/>
        <c:crosses val="autoZero"/>
        <c:auto val="1"/>
        <c:lblAlgn val="ctr"/>
        <c:lblOffset val="100"/>
        <c:noMultiLvlLbl val="0"/>
      </c:catAx>
      <c:valAx>
        <c:axId val="1819984352"/>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529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[skiresortrevenue_dashboard_and_clean_data.xlsx]Revenue_and_Bookings!PivotTable1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Revenue and Parking Sessions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dLbl>
          <c:idx val="0"/>
          <c:layout>
            <c:manualLayout>
              <c:x val="4.0899795501022499E-3"/>
              <c:y val="-0.1995909763340287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r>
                  <a:rPr lang="en-US"/>
                  <a:t>Jan. 17: Parking changed from daily paid parking to weekends &amp; holidays only.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layout>
            <c:manualLayout>
              <c:x val="4.0899795501022499E-3"/>
              <c:y val="-0.1995909763340287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r>
                  <a:rPr lang="en-US"/>
                  <a:t>Jan. 17: Parking changed from daily paid parking to weekends &amp; holidays only.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5278744988164823"/>
              <c:y val="2.4800086978073589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r>
                  <a:rPr lang="en-US"/>
                  <a:t>Jan. 17: Parking changed from daily paid parking to weekends &amp; holidays only.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ln w="31750" cap="rnd">
            <a:solidFill>
              <a:schemeClr val="accent1"/>
            </a:solidFill>
            <a:round/>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Revenue_and_Bookings!$B$1</c:f>
              <c:strCache>
                <c:ptCount val="1"/>
                <c:pt idx="0">
                  <c:v>Revenue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invertIfNegative val="0"/>
          <c:dPt>
            <c:idx val="9"/>
            <c:invertIfNegative val="0"/>
            <c:bubble3D val="0"/>
            <c:spPr>
              <a:solidFill>
                <a:srgbClr val="C00000"/>
              </a:solidFill>
              <a:ln>
                <a:noFill/>
              </a:ln>
              <a:effectLst/>
            </c:spPr>
            <c:extLst>
              <c:ext xmlns:c16="http://schemas.microsoft.com/office/drawing/2014/chart" uri="{C3380CC4-5D6E-409C-BE32-E72D297353CC}">
                <c16:uniqueId val="{00000001-CC64-4015-A838-09E7F3125AF5}"/>
              </c:ext>
            </c:extLst>
          </c:dPt>
          <c:dLbls>
            <c:dLbl>
              <c:idx val="9"/>
              <c:layout>
                <c:manualLayout>
                  <c:x val="0.5278744988164823"/>
                  <c:y val="2.4800086978073589E-3"/>
                </c:manualLayout>
              </c:layout>
              <c:tx>
                <c:rich>
                  <a:bodyPr/>
                  <a:lstStyle/>
                  <a:p>
                    <a:r>
                      <a:rPr lang="en-US"/>
                      <a:t>Jan. 17: Parking changed from daily paid parking to weekends &amp; holidays only.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C64-4015-A838-09E7F3125A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Revenue_and_Bookings!$A$2:$A$31</c:f>
              <c:multiLvlStrCache>
                <c:ptCount val="20"/>
                <c:lvl>
                  <c:pt idx="0">
                    <c:v>Nov</c:v>
                  </c:pt>
                  <c:pt idx="1">
                    <c:v>Dec</c:v>
                  </c:pt>
                  <c:pt idx="2">
                    <c:v>Jan</c:v>
                  </c:pt>
                  <c:pt idx="3">
                    <c:v>Feb</c:v>
                  </c:pt>
                  <c:pt idx="4">
                    <c:v>Mar</c:v>
                  </c:pt>
                  <c:pt idx="5">
                    <c:v>Apr</c:v>
                  </c:pt>
                  <c:pt idx="6">
                    <c:v>May</c:v>
                  </c:pt>
                  <c:pt idx="7">
                    <c:v>Nov</c:v>
                  </c:pt>
                  <c:pt idx="8">
                    <c:v>Dec</c:v>
                  </c:pt>
                  <c:pt idx="9">
                    <c:v>Jan</c:v>
                  </c:pt>
                  <c:pt idx="10">
                    <c:v>Feb</c:v>
                  </c:pt>
                  <c:pt idx="11">
                    <c:v>Mar</c:v>
                  </c:pt>
                  <c:pt idx="12">
                    <c:v>Apr</c:v>
                  </c:pt>
                  <c:pt idx="13">
                    <c:v>Nov</c:v>
                  </c:pt>
                  <c:pt idx="14">
                    <c:v>Dec</c:v>
                  </c:pt>
                  <c:pt idx="15">
                    <c:v>Jan</c:v>
                  </c:pt>
                  <c:pt idx="16">
                    <c:v>Feb</c:v>
                  </c:pt>
                  <c:pt idx="17">
                    <c:v>Mar</c:v>
                  </c:pt>
                  <c:pt idx="18">
                    <c:v>Apr</c:v>
                  </c:pt>
                  <c:pt idx="19">
                    <c:v>May</c:v>
                  </c:pt>
                </c:lvl>
                <c:lvl>
                  <c:pt idx="0">
                    <c:v>2023</c:v>
                  </c:pt>
                  <c:pt idx="2">
                    <c:v>2024</c:v>
                  </c:pt>
                  <c:pt idx="7">
                    <c:v>2024</c:v>
                  </c:pt>
                  <c:pt idx="9">
                    <c:v>2025</c:v>
                  </c:pt>
                  <c:pt idx="13">
                    <c:v>2025</c:v>
                  </c:pt>
                  <c:pt idx="15">
                    <c:v>2026</c:v>
                  </c:pt>
                </c:lvl>
                <c:lvl>
                  <c:pt idx="0">
                    <c:v>2023/24 Season</c:v>
                  </c:pt>
                  <c:pt idx="7">
                    <c:v>2024/25 Season</c:v>
                  </c:pt>
                  <c:pt idx="13">
                    <c:v>2025/26 Season</c:v>
                  </c:pt>
                </c:lvl>
              </c:multiLvlStrCache>
            </c:multiLvlStrRef>
          </c:cat>
          <c:val>
            <c:numRef>
              <c:f>Revenue_and_Bookings!$B$2:$B$31</c:f>
              <c:numCache>
                <c:formatCode>"$"#,##0.00</c:formatCode>
                <c:ptCount val="20"/>
                <c:pt idx="0">
                  <c:v>19.989999999999998</c:v>
                </c:pt>
                <c:pt idx="1">
                  <c:v>2948.7699999999954</c:v>
                </c:pt>
                <c:pt idx="2">
                  <c:v>2388.9499999999985</c:v>
                </c:pt>
                <c:pt idx="3">
                  <c:v>3238.5999999999922</c:v>
                </c:pt>
                <c:pt idx="4">
                  <c:v>5927.3399999999738</c:v>
                </c:pt>
                <c:pt idx="5">
                  <c:v>679.70000000000016</c:v>
                </c:pt>
                <c:pt idx="6">
                  <c:v>39.979999999999997</c:v>
                </c:pt>
                <c:pt idx="7">
                  <c:v>44.98</c:v>
                </c:pt>
                <c:pt idx="8">
                  <c:v>1200.4600000000003</c:v>
                </c:pt>
                <c:pt idx="9">
                  <c:v>1154.5000000000002</c:v>
                </c:pt>
                <c:pt idx="10">
                  <c:v>449.82000000000011</c:v>
                </c:pt>
                <c:pt idx="11">
                  <c:v>449.82000000000005</c:v>
                </c:pt>
                <c:pt idx="12">
                  <c:v>449.82000000000005</c:v>
                </c:pt>
                <c:pt idx="13">
                  <c:v>174.93</c:v>
                </c:pt>
                <c:pt idx="14">
                  <c:v>2024.1900000000005</c:v>
                </c:pt>
                <c:pt idx="15">
                  <c:v>1524.3900000000003</c:v>
                </c:pt>
                <c:pt idx="16">
                  <c:v>1574.3700000000003</c:v>
                </c:pt>
                <c:pt idx="17">
                  <c:v>3073.7699999999913</c:v>
                </c:pt>
                <c:pt idx="18">
                  <c:v>1424.4300000000003</c:v>
                </c:pt>
                <c:pt idx="19">
                  <c:v>74.97</c:v>
                </c:pt>
              </c:numCache>
            </c:numRef>
          </c:val>
          <c:extLst>
            <c:ext xmlns:c16="http://schemas.microsoft.com/office/drawing/2014/chart" uri="{C3380CC4-5D6E-409C-BE32-E72D297353CC}">
              <c16:uniqueId val="{00000002-CC64-4015-A838-09E7F3125AF5}"/>
            </c:ext>
          </c:extLst>
        </c:ser>
        <c:dLbls>
          <c:showLegendKey val="0"/>
          <c:showVal val="0"/>
          <c:showCatName val="0"/>
          <c:showSerName val="0"/>
          <c:showPercent val="0"/>
          <c:showBubbleSize val="0"/>
        </c:dLbls>
        <c:gapWidth val="219"/>
        <c:overlap val="-27"/>
        <c:axId val="1945290544"/>
        <c:axId val="1819984352"/>
      </c:barChart>
      <c:lineChart>
        <c:grouping val="standard"/>
        <c:varyColors val="0"/>
        <c:ser>
          <c:idx val="1"/>
          <c:order val="1"/>
          <c:tx>
            <c:strRef>
              <c:f>Revenue_and_Bookings!$C$1</c:f>
              <c:strCache>
                <c:ptCount val="1"/>
                <c:pt idx="0">
                  <c:v>Parking Sessions</c:v>
                </c:pt>
              </c:strCache>
            </c:strRef>
          </c:tx>
          <c:spPr>
            <a:ln w="31750" cap="rnd">
              <a:solidFill>
                <a:schemeClr val="accent1">
                  <a:tint val="77000"/>
                </a:schemeClr>
              </a:solidFill>
              <a:round/>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cat>
            <c:multiLvlStrRef>
              <c:f>Revenue_and_Bookings!$A$2:$A$31</c:f>
              <c:multiLvlStrCache>
                <c:ptCount val="20"/>
                <c:lvl>
                  <c:pt idx="0">
                    <c:v>Nov</c:v>
                  </c:pt>
                  <c:pt idx="1">
                    <c:v>Dec</c:v>
                  </c:pt>
                  <c:pt idx="2">
                    <c:v>Jan</c:v>
                  </c:pt>
                  <c:pt idx="3">
                    <c:v>Feb</c:v>
                  </c:pt>
                  <c:pt idx="4">
                    <c:v>Mar</c:v>
                  </c:pt>
                  <c:pt idx="5">
                    <c:v>Apr</c:v>
                  </c:pt>
                  <c:pt idx="6">
                    <c:v>May</c:v>
                  </c:pt>
                  <c:pt idx="7">
                    <c:v>Nov</c:v>
                  </c:pt>
                  <c:pt idx="8">
                    <c:v>Dec</c:v>
                  </c:pt>
                  <c:pt idx="9">
                    <c:v>Jan</c:v>
                  </c:pt>
                  <c:pt idx="10">
                    <c:v>Feb</c:v>
                  </c:pt>
                  <c:pt idx="11">
                    <c:v>Mar</c:v>
                  </c:pt>
                  <c:pt idx="12">
                    <c:v>Apr</c:v>
                  </c:pt>
                  <c:pt idx="13">
                    <c:v>Nov</c:v>
                  </c:pt>
                  <c:pt idx="14">
                    <c:v>Dec</c:v>
                  </c:pt>
                  <c:pt idx="15">
                    <c:v>Jan</c:v>
                  </c:pt>
                  <c:pt idx="16">
                    <c:v>Feb</c:v>
                  </c:pt>
                  <c:pt idx="17">
                    <c:v>Mar</c:v>
                  </c:pt>
                  <c:pt idx="18">
                    <c:v>Apr</c:v>
                  </c:pt>
                  <c:pt idx="19">
                    <c:v>May</c:v>
                  </c:pt>
                </c:lvl>
                <c:lvl>
                  <c:pt idx="0">
                    <c:v>2023</c:v>
                  </c:pt>
                  <c:pt idx="2">
                    <c:v>2024</c:v>
                  </c:pt>
                  <c:pt idx="7">
                    <c:v>2024</c:v>
                  </c:pt>
                  <c:pt idx="9">
                    <c:v>2025</c:v>
                  </c:pt>
                  <c:pt idx="13">
                    <c:v>2025</c:v>
                  </c:pt>
                  <c:pt idx="15">
                    <c:v>2026</c:v>
                  </c:pt>
                </c:lvl>
                <c:lvl>
                  <c:pt idx="0">
                    <c:v>2023/24 Season</c:v>
                  </c:pt>
                  <c:pt idx="7">
                    <c:v>2024/25 Season</c:v>
                  </c:pt>
                  <c:pt idx="13">
                    <c:v>2025/26 Season</c:v>
                  </c:pt>
                </c:lvl>
              </c:multiLvlStrCache>
            </c:multiLvlStrRef>
          </c:cat>
          <c:val>
            <c:numRef>
              <c:f>Revenue_and_Bookings!$C$2:$C$31</c:f>
              <c:numCache>
                <c:formatCode>General</c:formatCode>
                <c:ptCount val="20"/>
                <c:pt idx="0">
                  <c:v>1</c:v>
                </c:pt>
                <c:pt idx="1">
                  <c:v>97</c:v>
                </c:pt>
                <c:pt idx="2">
                  <c:v>87</c:v>
                </c:pt>
                <c:pt idx="3">
                  <c:v>118</c:v>
                </c:pt>
                <c:pt idx="4">
                  <c:v>202</c:v>
                </c:pt>
                <c:pt idx="5">
                  <c:v>24</c:v>
                </c:pt>
                <c:pt idx="6">
                  <c:v>2</c:v>
                </c:pt>
                <c:pt idx="7">
                  <c:v>2</c:v>
                </c:pt>
                <c:pt idx="8">
                  <c:v>43</c:v>
                </c:pt>
                <c:pt idx="9">
                  <c:v>42</c:v>
                </c:pt>
                <c:pt idx="10">
                  <c:v>16</c:v>
                </c:pt>
                <c:pt idx="11">
                  <c:v>16</c:v>
                </c:pt>
                <c:pt idx="12">
                  <c:v>14</c:v>
                </c:pt>
                <c:pt idx="13">
                  <c:v>4</c:v>
                </c:pt>
                <c:pt idx="14">
                  <c:v>78</c:v>
                </c:pt>
                <c:pt idx="15">
                  <c:v>61</c:v>
                </c:pt>
                <c:pt idx="16">
                  <c:v>63</c:v>
                </c:pt>
                <c:pt idx="17">
                  <c:v>116</c:v>
                </c:pt>
                <c:pt idx="18">
                  <c:v>56</c:v>
                </c:pt>
                <c:pt idx="19">
                  <c:v>3</c:v>
                </c:pt>
              </c:numCache>
            </c:numRef>
          </c:val>
          <c:smooth val="0"/>
          <c:extLst>
            <c:ext xmlns:c16="http://schemas.microsoft.com/office/drawing/2014/chart" uri="{C3380CC4-5D6E-409C-BE32-E72D297353CC}">
              <c16:uniqueId val="{00000003-CC64-4015-A838-09E7F3125AF5}"/>
            </c:ext>
          </c:extLst>
        </c:ser>
        <c:dLbls>
          <c:showLegendKey val="0"/>
          <c:showVal val="0"/>
          <c:showCatName val="0"/>
          <c:showSerName val="0"/>
          <c:showPercent val="0"/>
          <c:showBubbleSize val="0"/>
        </c:dLbls>
        <c:marker val="1"/>
        <c:smooth val="0"/>
        <c:axId val="1815010256"/>
        <c:axId val="1820006432"/>
      </c:lineChart>
      <c:catAx>
        <c:axId val="19452905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9984352"/>
        <c:crosses val="autoZero"/>
        <c:auto val="1"/>
        <c:lblAlgn val="ctr"/>
        <c:lblOffset val="100"/>
        <c:noMultiLvlLbl val="0"/>
      </c:catAx>
      <c:valAx>
        <c:axId val="18199843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CA"/>
                  <a:t>Revenue ($CAD)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5290544"/>
        <c:crosses val="autoZero"/>
        <c:crossBetween val="between"/>
      </c:valAx>
      <c:valAx>
        <c:axId val="1820006432"/>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CA"/>
                  <a:t>Number of Parking Sessions</a:t>
                </a:r>
              </a:p>
            </c:rich>
          </c:tx>
          <c:layout>
            <c:manualLayout>
              <c:xMode val="edge"/>
              <c:yMode val="edge"/>
              <c:x val="0.7579542051108642"/>
              <c:y val="0.1025279806092484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5010256"/>
        <c:crosses val="max"/>
        <c:crossBetween val="between"/>
      </c:valAx>
      <c:catAx>
        <c:axId val="1815010256"/>
        <c:scaling>
          <c:orientation val="minMax"/>
        </c:scaling>
        <c:delete val="1"/>
        <c:axPos val="b"/>
        <c:numFmt formatCode="General" sourceLinked="1"/>
        <c:majorTickMark val="none"/>
        <c:minorTickMark val="none"/>
        <c:tickLblPos val="nextTo"/>
        <c:crossAx val="1820006432"/>
        <c:crosses val="autoZero"/>
        <c:auto val="1"/>
        <c:lblAlgn val="ctr"/>
        <c:lblOffset val="100"/>
        <c:noMultiLvlLbl val="0"/>
      </c:catAx>
      <c:spPr>
        <a:noFill/>
        <a:ln>
          <a:noFill/>
        </a:ln>
        <a:effectLst/>
      </c:spPr>
    </c:plotArea>
    <c:legend>
      <c:legendPos val="r"/>
      <c:layout>
        <c:manualLayout>
          <c:xMode val="edge"/>
          <c:yMode val="edge"/>
          <c:x val="0.80086839605172055"/>
          <c:y val="0.864473939813028"/>
          <c:w val="0.18481667552292161"/>
          <c:h val="0.110430206536855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[skiresortrevenue_dashboard_and_clean_data.xlsx]New_Returning_Parkers!PivotTable1</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New vs Returning Parkers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layout>
            <c:manualLayout>
              <c:x val="4.0899795501022499E-3"/>
              <c:y val="-0.19959097633402878"/>
            </c:manualLayout>
          </c:layout>
          <c:tx>
            <c:rich>
              <a:bodyPr/>
              <a:lstStyle/>
              <a:p>
                <a:r>
                  <a:rPr lang="en-US" sz="900" b="0" i="0" u="none" strike="noStrike" baseline="0"/>
                  <a:t>Jan. 17: Parking changed from daily paid parking to weekends &amp; holidays only.</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layout>
            <c:manualLayout>
              <c:x val="4.0899795501022499E-3"/>
              <c:y val="-0.19959097633402878"/>
            </c:manualLayout>
          </c:layout>
          <c:tx>
            <c:rich>
              <a:bodyPr/>
              <a:lstStyle/>
              <a:p>
                <a:r>
                  <a:rPr lang="en-US" sz="900" b="0" i="0" u="none" strike="noStrike" baseline="0"/>
                  <a:t>Jan. 17: Parking changed from daily paid parking to weekends &amp; holidays only.</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New_Returning_Parkers!$B$1:$B$2</c:f>
              <c:strCache>
                <c:ptCount val="1"/>
                <c:pt idx="0">
                  <c:v>2023/24 Season</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New_Returning_Parkers!$A$3:$A$5</c:f>
              <c:strCache>
                <c:ptCount val="2"/>
                <c:pt idx="0">
                  <c:v>New</c:v>
                </c:pt>
                <c:pt idx="1">
                  <c:v>Returning</c:v>
                </c:pt>
              </c:strCache>
            </c:strRef>
          </c:cat>
          <c:val>
            <c:numRef>
              <c:f>New_Returning_Parkers!$B$3:$B$5</c:f>
              <c:numCache>
                <c:formatCode>General</c:formatCode>
                <c:ptCount val="2"/>
                <c:pt idx="0">
                  <c:v>353</c:v>
                </c:pt>
                <c:pt idx="1">
                  <c:v>178</c:v>
                </c:pt>
              </c:numCache>
            </c:numRef>
          </c:val>
          <c:extLst>
            <c:ext xmlns:c16="http://schemas.microsoft.com/office/drawing/2014/chart" uri="{C3380CC4-5D6E-409C-BE32-E72D297353CC}">
              <c16:uniqueId val="{00000000-72DD-4AE3-9AA7-2D3F19907C0E}"/>
            </c:ext>
          </c:extLst>
        </c:ser>
        <c:ser>
          <c:idx val="1"/>
          <c:order val="1"/>
          <c:tx>
            <c:strRef>
              <c:f>New_Returning_Parkers!$C$1:$C$2</c:f>
              <c:strCache>
                <c:ptCount val="1"/>
                <c:pt idx="0">
                  <c:v>2024/25 Season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New_Returning_Parkers!$A$3:$A$5</c:f>
              <c:strCache>
                <c:ptCount val="2"/>
                <c:pt idx="0">
                  <c:v>New</c:v>
                </c:pt>
                <c:pt idx="1">
                  <c:v>Returning</c:v>
                </c:pt>
              </c:strCache>
            </c:strRef>
          </c:cat>
          <c:val>
            <c:numRef>
              <c:f>New_Returning_Parkers!$C$3:$C$5</c:f>
              <c:numCache>
                <c:formatCode>General</c:formatCode>
                <c:ptCount val="2"/>
                <c:pt idx="0">
                  <c:v>69</c:v>
                </c:pt>
                <c:pt idx="1">
                  <c:v>64</c:v>
                </c:pt>
              </c:numCache>
            </c:numRef>
          </c:val>
          <c:extLst>
            <c:ext xmlns:c16="http://schemas.microsoft.com/office/drawing/2014/chart" uri="{C3380CC4-5D6E-409C-BE32-E72D297353CC}">
              <c16:uniqueId val="{00000001-5F05-4D7A-AA7A-4B2DB380E711}"/>
            </c:ext>
          </c:extLst>
        </c:ser>
        <c:ser>
          <c:idx val="2"/>
          <c:order val="2"/>
          <c:tx>
            <c:strRef>
              <c:f>New_Returning_Parkers!$D$1:$D$2</c:f>
              <c:strCache>
                <c:ptCount val="1"/>
                <c:pt idx="0">
                  <c:v>2025/26 Season</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New_Returning_Parkers!$A$3:$A$5</c:f>
              <c:strCache>
                <c:ptCount val="2"/>
                <c:pt idx="0">
                  <c:v>New</c:v>
                </c:pt>
                <c:pt idx="1">
                  <c:v>Returning</c:v>
                </c:pt>
              </c:strCache>
            </c:strRef>
          </c:cat>
          <c:val>
            <c:numRef>
              <c:f>New_Returning_Parkers!$D$3:$D$5</c:f>
              <c:numCache>
                <c:formatCode>General</c:formatCode>
                <c:ptCount val="2"/>
                <c:pt idx="0">
                  <c:v>242</c:v>
                </c:pt>
                <c:pt idx="1">
                  <c:v>139</c:v>
                </c:pt>
              </c:numCache>
            </c:numRef>
          </c:val>
          <c:extLst>
            <c:ext xmlns:c16="http://schemas.microsoft.com/office/drawing/2014/chart" uri="{C3380CC4-5D6E-409C-BE32-E72D297353CC}">
              <c16:uniqueId val="{00000002-5F05-4D7A-AA7A-4B2DB380E711}"/>
            </c:ext>
          </c:extLst>
        </c:ser>
        <c:dLbls>
          <c:dLblPos val="outEnd"/>
          <c:showLegendKey val="0"/>
          <c:showVal val="1"/>
          <c:showCatName val="0"/>
          <c:showSerName val="0"/>
          <c:showPercent val="0"/>
          <c:showBubbleSize val="0"/>
        </c:dLbls>
        <c:gapWidth val="100"/>
        <c:axId val="1945290544"/>
        <c:axId val="1819984352"/>
      </c:barChart>
      <c:catAx>
        <c:axId val="19452905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9984352"/>
        <c:crosses val="autoZero"/>
        <c:auto val="1"/>
        <c:lblAlgn val="ctr"/>
        <c:lblOffset val="100"/>
        <c:noMultiLvlLbl val="0"/>
      </c:catAx>
      <c:valAx>
        <c:axId val="1819984352"/>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529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185737</xdr:rowOff>
    </xdr:from>
    <xdr:to>
      <xdr:col>15</xdr:col>
      <xdr:colOff>114300</xdr:colOff>
      <xdr:row>21</xdr:row>
      <xdr:rowOff>66675</xdr:rowOff>
    </xdr:to>
    <xdr:graphicFrame macro="">
      <xdr:nvGraphicFramePr>
        <xdr:cNvPr id="2" name="Chart 1">
          <a:extLst>
            <a:ext uri="{FF2B5EF4-FFF2-40B4-BE49-F238E27FC236}">
              <a16:creationId xmlns:a16="http://schemas.microsoft.com/office/drawing/2014/main" id="{CBE956BB-954F-A068-7048-217C01DF4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209550</xdr:colOff>
      <xdr:row>0</xdr:row>
      <xdr:rowOff>23812</xdr:rowOff>
    </xdr:from>
    <xdr:to>
      <xdr:col>17</xdr:col>
      <xdr:colOff>323850</xdr:colOff>
      <xdr:row>20</xdr:row>
      <xdr:rowOff>95250</xdr:rowOff>
    </xdr:to>
    <xdr:graphicFrame macro="">
      <xdr:nvGraphicFramePr>
        <xdr:cNvPr id="2" name="Chart 1">
          <a:extLst>
            <a:ext uri="{FF2B5EF4-FFF2-40B4-BE49-F238E27FC236}">
              <a16:creationId xmlns:a16="http://schemas.microsoft.com/office/drawing/2014/main" id="{0585D313-B3F6-4601-BEE5-A81BA51B2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419100</xdr:colOff>
      <xdr:row>3</xdr:row>
      <xdr:rowOff>66675</xdr:rowOff>
    </xdr:from>
    <xdr:to>
      <xdr:col>6</xdr:col>
      <xdr:colOff>333375</xdr:colOff>
      <xdr:row>9</xdr:row>
      <xdr:rowOff>57150</xdr:rowOff>
    </xdr:to>
    <xdr:grpSp>
      <xdr:nvGrpSpPr>
        <xdr:cNvPr id="28" name="Group 27">
          <a:extLst>
            <a:ext uri="{FF2B5EF4-FFF2-40B4-BE49-F238E27FC236}">
              <a16:creationId xmlns:a16="http://schemas.microsoft.com/office/drawing/2014/main" id="{D917D50B-63EC-04F0-B14A-C6DDAFAA26C4}"/>
            </a:ext>
          </a:extLst>
        </xdr:cNvPr>
        <xdr:cNvGrpSpPr/>
      </xdr:nvGrpSpPr>
      <xdr:grpSpPr>
        <a:xfrm>
          <a:off x="1638300" y="723900"/>
          <a:ext cx="2352675" cy="1133475"/>
          <a:chOff x="1638300" y="1209675"/>
          <a:chExt cx="2352675" cy="1133475"/>
        </a:xfrm>
      </xdr:grpSpPr>
      <xdr:sp macro="" textlink="">
        <xdr:nvSpPr>
          <xdr:cNvPr id="2" name="Rectangle: Rounded Corners 1">
            <a:extLst>
              <a:ext uri="{FF2B5EF4-FFF2-40B4-BE49-F238E27FC236}">
                <a16:creationId xmlns:a16="http://schemas.microsoft.com/office/drawing/2014/main" id="{67360311-FCEF-55CF-A944-171F7EC28485}"/>
              </a:ext>
            </a:extLst>
          </xdr:cNvPr>
          <xdr:cNvSpPr/>
        </xdr:nvSpPr>
        <xdr:spPr>
          <a:xfrm>
            <a:off x="1657350" y="1209675"/>
            <a:ext cx="2333625" cy="1133475"/>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3" name="TextBox 2">
            <a:extLst>
              <a:ext uri="{FF2B5EF4-FFF2-40B4-BE49-F238E27FC236}">
                <a16:creationId xmlns:a16="http://schemas.microsoft.com/office/drawing/2014/main" id="{0D16EE5B-B649-4DBF-BD33-5E82B2B0DF76}"/>
              </a:ext>
            </a:extLst>
          </xdr:cNvPr>
          <xdr:cNvSpPr txBox="1"/>
        </xdr:nvSpPr>
        <xdr:spPr>
          <a:xfrm>
            <a:off x="1638300" y="1352550"/>
            <a:ext cx="23526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t>Average Parking Duration</a:t>
            </a:r>
          </a:p>
        </xdr:txBody>
      </xdr:sp>
      <xdr:sp macro="" textlink="Cards!$A$2">
        <xdr:nvSpPr>
          <xdr:cNvPr id="4" name="TextBox 3">
            <a:extLst>
              <a:ext uri="{FF2B5EF4-FFF2-40B4-BE49-F238E27FC236}">
                <a16:creationId xmlns:a16="http://schemas.microsoft.com/office/drawing/2014/main" id="{99FBF248-62CC-7DE9-2E30-A0CFA7D2C981}"/>
              </a:ext>
            </a:extLst>
          </xdr:cNvPr>
          <xdr:cNvSpPr txBox="1"/>
        </xdr:nvSpPr>
        <xdr:spPr>
          <a:xfrm>
            <a:off x="1638300" y="1771650"/>
            <a:ext cx="23526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E91E9F-CF90-4A7F-AACA-1DC0DF73C1E9}" type="TxLink">
              <a:rPr lang="en-US" sz="1600" b="1" i="0" u="none" strike="noStrike">
                <a:solidFill>
                  <a:srgbClr val="000000"/>
                </a:solidFill>
                <a:latin typeface="Aptos Narrow"/>
              </a:rPr>
              <a:pPr algn="ctr"/>
              <a:t>1.17</a:t>
            </a:fld>
            <a:endParaRPr lang="en-CA" sz="2400" b="1"/>
          </a:p>
        </xdr:txBody>
      </xdr:sp>
      <xdr:sp macro="" textlink="">
        <xdr:nvSpPr>
          <xdr:cNvPr id="5" name="Oval 4">
            <a:extLst>
              <a:ext uri="{FF2B5EF4-FFF2-40B4-BE49-F238E27FC236}">
                <a16:creationId xmlns:a16="http://schemas.microsoft.com/office/drawing/2014/main" id="{7D5A685F-6AA3-4264-F7E8-09CCD928CAC1}"/>
              </a:ext>
            </a:extLst>
          </xdr:cNvPr>
          <xdr:cNvSpPr/>
        </xdr:nvSpPr>
        <xdr:spPr>
          <a:xfrm>
            <a:off x="1895475" y="1685925"/>
            <a:ext cx="504825" cy="504825"/>
          </a:xfrm>
          <a:prstGeom prst="ellipse">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pic>
        <xdr:nvPicPr>
          <xdr:cNvPr id="7" name="Graphic 6" descr="Stopwatch with solid fill">
            <a:extLst>
              <a:ext uri="{FF2B5EF4-FFF2-40B4-BE49-F238E27FC236}">
                <a16:creationId xmlns:a16="http://schemas.microsoft.com/office/drawing/2014/main" id="{1662D320-752E-DB22-0C3B-AC737EB69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24050" y="1695450"/>
            <a:ext cx="447675" cy="447675"/>
          </a:xfrm>
          <a:prstGeom prst="rect">
            <a:avLst/>
          </a:prstGeom>
        </xdr:spPr>
      </xdr:pic>
    </xdr:grpSp>
    <xdr:clientData/>
  </xdr:twoCellAnchor>
  <xdr:twoCellAnchor>
    <xdr:from>
      <xdr:col>11</xdr:col>
      <xdr:colOff>100012</xdr:colOff>
      <xdr:row>3</xdr:row>
      <xdr:rowOff>66675</xdr:rowOff>
    </xdr:from>
    <xdr:to>
      <xdr:col>15</xdr:col>
      <xdr:colOff>14287</xdr:colOff>
      <xdr:row>9</xdr:row>
      <xdr:rowOff>57150</xdr:rowOff>
    </xdr:to>
    <xdr:grpSp>
      <xdr:nvGrpSpPr>
        <xdr:cNvPr id="29" name="Group 28">
          <a:extLst>
            <a:ext uri="{FF2B5EF4-FFF2-40B4-BE49-F238E27FC236}">
              <a16:creationId xmlns:a16="http://schemas.microsoft.com/office/drawing/2014/main" id="{F76022CE-CD1F-C586-A529-4456E7E2AE65}"/>
            </a:ext>
          </a:extLst>
        </xdr:cNvPr>
        <xdr:cNvGrpSpPr/>
      </xdr:nvGrpSpPr>
      <xdr:grpSpPr>
        <a:xfrm>
          <a:off x="6805612" y="723900"/>
          <a:ext cx="2352675" cy="1133475"/>
          <a:chOff x="6886575" y="1209675"/>
          <a:chExt cx="2352675" cy="1133475"/>
        </a:xfrm>
      </xdr:grpSpPr>
      <xdr:sp macro="" textlink="">
        <xdr:nvSpPr>
          <xdr:cNvPr id="8" name="Rectangle: Rounded Corners 7">
            <a:extLst>
              <a:ext uri="{FF2B5EF4-FFF2-40B4-BE49-F238E27FC236}">
                <a16:creationId xmlns:a16="http://schemas.microsoft.com/office/drawing/2014/main" id="{3D6FA962-2903-11D6-2695-029982D3B799}"/>
              </a:ext>
            </a:extLst>
          </xdr:cNvPr>
          <xdr:cNvSpPr/>
        </xdr:nvSpPr>
        <xdr:spPr>
          <a:xfrm>
            <a:off x="6905625" y="1209675"/>
            <a:ext cx="2333625" cy="1133475"/>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9" name="TextBox 8">
            <a:extLst>
              <a:ext uri="{FF2B5EF4-FFF2-40B4-BE49-F238E27FC236}">
                <a16:creationId xmlns:a16="http://schemas.microsoft.com/office/drawing/2014/main" id="{E7E31B7F-5D02-6B97-87B8-DEC6EBA6D3AC}"/>
              </a:ext>
            </a:extLst>
          </xdr:cNvPr>
          <xdr:cNvSpPr txBox="1"/>
        </xdr:nvSpPr>
        <xdr:spPr>
          <a:xfrm>
            <a:off x="6886575" y="1352550"/>
            <a:ext cx="23526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t>Total Parking Sessions</a:t>
            </a:r>
          </a:p>
        </xdr:txBody>
      </xdr:sp>
      <xdr:sp macro="" textlink="Cards!$D$2">
        <xdr:nvSpPr>
          <xdr:cNvPr id="10" name="TextBox 9">
            <a:extLst>
              <a:ext uri="{FF2B5EF4-FFF2-40B4-BE49-F238E27FC236}">
                <a16:creationId xmlns:a16="http://schemas.microsoft.com/office/drawing/2014/main" id="{F6F32E61-40D0-2BE6-1DCA-41DCCF94F690}"/>
              </a:ext>
            </a:extLst>
          </xdr:cNvPr>
          <xdr:cNvSpPr txBox="1"/>
        </xdr:nvSpPr>
        <xdr:spPr>
          <a:xfrm>
            <a:off x="6886575" y="1771650"/>
            <a:ext cx="23526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256FF1-5395-463A-BE81-EA5EF23FD04B}" type="TxLink">
              <a:rPr lang="en-US" sz="1600" b="1" i="0" u="none" strike="noStrike">
                <a:solidFill>
                  <a:srgbClr val="000000"/>
                </a:solidFill>
                <a:latin typeface="Aptos Narrow"/>
              </a:rPr>
              <a:pPr algn="ctr"/>
              <a:t>1045</a:t>
            </a:fld>
            <a:endParaRPr lang="en-CA" sz="2400" b="1"/>
          </a:p>
        </xdr:txBody>
      </xdr:sp>
      <xdr:sp macro="" textlink="">
        <xdr:nvSpPr>
          <xdr:cNvPr id="11" name="Oval 10">
            <a:extLst>
              <a:ext uri="{FF2B5EF4-FFF2-40B4-BE49-F238E27FC236}">
                <a16:creationId xmlns:a16="http://schemas.microsoft.com/office/drawing/2014/main" id="{5E679F8B-901E-F10D-6720-961C1FF3B022}"/>
              </a:ext>
            </a:extLst>
          </xdr:cNvPr>
          <xdr:cNvSpPr/>
        </xdr:nvSpPr>
        <xdr:spPr>
          <a:xfrm>
            <a:off x="7143750" y="1685925"/>
            <a:ext cx="504825" cy="504825"/>
          </a:xfrm>
          <a:prstGeom prst="ellipse">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pic>
        <xdr:nvPicPr>
          <xdr:cNvPr id="21" name="Graphic 20" descr="Car with solid fill">
            <a:extLst>
              <a:ext uri="{FF2B5EF4-FFF2-40B4-BE49-F238E27FC236}">
                <a16:creationId xmlns:a16="http://schemas.microsoft.com/office/drawing/2014/main" id="{63CDACA2-ACF7-7DDA-D403-CAD398FEC6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81851" y="1724026"/>
            <a:ext cx="428624" cy="428624"/>
          </a:xfrm>
          <a:prstGeom prst="rect">
            <a:avLst/>
          </a:prstGeom>
        </xdr:spPr>
      </xdr:pic>
    </xdr:grpSp>
    <xdr:clientData/>
  </xdr:twoCellAnchor>
  <xdr:twoCellAnchor>
    <xdr:from>
      <xdr:col>19</xdr:col>
      <xdr:colOff>390525</xdr:colOff>
      <xdr:row>3</xdr:row>
      <xdr:rowOff>66675</xdr:rowOff>
    </xdr:from>
    <xdr:to>
      <xdr:col>23</xdr:col>
      <xdr:colOff>304800</xdr:colOff>
      <xdr:row>9</xdr:row>
      <xdr:rowOff>57150</xdr:rowOff>
    </xdr:to>
    <xdr:grpSp>
      <xdr:nvGrpSpPr>
        <xdr:cNvPr id="30" name="Group 29">
          <a:extLst>
            <a:ext uri="{FF2B5EF4-FFF2-40B4-BE49-F238E27FC236}">
              <a16:creationId xmlns:a16="http://schemas.microsoft.com/office/drawing/2014/main" id="{9E4D8A30-F772-54BB-79B0-B98F85ED15D6}"/>
            </a:ext>
          </a:extLst>
        </xdr:cNvPr>
        <xdr:cNvGrpSpPr/>
      </xdr:nvGrpSpPr>
      <xdr:grpSpPr>
        <a:xfrm>
          <a:off x="11972925" y="723900"/>
          <a:ext cx="2352675" cy="1133475"/>
          <a:chOff x="11972925" y="1209675"/>
          <a:chExt cx="2352675" cy="1133475"/>
        </a:xfrm>
      </xdr:grpSpPr>
      <xdr:sp macro="" textlink="">
        <xdr:nvSpPr>
          <xdr:cNvPr id="13" name="Rectangle: Rounded Corners 12">
            <a:extLst>
              <a:ext uri="{FF2B5EF4-FFF2-40B4-BE49-F238E27FC236}">
                <a16:creationId xmlns:a16="http://schemas.microsoft.com/office/drawing/2014/main" id="{49C4E05A-39A3-553D-4B66-5FD3851E619F}"/>
              </a:ext>
            </a:extLst>
          </xdr:cNvPr>
          <xdr:cNvSpPr/>
        </xdr:nvSpPr>
        <xdr:spPr>
          <a:xfrm>
            <a:off x="11991975" y="1209675"/>
            <a:ext cx="2333625" cy="1133475"/>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4" name="TextBox 13">
            <a:extLst>
              <a:ext uri="{FF2B5EF4-FFF2-40B4-BE49-F238E27FC236}">
                <a16:creationId xmlns:a16="http://schemas.microsoft.com/office/drawing/2014/main" id="{82E3504C-DE4D-8DE5-E10E-B49248E05868}"/>
              </a:ext>
            </a:extLst>
          </xdr:cNvPr>
          <xdr:cNvSpPr txBox="1"/>
        </xdr:nvSpPr>
        <xdr:spPr>
          <a:xfrm>
            <a:off x="11972925" y="1352550"/>
            <a:ext cx="23526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t>Average Revenue Per Parker</a:t>
            </a:r>
          </a:p>
        </xdr:txBody>
      </xdr:sp>
      <xdr:sp macro="" textlink="Cards!$H$2">
        <xdr:nvSpPr>
          <xdr:cNvPr id="15" name="TextBox 14">
            <a:extLst>
              <a:ext uri="{FF2B5EF4-FFF2-40B4-BE49-F238E27FC236}">
                <a16:creationId xmlns:a16="http://schemas.microsoft.com/office/drawing/2014/main" id="{74FBF1AE-3935-9CDC-9F8D-F9C9F3B47F94}"/>
              </a:ext>
            </a:extLst>
          </xdr:cNvPr>
          <xdr:cNvSpPr txBox="1"/>
        </xdr:nvSpPr>
        <xdr:spPr>
          <a:xfrm>
            <a:off x="11972925" y="1771650"/>
            <a:ext cx="23526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F2018-D1F7-429A-9F91-1C4EA847EAE3}" type="TxLink">
              <a:rPr lang="en-US" sz="1600" b="1" i="0" u="none" strike="noStrike">
                <a:solidFill>
                  <a:srgbClr val="000000"/>
                </a:solidFill>
                <a:latin typeface="Aptos Narrow"/>
              </a:rPr>
              <a:pPr algn="ctr"/>
              <a:t>$27.62</a:t>
            </a:fld>
            <a:endParaRPr lang="en-CA" sz="2400" b="1"/>
          </a:p>
        </xdr:txBody>
      </xdr:sp>
      <xdr:sp macro="" textlink="">
        <xdr:nvSpPr>
          <xdr:cNvPr id="16" name="Oval 15">
            <a:extLst>
              <a:ext uri="{FF2B5EF4-FFF2-40B4-BE49-F238E27FC236}">
                <a16:creationId xmlns:a16="http://schemas.microsoft.com/office/drawing/2014/main" id="{EE9A1FCB-3F44-C19D-2EAD-353A8E919201}"/>
              </a:ext>
            </a:extLst>
          </xdr:cNvPr>
          <xdr:cNvSpPr/>
        </xdr:nvSpPr>
        <xdr:spPr>
          <a:xfrm>
            <a:off x="12230100" y="1685925"/>
            <a:ext cx="504825" cy="504825"/>
          </a:xfrm>
          <a:prstGeom prst="ellipse">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pic>
        <xdr:nvPicPr>
          <xdr:cNvPr id="25" name="Graphic 24" descr="Downhill skiing with solid fill">
            <a:extLst>
              <a:ext uri="{FF2B5EF4-FFF2-40B4-BE49-F238E27FC236}">
                <a16:creationId xmlns:a16="http://schemas.microsoft.com/office/drawing/2014/main" id="{624048FD-2AA6-6757-C71F-39394AA22C9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220575" y="1685925"/>
            <a:ext cx="485775" cy="485775"/>
          </a:xfrm>
          <a:prstGeom prst="rect">
            <a:avLst/>
          </a:prstGeom>
        </xdr:spPr>
      </xdr:pic>
    </xdr:grpSp>
    <xdr:clientData/>
  </xdr:twoCellAnchor>
  <xdr:twoCellAnchor>
    <xdr:from>
      <xdr:col>2</xdr:col>
      <xdr:colOff>419100</xdr:colOff>
      <xdr:row>10</xdr:row>
      <xdr:rowOff>161925</xdr:rowOff>
    </xdr:from>
    <xdr:to>
      <xdr:col>12</xdr:col>
      <xdr:colOff>533400</xdr:colOff>
      <xdr:row>31</xdr:row>
      <xdr:rowOff>42863</xdr:rowOff>
    </xdr:to>
    <xdr:graphicFrame macro="">
      <xdr:nvGraphicFramePr>
        <xdr:cNvPr id="26" name="Chart 25">
          <a:extLst>
            <a:ext uri="{FF2B5EF4-FFF2-40B4-BE49-F238E27FC236}">
              <a16:creationId xmlns:a16="http://schemas.microsoft.com/office/drawing/2014/main" id="{DB705141-9856-49F8-B977-7CBECC26C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11</xdr:row>
      <xdr:rowOff>0</xdr:rowOff>
    </xdr:from>
    <xdr:to>
      <xdr:col>23</xdr:col>
      <xdr:colOff>314325</xdr:colOff>
      <xdr:row>31</xdr:row>
      <xdr:rowOff>71438</xdr:rowOff>
    </xdr:to>
    <xdr:graphicFrame macro="">
      <xdr:nvGraphicFramePr>
        <xdr:cNvPr id="27" name="Chart 26">
          <a:extLst>
            <a:ext uri="{FF2B5EF4-FFF2-40B4-BE49-F238E27FC236}">
              <a16:creationId xmlns:a16="http://schemas.microsoft.com/office/drawing/2014/main" id="{68E4F75F-D52B-4704-B5D3-D91867347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28575</xdr:colOff>
      <xdr:row>11</xdr:row>
      <xdr:rowOff>95250</xdr:rowOff>
    </xdr:from>
    <xdr:to>
      <xdr:col>2</xdr:col>
      <xdr:colOff>390525</xdr:colOff>
      <xdr:row>18</xdr:row>
      <xdr:rowOff>66675</xdr:rowOff>
    </xdr:to>
    <mc:AlternateContent xmlns:mc="http://schemas.openxmlformats.org/markup-compatibility/2006" xmlns:a14="http://schemas.microsoft.com/office/drawing/2010/main">
      <mc:Choice Requires="a14">
        <xdr:graphicFrame macro="">
          <xdr:nvGraphicFramePr>
            <xdr:cNvPr id="31" name="Ski Season">
              <a:extLst>
                <a:ext uri="{FF2B5EF4-FFF2-40B4-BE49-F238E27FC236}">
                  <a16:creationId xmlns:a16="http://schemas.microsoft.com/office/drawing/2014/main" id="{9B45E77E-3939-EE88-67AC-9A39A1F713F7}"/>
                </a:ext>
              </a:extLst>
            </xdr:cNvPr>
            <xdr:cNvGraphicFramePr/>
          </xdr:nvGraphicFramePr>
          <xdr:xfrm>
            <a:off x="0" y="0"/>
            <a:ext cx="0" cy="0"/>
          </xdr:xfrm>
          <a:graphic>
            <a:graphicData uri="http://schemas.microsoft.com/office/drawing/2010/slicer">
              <sle:slicer xmlns:sle="http://schemas.microsoft.com/office/drawing/2010/slicer" name="Ski Season"/>
            </a:graphicData>
          </a:graphic>
        </xdr:graphicFrame>
      </mc:Choice>
      <mc:Fallback xmlns="">
        <xdr:sp macro="" textlink="">
          <xdr:nvSpPr>
            <xdr:cNvPr id="0" name=""/>
            <xdr:cNvSpPr>
              <a:spLocks noTextEdit="1"/>
            </xdr:cNvSpPr>
          </xdr:nvSpPr>
          <xdr:spPr>
            <a:xfrm>
              <a:off x="28575" y="2276475"/>
              <a:ext cx="1581150" cy="13049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lomon" refreshedDate="46216.737504282406" createdVersion="8" refreshedVersion="8" minRefreshableVersion="3" recordCount="1045" xr:uid="{D82D15F7-75F9-4351-BE34-DE6EF6C0E2F4}">
  <cacheSource type="worksheet">
    <worksheetSource name="skiresort_parkingrevenue_clean"/>
  </cacheSource>
  <cacheFields count="13">
    <cacheField name="Booking ID" numFmtId="0">
      <sharedItems/>
    </cacheField>
    <cacheField name="Ski Season" numFmtId="0">
      <sharedItems count="3">
        <s v="2023/24 Season"/>
        <s v="2024/25 Season"/>
        <s v="2025/26 Season"/>
      </sharedItems>
    </cacheField>
    <cacheField name="Session Start Date" numFmtId="164">
      <sharedItems containsSemiMixedTypes="0" containsNonDate="0" containsDate="1" containsString="0" minDate="2023-11-27T14:39:03" maxDate="2026-05-02T00:55:25" count="623">
        <d v="2023-11-27T14:39:03"/>
        <d v="2023-12-02T07:00:00"/>
        <d v="2023-12-06T11:15:05"/>
        <d v="2023-12-09T07:00:00"/>
        <d v="2023-12-12T14:14:20"/>
        <d v="2023-12-15T07:00:00"/>
        <d v="2023-12-16T07:00:00"/>
        <d v="2023-12-17T07:00:00"/>
        <d v="2023-12-17T09:45:09"/>
        <d v="2023-12-18T07:00:00"/>
        <d v="2023-12-19T07:00:00"/>
        <d v="2023-12-20T07:00:00"/>
        <d v="2023-12-21T07:00:00"/>
        <d v="2023-12-22T07:00:00"/>
        <d v="2023-12-23T07:00:00"/>
        <d v="2023-12-23T07:11:59"/>
        <d v="2023-12-23T10:41:32"/>
        <d v="2023-12-24T07:00:00"/>
        <d v="2023-12-25T07:00:00"/>
        <d v="2023-12-25T09:58:33"/>
        <d v="2023-12-26T07:00:00"/>
        <d v="2023-12-27T07:00:00"/>
        <d v="2023-12-27T08:00:53"/>
        <d v="2023-12-28T07:00:00"/>
        <d v="2023-12-28T08:16:55"/>
        <d v="2023-12-28T08:22:30"/>
        <d v="2023-12-28T08:25:44"/>
        <d v="2023-12-28T08:43:17"/>
        <d v="2023-12-28T11:57:06"/>
        <d v="2023-12-28T11:57:38"/>
        <d v="2023-12-28T11:58:16"/>
        <d v="2023-12-28T12:00:36"/>
        <d v="2023-12-29T07:00:00"/>
        <d v="2023-12-29T07:45:14"/>
        <d v="2023-12-29T07:46:47"/>
        <d v="2023-12-29T08:22:53"/>
        <d v="2023-12-30T07:00:00"/>
        <d v="2023-12-31T07:00:00"/>
        <d v="2023-12-31T09:24:16"/>
        <d v="2024-01-01T07:00:00"/>
        <d v="2024-01-01T10:39:56"/>
        <d v="2024-01-02T07:00:00"/>
        <d v="2024-01-03T07:00:00"/>
        <d v="2024-01-03T07:24:42"/>
        <d v="2024-01-03T08:42:22"/>
        <d v="2024-01-04T07:00:00"/>
        <d v="2024-01-05T07:00:00"/>
        <d v="2024-01-06T07:00:00"/>
        <d v="2024-01-07T07:00:00"/>
        <d v="2024-01-09T07:00:00"/>
        <d v="2024-01-18T09:12:29"/>
        <d v="2024-01-19T07:00:00"/>
        <d v="2024-01-20T07:00:00"/>
        <d v="2024-01-21T07:00:00"/>
        <d v="2024-01-25T07:00:00"/>
        <d v="2024-01-27T07:00:00"/>
        <d v="2024-01-27T13:32:38"/>
        <d v="2024-01-28T07:00:00"/>
        <d v="2024-01-28T07:33:39"/>
        <d v="2024-01-29T07:00:00"/>
        <d v="2024-01-30T07:00:00"/>
        <d v="2024-01-31T07:00:00"/>
        <d v="2024-02-02T07:00:00"/>
        <d v="2024-02-03T07:00:00"/>
        <d v="2024-02-03T08:36:06"/>
        <d v="2024-02-03T08:36:41"/>
        <d v="2024-02-04T07:00:00"/>
        <d v="2024-02-08T07:00:00"/>
        <d v="2024-02-08T11:29:30"/>
        <d v="2024-02-09T07:00:00"/>
        <d v="2024-02-10T07:00:00"/>
        <d v="2024-02-10T09:31:06"/>
        <d v="2024-02-11T07:00:00"/>
        <d v="2024-02-16T07:00:00"/>
        <d v="2024-02-17T07:00:00"/>
        <d v="2024-02-17T10:20:14"/>
        <d v="2024-02-18T07:00:00"/>
        <d v="2024-02-18T12:41:57"/>
        <d v="2024-02-19T07:00:00"/>
        <d v="2024-02-19T09:24:47"/>
        <d v="2024-02-19T11:05:19"/>
        <d v="2024-02-20T07:00:00"/>
        <d v="2024-02-21T07:00:00"/>
        <d v="2024-02-21T08:32:45"/>
        <d v="2024-02-22T07:00:00"/>
        <d v="2024-02-22T08:26:05"/>
        <d v="2024-02-23T07:00:00"/>
        <d v="2024-02-24T07:00:00"/>
        <d v="2024-02-24T09:47:38"/>
        <d v="2024-02-24T13:07:11"/>
        <d v="2024-02-25T07:00:00"/>
        <d v="2024-02-28T07:00:00"/>
        <d v="2024-02-28T11:37:16"/>
        <d v="2024-02-29T07:00:00"/>
        <d v="2024-02-29T08:54:30"/>
        <d v="2024-03-01T07:00:00"/>
        <d v="2024-03-01T08:52:03"/>
        <d v="2024-03-01T08:58:23"/>
        <d v="2024-03-01T10:29:45"/>
        <d v="2024-03-01T10:41:19"/>
        <d v="2024-03-02T00:00:00"/>
        <d v="2024-03-02T07:00:00"/>
        <d v="2024-03-02T08:39:13"/>
        <d v="2024-03-02T08:50:43"/>
        <d v="2024-03-02T10:14:33"/>
        <d v="2024-03-02T10:36:05"/>
        <d v="2024-03-03T07:00:00"/>
        <d v="2024-03-03T08:24:04"/>
        <d v="2024-03-03T08:32:01"/>
        <d v="2024-03-05T07:00:00"/>
        <d v="2024-03-05T10:50:52"/>
        <d v="2024-03-06T07:00:00"/>
        <d v="2024-03-07T07:00:00"/>
        <d v="2024-03-08T07:00:00"/>
        <d v="2024-03-09T07:00:00"/>
        <d v="2024-03-09T08:48:58"/>
        <d v="2024-03-09T08:52:10"/>
        <d v="2024-03-09T10:52:50"/>
        <d v="2024-03-10T07:00:00"/>
        <d v="2024-03-10T09:18:00"/>
        <d v="2024-03-11T08:13:56"/>
        <d v="2024-03-11T08:52:55"/>
        <d v="2024-03-12T07:00:00"/>
        <d v="2024-03-14T07:00:00"/>
        <d v="2024-03-15T07:00:00"/>
        <d v="2024-03-16T07:00:00"/>
        <d v="2024-03-16T08:20:28"/>
        <d v="2024-03-16T13:00:59"/>
        <d v="2024-03-17T07:00:00"/>
        <d v="2024-03-18T07:00:00"/>
        <d v="2024-03-18T08:52:53"/>
        <d v="2024-03-19T07:00:00"/>
        <d v="2024-03-20T07:00:00"/>
        <d v="2024-03-21T07:00:00"/>
        <d v="2024-03-21T09:52:12"/>
        <d v="2024-03-21T09:52:47"/>
        <d v="2024-03-22T07:00:00"/>
        <d v="2024-03-22T07:50:14"/>
        <d v="2024-03-22T08:31:14"/>
        <d v="2024-03-23T07:00:00"/>
        <d v="2024-03-24T07:00:00"/>
        <d v="2024-03-24T08:05:20"/>
        <d v="2024-03-25T07:00:00"/>
        <d v="2024-03-26T07:00:00"/>
        <d v="2024-03-26T07:58:28"/>
        <d v="2024-03-26T08:50:59"/>
        <d v="2024-03-27T07:00:00"/>
        <d v="2024-03-27T08:52:00"/>
        <d v="2024-03-27T09:13:49"/>
        <d v="2024-03-28T07:00:00"/>
        <d v="2024-03-28T08:56:51"/>
        <d v="2024-03-29T07:00:00"/>
        <d v="2024-03-29T07:43:06"/>
        <d v="2024-03-29T07:44:15"/>
        <d v="2024-03-29T07:45:59"/>
        <d v="2024-03-29T07:46:07"/>
        <d v="2024-03-29T08:21:00"/>
        <d v="2024-03-30T07:00:00"/>
        <d v="2024-03-30T09:13:14"/>
        <d v="2024-03-31T07:00:00"/>
        <d v="2024-04-01T07:00:00"/>
        <d v="2024-04-02T07:00:00"/>
        <d v="2024-04-04T07:00:00"/>
        <d v="2024-04-06T07:00:00"/>
        <d v="2024-04-06T10:42:59"/>
        <d v="2024-04-07T07:00:00"/>
        <d v="2024-04-11T08:00:20"/>
        <d v="2024-04-13T07:00:00"/>
        <d v="2024-04-17T07:00:00"/>
        <d v="2024-04-19T07:00:00"/>
        <d v="2024-04-20T07:00:00"/>
        <d v="2024-04-20T11:25:31"/>
        <d v="2024-04-21T07:00:00"/>
        <d v="2024-04-23T07:00:00"/>
        <d v="2024-04-29T07:00:00"/>
        <d v="2024-05-01T07:00:00"/>
        <d v="2024-05-03T07:00:00"/>
        <d v="2024-11-27T07:00:00"/>
        <d v="2024-11-30T07:00:00"/>
        <d v="2024-12-05T09:23:43"/>
        <d v="2024-12-14T07:00:00"/>
        <d v="2024-12-18T07:00:00"/>
        <d v="2024-12-21T07:00:00"/>
        <d v="2024-12-22T07:00:00"/>
        <d v="2024-12-23T07:00:00"/>
        <d v="2024-12-27T07:00:00"/>
        <d v="2024-12-27T08:08:00"/>
        <d v="2024-12-27T08:26:19"/>
        <d v="2024-12-28T00:00:00"/>
        <d v="2024-12-28T07:00:00"/>
        <d v="2024-12-28T09:26:57"/>
        <d v="2024-12-29T07:00:00"/>
        <d v="2024-12-29T08:18:32"/>
        <d v="2024-12-30T07:00:00"/>
        <d v="2024-12-31T07:00:00"/>
        <d v="2024-12-31T07:38:54"/>
        <d v="2025-01-01T07:00:00"/>
        <d v="2025-01-02T07:00:00"/>
        <d v="2025-01-03T07:00:00"/>
        <d v="2025-01-04T07:00:00"/>
        <d v="2025-01-04T09:47:59"/>
        <d v="2025-01-08T07:00:00"/>
        <d v="2025-01-11T07:00:00"/>
        <d v="2025-01-12T07:00:00"/>
        <d v="2025-01-15T07:00:00"/>
        <d v="2025-01-16T07:00:00"/>
        <d v="2025-01-16T12:14:46"/>
        <d v="2025-01-18T07:00:00"/>
        <d v="2025-01-19T07:00:00"/>
        <d v="2025-01-25T07:00:00"/>
        <d v="2025-01-25T10:37:19"/>
        <d v="2025-01-25T12:13:49"/>
        <d v="2025-01-26T07:00:00"/>
        <d v="2025-01-26T08:01:38"/>
        <d v="2025-01-26T09:08:39"/>
        <d v="2025-01-26T10:05:27"/>
        <d v="2025-01-26T10:08:28"/>
        <d v="2025-01-31T07:00:00"/>
        <d v="2025-02-01T07:00:00"/>
        <d v="2025-02-07T07:00:00"/>
        <d v="2025-02-15T07:00:00"/>
        <d v="2025-02-16T07:00:00"/>
        <d v="2025-02-17T07:00:00"/>
        <d v="2025-02-22T07:00:00"/>
        <d v="2025-02-23T07:00:00"/>
        <d v="2025-02-28T07:00:00"/>
        <d v="2025-03-07T07:00:00"/>
        <d v="2025-03-08T07:00:00"/>
        <d v="2025-03-09T07:00:00"/>
        <d v="2025-03-15T07:00:00"/>
        <d v="2025-03-16T07:00:00"/>
        <d v="2025-03-16T10:20:59"/>
        <d v="2025-03-22T07:00:00"/>
        <d v="2025-03-23T07:00:00"/>
        <d v="2025-03-30T07:00:00"/>
        <d v="2025-04-04T07:00:00"/>
        <d v="2025-04-06T07:00:00"/>
        <d v="2025-04-11T07:00:00"/>
        <d v="2025-04-12T07:00:00"/>
        <d v="2025-04-18T07:00:00"/>
        <d v="2025-04-19T07:00:00"/>
        <d v="2025-04-20T07:00:00"/>
        <d v="2025-11-23T23:37:21"/>
        <d v="2025-11-24T19:23:42"/>
        <d v="2025-11-29T13:32:01"/>
        <d v="2025-11-30T13:47:55"/>
        <d v="2025-12-06T08:14:20"/>
        <d v="2025-12-06T09:05:27"/>
        <d v="2025-12-06T10:02:32"/>
        <d v="2025-12-09T05:48:24"/>
        <d v="2025-12-09T05:55:46"/>
        <d v="2025-12-10T09:24:15"/>
        <d v="2025-12-10T10:18:23"/>
        <d v="2025-12-12T15:06:02"/>
        <d v="2025-12-12T19:44:40"/>
        <d v="2025-12-12T20:37:28"/>
        <d v="2025-12-13T12:40:51"/>
        <d v="2025-12-13T21:21:20"/>
        <d v="2025-12-15T07:34:58"/>
        <d v="2025-12-17T12:28:23"/>
        <d v="2025-12-18T09:26:20"/>
        <d v="2025-12-20T16:55:17"/>
        <d v="2025-12-20T17:41:05"/>
        <d v="2025-12-20T19:46:21"/>
        <d v="2025-12-20T19:56:32"/>
        <d v="2025-12-20T22:41:14"/>
        <d v="2025-12-21T08:02:32"/>
        <d v="2025-12-21T09:01:54"/>
        <d v="2025-12-21T18:02:34"/>
        <d v="2025-12-21T21:47:23"/>
        <d v="2025-12-22T10:10:27"/>
        <d v="2025-12-22T22:46:47"/>
        <d v="2025-12-23T16:20:17"/>
        <d v="2025-12-24T22:48:25"/>
        <d v="2025-12-26T09:28:42"/>
        <d v="2025-12-26T18:05:19"/>
        <d v="2025-12-26T21:03:28"/>
        <d v="2025-12-26T22:18:21"/>
        <d v="2025-12-27T06:36:39"/>
        <d v="2025-12-27T07:00:22"/>
        <d v="2025-12-27T08:00:57"/>
        <d v="2025-12-27T08:02:15"/>
        <d v="2025-12-27T09:02:31"/>
        <d v="2025-12-27T10:05:01"/>
        <d v="2025-12-27T10:09:57"/>
        <d v="2025-12-27T12:26:59"/>
        <d v="2025-12-27T17:50:10"/>
        <d v="2025-12-27T17:52:15"/>
        <d v="2025-12-28T07:04:39"/>
        <d v="2025-12-28T08:43:22"/>
        <d v="2025-12-28T09:50:23"/>
        <d v="2025-12-28T15:01:20"/>
        <d v="2025-12-28T17:44:36"/>
        <d v="2025-12-28T21:28:23"/>
        <d v="2025-12-29T06:41:28"/>
        <d v="2025-12-29T09:09:09"/>
        <d v="2025-12-29T09:11:46"/>
        <d v="2025-12-29T09:14:03"/>
        <d v="2025-12-29T09:55:44"/>
        <d v="2025-12-29T10:02:03"/>
        <d v="2025-12-29T11:11:34"/>
        <d v="2025-12-29T11:23:03"/>
        <d v="2025-12-29T11:35:55"/>
        <d v="2025-12-29T18:34:11"/>
        <d v="2025-12-29T20:16:16"/>
        <d v="2025-12-29T22:41:12"/>
        <d v="2025-12-30T07:40:12"/>
        <d v="2025-12-30T09:39:28"/>
        <d v="2025-12-30T17:40:31"/>
        <d v="2025-12-30T18:24:58"/>
        <d v="2025-12-30T18:36:13"/>
        <d v="2025-12-30T19:18:28"/>
        <d v="2025-12-30T19:27:08"/>
        <d v="2025-12-30T21:43:53"/>
        <d v="2025-12-30T22:04:25"/>
        <d v="2025-12-30T22:22:45"/>
        <d v="2025-12-30T23:22:27"/>
        <d v="2025-12-31T00:03:14"/>
        <d v="2025-12-31T00:04:16"/>
        <d v="2025-12-31T00:05:25"/>
        <d v="2025-12-31T07:45:53"/>
        <d v="2025-12-31T09:37:50"/>
        <d v="2025-12-31T11:19:42"/>
        <d v="2025-12-31T15:50:44"/>
        <d v="2026-01-01T10:16:32"/>
        <d v="2026-01-01T10:40:57"/>
        <d v="2026-01-01T12:38:08"/>
        <d v="2026-01-01T20:45:30"/>
        <d v="2026-01-01T21:02:27"/>
        <d v="2026-01-01T21:09:42"/>
        <d v="2026-01-01T21:10:51"/>
        <d v="2026-01-01T21:41:21"/>
        <d v="2026-01-01T21:46:05"/>
        <d v="2026-01-02T07:17:54"/>
        <d v="2026-01-02T10:21:55"/>
        <d v="2026-01-02T13:39:35"/>
        <d v="2026-01-02T21:38:56"/>
        <d v="2026-01-02T22:01:00"/>
        <d v="2026-01-02T23:43:40"/>
        <d v="2026-01-03T05:00:51"/>
        <d v="2026-01-03T10:28:44"/>
        <d v="2026-01-04T11:50:52"/>
        <d v="2026-01-04T14:36:06"/>
        <d v="2026-01-05T10:35:17"/>
        <d v="2026-01-05T10:36:15"/>
        <d v="2026-01-06T12:56:49"/>
        <d v="2026-01-07T11:22:44"/>
        <d v="2026-01-09T12:08:16"/>
        <d v="2026-01-09T21:04:23"/>
        <d v="2026-01-09T21:31:19"/>
        <d v="2026-01-10T12:45:36"/>
        <d v="2026-01-10T22:55:55"/>
        <d v="2026-01-11T10:34:28"/>
        <d v="2026-01-12T13:05:29"/>
        <d v="2026-01-12T13:08:08"/>
        <d v="2026-01-12T19:24:52"/>
        <d v="2026-01-14T21:23:36"/>
        <d v="2026-01-16T17:59:41"/>
        <d v="2026-01-17T21:29:01"/>
        <d v="2026-01-22T21:32:23"/>
        <d v="2026-01-23T00:34:42"/>
        <d v="2026-01-23T04:27:44"/>
        <d v="2026-01-23T15:53:01"/>
        <d v="2026-01-23T21:25:53"/>
        <d v="2026-01-24T07:45:09"/>
        <d v="2026-01-24T09:24:57"/>
        <d v="2026-01-24T15:53:36"/>
        <d v="2026-01-24T19:58:43"/>
        <d v="2026-01-24T23:43:18"/>
        <d v="2026-01-25T08:49:54"/>
        <d v="2026-01-25T09:48:26"/>
        <d v="2026-01-25T09:58:21"/>
        <d v="2026-01-25T12:30:19"/>
        <d v="2026-01-27T08:02:06"/>
        <d v="2026-01-27T08:07:42"/>
        <d v="2026-01-27T08:08:14"/>
        <d v="2026-01-30T15:44:20"/>
        <d v="2026-01-30T16:24:06"/>
        <d v="2026-01-30T16:28:44"/>
        <d v="2026-01-30T18:49:40"/>
        <d v="2026-01-31T08:33:19"/>
        <d v="2026-01-31T09:30:06"/>
        <d v="2026-01-31T16:19:34"/>
        <d v="2026-01-31T17:12:14"/>
        <d v="2026-01-31T17:16:55"/>
        <d v="2026-02-01T09:21:53"/>
        <d v="2026-02-01T19:53:47"/>
        <d v="2026-02-01T20:48:30"/>
        <d v="2026-02-02T16:54:30"/>
        <d v="2026-02-05T17:32:19"/>
        <d v="2026-02-05T17:36:04"/>
        <d v="2026-02-05T18:01:16"/>
        <d v="2026-02-05T18:08:40"/>
        <d v="2026-02-05T18:59:37"/>
        <d v="2026-02-05T21:44:18"/>
        <d v="2026-02-05T21:51:43"/>
        <d v="2026-02-06T06:36:58"/>
        <d v="2026-02-06T08:47:32"/>
        <d v="2026-02-06T08:48:06"/>
        <d v="2026-02-06T09:08:26"/>
        <d v="2026-02-06T09:32:23"/>
        <d v="2026-02-06T18:11:26"/>
        <d v="2026-02-06T20:14:45"/>
        <d v="2026-02-07T07:38:38"/>
        <d v="2026-02-07T08:36:42"/>
        <d v="2026-02-07T09:31:14"/>
        <d v="2026-02-07T09:37:16"/>
        <d v="2026-02-08T06:41:29"/>
        <d v="2026-02-08T07:20:23"/>
        <d v="2026-02-08T09:50:42"/>
        <d v="2026-02-08T09:53:15"/>
        <d v="2026-02-08T16:34:32"/>
        <d v="2026-02-08T16:39:29"/>
        <d v="2026-02-09T13:05:01"/>
        <d v="2026-02-09T18:03:22"/>
        <d v="2026-02-13T09:17:38"/>
        <d v="2026-02-13T17:20:08"/>
        <d v="2026-02-13T18:23:05"/>
        <d v="2026-02-14T07:52:43"/>
        <d v="2026-02-14T10:15:12"/>
        <d v="2026-02-14T10:42:31"/>
        <d v="2026-02-14T18:39:07"/>
        <d v="2026-02-15T08:03:00"/>
        <d v="2026-02-15T13:26:18"/>
        <d v="2026-02-15T13:26:52"/>
        <d v="2026-02-17T21:16:19"/>
        <d v="2026-02-20T08:44:11"/>
        <d v="2026-02-20T08:50:59"/>
        <d v="2026-02-20T16:54:17"/>
        <d v="2026-02-20T16:57:38"/>
        <d v="2026-02-20T20:21:08"/>
        <d v="2026-02-20T20:23:38"/>
        <d v="2026-02-21T07:15:03"/>
        <d v="2026-02-21T07:17:35"/>
        <d v="2026-02-21T09:51:04"/>
        <d v="2026-02-21T09:53:25"/>
        <d v="2026-02-24T13:44:11"/>
        <d v="2026-02-24T19:41:13"/>
        <d v="2026-02-26T13:30:35"/>
        <d v="2026-02-26T13:31:51"/>
        <d v="2026-02-26T19:59:40"/>
        <d v="2026-02-26T20:22:50"/>
        <d v="2026-02-26T21:15:25"/>
        <d v="2026-02-27T08:19:11"/>
        <d v="2026-02-27T18:10:51"/>
        <d v="2026-02-28T09:09:10"/>
        <d v="2026-02-28T10:45:44"/>
        <d v="2026-02-28T11:27:46"/>
        <d v="2026-03-01T07:43:07"/>
        <d v="2026-03-03T10:16:30"/>
        <d v="2026-03-05T15:58:26"/>
        <d v="2026-03-05T17:24:14"/>
        <d v="2026-03-05T17:38:50"/>
        <d v="2026-03-06T05:26:58"/>
        <d v="2026-03-06T08:09:04"/>
        <d v="2026-03-06T19:56:05"/>
        <d v="2026-03-06T20:55:55"/>
        <d v="2026-03-06T20:57:26"/>
        <d v="2026-03-06T22:35:41"/>
        <d v="2026-03-07T04:57:23"/>
        <d v="2026-03-07T09:48:18"/>
        <d v="2026-03-07T10:35:32"/>
        <d v="2026-03-07T10:40:58"/>
        <d v="2026-03-07T11:35:39"/>
        <d v="2026-03-07T15:12:53"/>
        <d v="2026-03-07T16:45:38"/>
        <d v="2026-03-08T08:00:25"/>
        <d v="2026-03-08T09:05:49"/>
        <d v="2026-03-08T10:53:02"/>
        <d v="2026-03-08T11:10:41"/>
        <d v="2026-03-09T18:48:52"/>
        <d v="2026-03-10T07:19:25"/>
        <d v="2026-03-10T14:06:12"/>
        <d v="2026-03-10T14:09:12"/>
        <d v="2026-03-11T13:40:26"/>
        <d v="2026-03-11T20:14:16"/>
        <d v="2026-03-12T08:53:18"/>
        <d v="2026-03-12T11:38:03"/>
        <d v="2026-03-13T09:08:55"/>
        <d v="2026-03-13T10:56:14"/>
        <d v="2026-03-13T11:58:40"/>
        <d v="2026-03-13T20:38:17"/>
        <d v="2026-03-14T01:58:19"/>
        <d v="2026-03-14T05:41:12"/>
        <d v="2026-03-14T07:42:49"/>
        <d v="2026-03-14T09:03:41"/>
        <d v="2026-03-14T09:09:41"/>
        <d v="2026-03-14T10:49:37"/>
        <d v="2026-03-14T11:22:40"/>
        <d v="2026-03-14T12:23:47"/>
        <d v="2026-03-15T12:26:26"/>
        <d v="2026-03-17T19:26:04"/>
        <d v="2026-03-17T19:27:22"/>
        <d v="2026-03-19T18:21:49"/>
        <d v="2026-03-19T23:31:18"/>
        <d v="2026-03-20T02:38:01"/>
        <d v="2026-03-20T06:47:06"/>
        <d v="2026-03-20T08:34:29"/>
        <d v="2026-03-20T12:04:55"/>
        <d v="2026-03-20T13:51:46"/>
        <d v="2026-03-20T15:19:24"/>
        <d v="2026-03-20T15:23:37"/>
        <d v="2026-03-20T15:26:22"/>
        <d v="2026-03-20T15:35:07"/>
        <d v="2026-03-20T15:48:13"/>
        <d v="2026-03-20T17:03:00"/>
        <d v="2026-03-20T18:03:52"/>
        <d v="2026-03-20T20:15:13"/>
        <d v="2026-03-20T21:16:28"/>
        <d v="2026-03-20T21:25:57"/>
        <d v="2026-03-21T00:03:30"/>
        <d v="2026-03-21T06:38:39"/>
        <d v="2026-03-21T06:47:53"/>
        <d v="2026-03-21T08:07:55"/>
        <d v="2026-03-21T10:21:34"/>
        <d v="2026-03-21T16:49:43"/>
        <d v="2026-03-21T17:34:10"/>
        <d v="2026-03-23T21:19:21"/>
        <d v="2026-03-23T21:22:38"/>
        <d v="2026-03-24T20:35:31"/>
        <d v="2026-03-24T20:37:03"/>
        <d v="2026-03-24T22:48:06"/>
        <d v="2026-03-24T22:51:39"/>
        <d v="2026-03-25T20:06:57"/>
        <d v="2026-03-25T20:09:05"/>
        <d v="2026-03-26T15:13:18"/>
        <d v="2026-03-26T19:10:50"/>
        <d v="2026-03-27T08:26:13"/>
        <d v="2026-03-27T08:35:44"/>
        <d v="2026-03-27T23:32:27"/>
        <d v="2026-03-28T07:27:56"/>
        <d v="2026-03-28T08:10:59"/>
        <d v="2026-03-28T09:12:53"/>
        <d v="2026-03-28T12:08:50"/>
        <d v="2026-03-28T12:11:22"/>
        <d v="2026-03-28T12:23:24"/>
        <d v="2026-03-28T21:45:03"/>
        <d v="2026-03-28T22:30:25"/>
        <d v="2026-03-29T07:36:57"/>
        <d v="2026-03-29T08:08:19"/>
        <d v="2026-03-29T08:27:31"/>
        <d v="2026-03-29T08:49:54"/>
        <d v="2026-03-29T08:58:09"/>
        <d v="2026-03-29T09:50:03"/>
        <d v="2026-03-29T09:51:18"/>
        <d v="2026-03-29T14:44:21"/>
        <d v="2026-03-29T16:36:48"/>
        <d v="2026-03-29T19:48:29"/>
        <d v="2026-03-30T09:39:15"/>
        <d v="2026-03-30T09:53:22"/>
        <d v="2026-03-30T10:04:44"/>
        <d v="2026-03-30T12:10:45"/>
        <d v="2026-03-30T19:05:00"/>
        <d v="2026-03-30T19:12:15"/>
        <d v="2026-03-30T20:40:34"/>
        <d v="2026-03-30T21:49:14"/>
        <d v="2026-03-31T06:39:25"/>
        <d v="2026-03-31T09:06:56"/>
        <d v="2026-03-31T09:07:53"/>
        <d v="2026-03-31T13:56:03"/>
        <d v="2026-03-31T15:32:39"/>
        <d v="2026-03-31T17:25:27"/>
        <d v="2026-03-31T17:26:17"/>
        <d v="2026-03-31T20:04:54"/>
        <d v="2026-04-01T09:25:32"/>
        <d v="2026-04-01T10:43:40"/>
        <d v="2026-04-01T11:34:11"/>
        <d v="2026-04-01T16:02:21"/>
        <d v="2026-04-01T20:21:05"/>
        <d v="2026-04-01T20:23:45"/>
        <d v="2026-04-02T13:04:11"/>
        <d v="2026-04-02T13:15:45"/>
        <d v="2026-04-02T16:09:48"/>
        <d v="2026-04-02T16:35:58"/>
        <d v="2026-04-02T19:51:12"/>
        <d v="2026-04-02T19:57:04"/>
        <d v="2026-04-02T20:53:53"/>
        <d v="2026-04-03T08:49:54"/>
        <d v="2026-04-03T08:53:46"/>
        <d v="2026-04-03T10:25:59"/>
        <d v="2026-04-03T11:11:13"/>
        <d v="2026-04-03T12:02:10"/>
        <d v="2026-04-03T17:28:21"/>
        <d v="2026-04-03T18:49:40"/>
        <d v="2026-04-03T21:05:45"/>
        <d v="2026-04-03T21:22:42"/>
        <d v="2026-04-03T22:04:03"/>
        <d v="2026-04-04T08:29:42"/>
        <d v="2026-04-04T09:33:58"/>
        <d v="2026-04-04T09:47:34"/>
        <d v="2026-04-04T09:57:25"/>
        <d v="2026-04-04T09:59:31"/>
        <d v="2026-04-04T23:25:55"/>
        <d v="2026-04-05T06:53:49"/>
        <d v="2026-04-05T07:01:57"/>
        <d v="2026-04-05T07:39:09"/>
        <d v="2026-04-05T08:51:04"/>
        <d v="2026-04-05T10:28:09"/>
        <d v="2026-04-05T16:04:25"/>
        <d v="2026-04-06T08:33:27"/>
        <d v="2026-04-06T11:10:33"/>
        <d v="2026-04-07T08:27:14"/>
        <d v="2026-04-07T08:28:43"/>
        <d v="2026-04-10T21:36:15"/>
        <d v="2026-04-11T07:24:00"/>
        <d v="2026-04-12T07:53:53"/>
        <d v="2026-04-12T11:29:17"/>
        <d v="2026-04-14T16:45:21"/>
        <d v="2026-04-17T08:10:09"/>
        <d v="2026-04-18T07:33:18"/>
        <d v="2026-04-18T07:39:14"/>
        <d v="2026-04-18T09:23:10"/>
        <d v="2026-04-18T09:25:53"/>
        <d v="2026-04-19T09:35:17"/>
        <d v="2026-04-19T09:35:58"/>
        <d v="2026-04-23T07:46:17"/>
        <d v="2026-04-23T07:49:18"/>
        <d v="2026-04-24T05:41:08"/>
        <d v="2026-04-24T07:53:55"/>
        <d v="2026-04-24T15:05:49"/>
        <d v="2026-05-01T23:26:52"/>
        <d v="2026-05-02T00:41:03"/>
        <d v="2026-05-02T00:55:25"/>
      </sharedItems>
      <fieldGroup par="12"/>
    </cacheField>
    <cacheField name="Day of the Week (Start)" numFmtId="0">
      <sharedItems/>
    </cacheField>
    <cacheField name="Session End Date" numFmtId="0">
      <sharedItems containsNonDate="0" containsDate="1" containsString="0" containsBlank="1" minDate="2023-11-27T10:00:00" maxDate="2025-12-26T17:05:00"/>
    </cacheField>
    <cacheField name="Day of the Week (End)" numFmtId="164">
      <sharedItems/>
    </cacheField>
    <cacheField name="New or Returning Parker" numFmtId="0">
      <sharedItems count="2">
        <s v="New"/>
        <s v="Returning"/>
      </sharedItems>
    </cacheField>
    <cacheField name="Session Revenue" numFmtId="0">
      <sharedItems containsSemiMixedTypes="0" containsString="0" containsNumber="1" minValue="0" maxValue="99.95"/>
    </cacheField>
    <cacheField name="Total Parking Duration" numFmtId="0">
      <sharedItems containsSemiMixedTypes="0" containsString="0" containsNumber="1" containsInteger="1" minValue="1" maxValue="4"/>
    </cacheField>
    <cacheField name="Pricing Policy" numFmtId="0">
      <sharedItems/>
    </cacheField>
    <cacheField name="Months (Session Start Date)" numFmtId="0" databaseField="0">
      <fieldGroup base="2">
        <rangePr groupBy="months" startDate="2023-11-27T14:39:03" endDate="2026-05-02T00:55:25"/>
        <groupItems count="14">
          <s v="&lt;11/27/2023"/>
          <s v="Jan"/>
          <s v="Feb"/>
          <s v="Mar"/>
          <s v="Apr"/>
          <s v="May"/>
          <s v="Jun"/>
          <s v="Jul"/>
          <s v="Aug"/>
          <s v="Sep"/>
          <s v="Oct"/>
          <s v="Nov"/>
          <s v="Dec"/>
          <s v="&gt;5/2/2026"/>
        </groupItems>
      </fieldGroup>
    </cacheField>
    <cacheField name="Quarters (Session Start Date)" numFmtId="0" databaseField="0">
      <fieldGroup base="2">
        <rangePr groupBy="quarters" startDate="2023-11-27T14:39:03" endDate="2026-05-02T00:55:25"/>
        <groupItems count="6">
          <s v="&lt;11/27/2023"/>
          <s v="Qtr1"/>
          <s v="Qtr2"/>
          <s v="Qtr3"/>
          <s v="Qtr4"/>
          <s v="&gt;5/2/2026"/>
        </groupItems>
      </fieldGroup>
    </cacheField>
    <cacheField name="Years (Session Start Date)" numFmtId="0" databaseField="0">
      <fieldGroup base="2">
        <rangePr groupBy="years" startDate="2023-11-27T14:39:03" endDate="2026-05-02T00:55:25"/>
        <groupItems count="6">
          <s v="&lt;11/27/2023"/>
          <s v="2023"/>
          <s v="2024"/>
          <s v="2025"/>
          <s v="2026"/>
          <s v="&gt;5/2/2026"/>
        </groupItems>
      </fieldGroup>
    </cacheField>
  </cacheFields>
  <extLst>
    <ext xmlns:x14="http://schemas.microsoft.com/office/spreadsheetml/2009/9/main" uri="{725AE2AE-9491-48be-B2B4-4EB974FC3084}">
      <x14:pivotCacheDefinition pivotCacheId="2100674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5">
  <r>
    <s v="101-0004-0186"/>
    <x v="0"/>
    <x v="0"/>
    <s v="Monday"/>
    <d v="2023-11-27T10:00:00"/>
    <s v="Monday"/>
    <x v="0"/>
    <n v="19.989999999999998"/>
    <n v="1"/>
    <s v="All Season"/>
  </r>
  <r>
    <s v="101-0004-0181"/>
    <x v="0"/>
    <x v="1"/>
    <s v="Saturday"/>
    <d v="2023-12-02T10:00:00"/>
    <s v="Saturday"/>
    <x v="0"/>
    <n v="24.99"/>
    <n v="1"/>
    <s v="All Season"/>
  </r>
  <r>
    <s v="101-0004-0187"/>
    <x v="0"/>
    <x v="2"/>
    <s v="Wednesday"/>
    <d v="2023-12-06T10:00:00"/>
    <s v="Wednesday"/>
    <x v="0"/>
    <n v="19.989999999999998"/>
    <n v="1"/>
    <s v="All Season"/>
  </r>
  <r>
    <s v="101-0004-0162"/>
    <x v="0"/>
    <x v="3"/>
    <s v="Saturday"/>
    <d v="2023-12-09T10:00:00"/>
    <s v="Saturday"/>
    <x v="0"/>
    <n v="24.99"/>
    <n v="1"/>
    <s v="All Season"/>
  </r>
  <r>
    <s v="101-0004-0076"/>
    <x v="0"/>
    <x v="4"/>
    <s v="Tuesday"/>
    <d v="2023-12-12T10:00:00"/>
    <s v="Tuesday"/>
    <x v="1"/>
    <n v="19.989999999999998"/>
    <n v="1"/>
    <s v="All Season"/>
  </r>
  <r>
    <s v="101-0004-0174"/>
    <x v="0"/>
    <x v="5"/>
    <s v="Friday"/>
    <d v="2023-12-15T10:00:00"/>
    <s v="Friday"/>
    <x v="0"/>
    <n v="19.989999999999998"/>
    <n v="1"/>
    <s v="All Season"/>
  </r>
  <r>
    <s v="101-0003-9825"/>
    <x v="0"/>
    <x v="6"/>
    <s v="Saturday"/>
    <d v="2023-12-16T10:00:00"/>
    <s v="Saturday"/>
    <x v="0"/>
    <n v="24.99"/>
    <n v="1"/>
    <s v="All Season"/>
  </r>
  <r>
    <s v="101-0004-0175"/>
    <x v="0"/>
    <x v="6"/>
    <s v="Saturday"/>
    <d v="2023-12-16T10:00:00"/>
    <s v="Saturday"/>
    <x v="1"/>
    <n v="49.98"/>
    <n v="2"/>
    <s v="All Season"/>
  </r>
  <r>
    <s v="101-0003-9979"/>
    <x v="0"/>
    <x v="7"/>
    <s v="Sunday"/>
    <d v="2023-12-17T10:00:00"/>
    <s v="Sunday"/>
    <x v="0"/>
    <n v="24.99"/>
    <n v="1"/>
    <s v="All Season"/>
  </r>
  <r>
    <s v="101-0004-0176"/>
    <x v="0"/>
    <x v="7"/>
    <s v="Sunday"/>
    <d v="2023-12-17T10:00:00"/>
    <s v="Sunday"/>
    <x v="1"/>
    <n v="49.98"/>
    <n v="2"/>
    <s v="All Season"/>
  </r>
  <r>
    <s v="101-0003-9970"/>
    <x v="0"/>
    <x v="8"/>
    <s v="Sunday"/>
    <d v="2023-12-17T10:00:00"/>
    <s v="Sunday"/>
    <x v="0"/>
    <n v="24.99"/>
    <n v="1"/>
    <s v="All Season"/>
  </r>
  <r>
    <s v="101-0004-0161"/>
    <x v="0"/>
    <x v="9"/>
    <s v="Monday"/>
    <d v="2023-12-18T10:00:00"/>
    <s v="Monday"/>
    <x v="0"/>
    <n v="19.989999999999998"/>
    <n v="1"/>
    <s v="All Season"/>
  </r>
  <r>
    <s v="101-0004-0168"/>
    <x v="0"/>
    <x v="10"/>
    <s v="Tuesday"/>
    <d v="2023-12-19T10:00:00"/>
    <s v="Tuesday"/>
    <x v="0"/>
    <n v="59.97"/>
    <n v="3"/>
    <s v="All Season"/>
  </r>
  <r>
    <s v="101-0004-0169"/>
    <x v="0"/>
    <x v="11"/>
    <s v="Wednesday"/>
    <d v="2023-12-20T10:00:00"/>
    <s v="Wednesday"/>
    <x v="1"/>
    <n v="59.97"/>
    <n v="3"/>
    <s v="All Season"/>
  </r>
  <r>
    <s v="101-0004-0167"/>
    <x v="0"/>
    <x v="12"/>
    <s v="Thursday"/>
    <d v="2023-12-21T10:00:00"/>
    <s v="Thursday"/>
    <x v="1"/>
    <n v="59.97"/>
    <n v="3"/>
    <s v="All Season"/>
  </r>
  <r>
    <s v="101-0004-0171"/>
    <x v="0"/>
    <x v="13"/>
    <s v="Friday"/>
    <d v="2023-12-22T10:00:00"/>
    <s v="Friday"/>
    <x v="0"/>
    <n v="24.99"/>
    <n v="1"/>
    <s v="All Season"/>
  </r>
  <r>
    <s v="101-0004-0151"/>
    <x v="0"/>
    <x v="14"/>
    <s v="Saturday"/>
    <d v="2023-12-23T10:00:00"/>
    <s v="Saturday"/>
    <x v="0"/>
    <n v="24.99"/>
    <n v="1"/>
    <s v="All Season"/>
  </r>
  <r>
    <s v="101-0004-0170"/>
    <x v="0"/>
    <x v="14"/>
    <s v="Saturday"/>
    <d v="2023-12-23T10:00:00"/>
    <s v="Saturday"/>
    <x v="0"/>
    <n v="24.99"/>
    <n v="1"/>
    <s v="All Season"/>
  </r>
  <r>
    <s v="101-0004-0183"/>
    <x v="0"/>
    <x v="14"/>
    <s v="Saturday"/>
    <d v="2023-12-23T10:00:00"/>
    <s v="Saturday"/>
    <x v="0"/>
    <n v="24.99"/>
    <n v="1"/>
    <s v="All Season"/>
  </r>
  <r>
    <s v="101-0004-0153"/>
    <x v="0"/>
    <x v="15"/>
    <s v="Saturday"/>
    <d v="2023-12-23T10:00:00"/>
    <s v="Saturday"/>
    <x v="0"/>
    <n v="24.99"/>
    <n v="1"/>
    <s v="All Season"/>
  </r>
  <r>
    <s v="101-0004-0114"/>
    <x v="0"/>
    <x v="16"/>
    <s v="Saturday"/>
    <d v="2023-12-23T10:00:00"/>
    <s v="Saturday"/>
    <x v="0"/>
    <n v="24.99"/>
    <n v="1"/>
    <s v="All Season"/>
  </r>
  <r>
    <s v="101-0003-9857"/>
    <x v="0"/>
    <x v="17"/>
    <s v="Sunday"/>
    <d v="2023-12-24T10:00:00"/>
    <s v="Sunday"/>
    <x v="0"/>
    <n v="24.99"/>
    <n v="1"/>
    <s v="All Season"/>
  </r>
  <r>
    <s v="101-0004-0154"/>
    <x v="0"/>
    <x v="17"/>
    <s v="Sunday"/>
    <d v="2023-12-24T10:00:00"/>
    <s v="Sunday"/>
    <x v="0"/>
    <n v="24.99"/>
    <n v="1"/>
    <s v="All Season"/>
  </r>
  <r>
    <s v="101-0004-0156"/>
    <x v="0"/>
    <x v="17"/>
    <s v="Sunday"/>
    <d v="2023-12-24T10:00:00"/>
    <s v="Sunday"/>
    <x v="1"/>
    <n v="24.99"/>
    <n v="1"/>
    <s v="All Season"/>
  </r>
  <r>
    <s v="101-0004-0158"/>
    <x v="0"/>
    <x v="18"/>
    <s v="Monday"/>
    <d v="2023-12-25T10:00:00"/>
    <s v="Monday"/>
    <x v="0"/>
    <n v="24.99"/>
    <n v="1"/>
    <s v="All Season"/>
  </r>
  <r>
    <s v="101-0004-0191"/>
    <x v="0"/>
    <x v="18"/>
    <s v="Monday"/>
    <d v="2023-12-25T10:00:00"/>
    <s v="Monday"/>
    <x v="1"/>
    <n v="19.989999999999998"/>
    <n v="1"/>
    <s v="All Season"/>
  </r>
  <r>
    <s v="101-0004-0192"/>
    <x v="0"/>
    <x v="18"/>
    <s v="Monday"/>
    <d v="2023-12-25T10:00:00"/>
    <s v="Monday"/>
    <x v="0"/>
    <n v="24.99"/>
    <n v="1"/>
    <s v="All Season"/>
  </r>
  <r>
    <s v="101-0004-0193"/>
    <x v="0"/>
    <x v="18"/>
    <s v="Monday"/>
    <d v="2023-12-25T10:00:00"/>
    <s v="Monday"/>
    <x v="1"/>
    <n v="24.99"/>
    <n v="1"/>
    <s v="All Season"/>
  </r>
  <r>
    <s v="101-0004-0194"/>
    <x v="0"/>
    <x v="18"/>
    <s v="Monday"/>
    <d v="2023-12-25T10:00:00"/>
    <s v="Monday"/>
    <x v="0"/>
    <n v="39.979999999999997"/>
    <n v="2"/>
    <s v="All Season"/>
  </r>
  <r>
    <s v="101-0004-0188"/>
    <x v="0"/>
    <x v="19"/>
    <s v="Monday"/>
    <d v="2023-12-25T10:00:00"/>
    <s v="Monday"/>
    <x v="0"/>
    <n v="24.99"/>
    <n v="1"/>
    <s v="All Season"/>
  </r>
  <r>
    <s v="101-0004-0189"/>
    <x v="0"/>
    <x v="20"/>
    <s v="Tuesday"/>
    <d v="2023-12-26T10:00:00"/>
    <s v="Tuesday"/>
    <x v="0"/>
    <n v="24.99"/>
    <n v="1"/>
    <s v="All Season"/>
  </r>
  <r>
    <s v="101-0004-0195"/>
    <x v="0"/>
    <x v="20"/>
    <s v="Tuesday"/>
    <d v="2023-12-26T10:00:00"/>
    <s v="Tuesday"/>
    <x v="0"/>
    <n v="49.98"/>
    <n v="2"/>
    <s v="All Season"/>
  </r>
  <r>
    <s v="101-0004-0197"/>
    <x v="0"/>
    <x v="20"/>
    <s v="Tuesday"/>
    <d v="2023-12-26T10:00:00"/>
    <s v="Tuesday"/>
    <x v="1"/>
    <n v="49.98"/>
    <n v="2"/>
    <s v="All Season"/>
  </r>
  <r>
    <s v="101-0004-0199"/>
    <x v="0"/>
    <x v="20"/>
    <s v="Tuesday"/>
    <d v="2023-12-26T10:00:00"/>
    <s v="Tuesday"/>
    <x v="1"/>
    <n v="49.98"/>
    <n v="2"/>
    <s v="All Season"/>
  </r>
  <r>
    <s v="101-0004-0209"/>
    <x v="0"/>
    <x v="20"/>
    <s v="Tuesday"/>
    <d v="2023-12-26T10:00:00"/>
    <s v="Tuesday"/>
    <x v="0"/>
    <n v="19.989999999999998"/>
    <n v="1"/>
    <s v="All Season"/>
  </r>
  <r>
    <s v="101-0003-9823"/>
    <x v="0"/>
    <x v="21"/>
    <s v="Wednesday"/>
    <d v="2023-12-27T10:00:00"/>
    <s v="Wednesday"/>
    <x v="0"/>
    <n v="39.979999999999997"/>
    <n v="2"/>
    <s v="All Season"/>
  </r>
  <r>
    <s v="101-0004-0157"/>
    <x v="0"/>
    <x v="21"/>
    <s v="Wednesday"/>
    <d v="2023-12-27T10:00:00"/>
    <s v="Wednesday"/>
    <x v="0"/>
    <n v="24.99"/>
    <n v="1"/>
    <s v="All Season"/>
  </r>
  <r>
    <s v="101-0004-0173"/>
    <x v="0"/>
    <x v="21"/>
    <s v="Wednesday"/>
    <d v="2023-12-27T10:00:00"/>
    <s v="Wednesday"/>
    <x v="1"/>
    <n v="39.979999999999997"/>
    <n v="2"/>
    <s v="All Season"/>
  </r>
  <r>
    <s v="101-0004-0190"/>
    <x v="0"/>
    <x v="21"/>
    <s v="Wednesday"/>
    <d v="2023-12-27T10:00:00"/>
    <s v="Wednesday"/>
    <x v="0"/>
    <n v="24.99"/>
    <n v="1"/>
    <s v="All Season"/>
  </r>
  <r>
    <s v="101-0004-0196"/>
    <x v="0"/>
    <x v="21"/>
    <s v="Wednesday"/>
    <d v="2023-12-27T10:00:00"/>
    <s v="Wednesday"/>
    <x v="1"/>
    <n v="49.98"/>
    <n v="2"/>
    <s v="All Season"/>
  </r>
  <r>
    <s v="101-0004-0198"/>
    <x v="0"/>
    <x v="21"/>
    <s v="Wednesday"/>
    <d v="2023-12-27T10:00:00"/>
    <s v="Wednesday"/>
    <x v="1"/>
    <n v="49.98"/>
    <n v="2"/>
    <s v="All Season"/>
  </r>
  <r>
    <s v="101-0004-0200"/>
    <x v="0"/>
    <x v="21"/>
    <s v="Wednesday"/>
    <d v="2023-12-27T10:00:00"/>
    <s v="Wednesday"/>
    <x v="1"/>
    <n v="49.98"/>
    <n v="2"/>
    <s v="All Season"/>
  </r>
  <r>
    <s v="101-0004-0201"/>
    <x v="0"/>
    <x v="21"/>
    <s v="Wednesday"/>
    <d v="2023-12-27T10:00:00"/>
    <s v="Wednesday"/>
    <x v="0"/>
    <n v="24.99"/>
    <n v="1"/>
    <s v="All Season"/>
  </r>
  <r>
    <s v="101-0004-0210"/>
    <x v="0"/>
    <x v="21"/>
    <s v="Wednesday"/>
    <d v="2023-12-27T10:00:00"/>
    <s v="Wednesday"/>
    <x v="0"/>
    <n v="24.99"/>
    <n v="1"/>
    <s v="All Season"/>
  </r>
  <r>
    <s v="101-0004-0211"/>
    <x v="0"/>
    <x v="21"/>
    <s v="Wednesday"/>
    <d v="2023-12-27T10:00:00"/>
    <s v="Wednesday"/>
    <x v="0"/>
    <n v="24.99"/>
    <n v="1"/>
    <s v="All Season"/>
  </r>
  <r>
    <s v="101-0004-0217"/>
    <x v="0"/>
    <x v="21"/>
    <s v="Wednesday"/>
    <d v="2023-12-27T10:00:00"/>
    <s v="Wednesday"/>
    <x v="0"/>
    <n v="24.99"/>
    <n v="1"/>
    <s v="All Season"/>
  </r>
  <r>
    <s v="101-0004-0218"/>
    <x v="0"/>
    <x v="22"/>
    <s v="Wednesday"/>
    <d v="2023-12-27T10:00:00"/>
    <s v="Wednesday"/>
    <x v="0"/>
    <n v="24.99"/>
    <n v="1"/>
    <s v="All Season"/>
  </r>
  <r>
    <s v="101-0003-9824"/>
    <x v="0"/>
    <x v="23"/>
    <s v="Thursday"/>
    <d v="2023-12-28T10:00:00"/>
    <s v="Thursday"/>
    <x v="1"/>
    <n v="39.979999999999997"/>
    <n v="2"/>
    <s v="All Season"/>
  </r>
  <r>
    <s v="101-0004-0202"/>
    <x v="0"/>
    <x v="23"/>
    <s v="Thursday"/>
    <d v="2023-12-28T10:00:00"/>
    <s v="Thursday"/>
    <x v="0"/>
    <n v="24.99"/>
    <n v="1"/>
    <s v="All Season"/>
  </r>
  <r>
    <s v="101-0004-0206"/>
    <x v="0"/>
    <x v="23"/>
    <s v="Thursday"/>
    <d v="2023-12-28T10:00:00"/>
    <s v="Thursday"/>
    <x v="0"/>
    <n v="24.99"/>
    <n v="1"/>
    <s v="All Season"/>
  </r>
  <r>
    <s v="101-0004-0207"/>
    <x v="0"/>
    <x v="23"/>
    <s v="Thursday"/>
    <d v="2023-12-28T10:00:00"/>
    <s v="Thursday"/>
    <x v="0"/>
    <n v="49.98"/>
    <n v="2"/>
    <s v="All Season"/>
  </r>
  <r>
    <s v="101-0004-0212"/>
    <x v="0"/>
    <x v="23"/>
    <s v="Thursday"/>
    <d v="2023-12-28T10:00:00"/>
    <s v="Thursday"/>
    <x v="0"/>
    <n v="24.99"/>
    <n v="1"/>
    <s v="All Season"/>
  </r>
  <r>
    <s v="101-0004-0215"/>
    <x v="0"/>
    <x v="23"/>
    <s v="Thursday"/>
    <d v="2023-12-28T10:00:00"/>
    <s v="Thursday"/>
    <x v="1"/>
    <n v="24.99"/>
    <n v="1"/>
    <s v="All Season"/>
  </r>
  <r>
    <s v="101-0004-0216"/>
    <x v="0"/>
    <x v="23"/>
    <s v="Thursday"/>
    <d v="2023-12-28T10:00:00"/>
    <s v="Thursday"/>
    <x v="0"/>
    <n v="49.98"/>
    <n v="2"/>
    <s v="All Season"/>
  </r>
  <r>
    <s v="101-0004-0219"/>
    <x v="0"/>
    <x v="23"/>
    <s v="Thursday"/>
    <d v="2023-12-28T10:00:00"/>
    <s v="Thursday"/>
    <x v="1"/>
    <n v="24.99"/>
    <n v="1"/>
    <s v="All Season"/>
  </r>
  <r>
    <s v="101-0004-0220"/>
    <x v="0"/>
    <x v="23"/>
    <s v="Thursday"/>
    <d v="2023-12-28T10:00:00"/>
    <s v="Thursday"/>
    <x v="1"/>
    <n v="24.99"/>
    <n v="1"/>
    <s v="All Season"/>
  </r>
  <r>
    <s v="101-0004-0226"/>
    <x v="0"/>
    <x v="23"/>
    <s v="Thursday"/>
    <d v="2023-12-28T10:00:00"/>
    <s v="Thursday"/>
    <x v="0"/>
    <n v="24.99"/>
    <n v="1"/>
    <s v="All Season"/>
  </r>
  <r>
    <s v="101-0004-0234"/>
    <x v="0"/>
    <x v="23"/>
    <s v="Thursday"/>
    <d v="2023-12-28T10:00:00"/>
    <s v="Thursday"/>
    <x v="0"/>
    <n v="24.99"/>
    <n v="1"/>
    <s v="All Season"/>
  </r>
  <r>
    <s v="101-0004-0235"/>
    <x v="0"/>
    <x v="23"/>
    <s v="Thursday"/>
    <d v="2023-12-28T10:00:00"/>
    <s v="Thursday"/>
    <x v="0"/>
    <n v="19.989999999999998"/>
    <n v="1"/>
    <s v="All Season"/>
  </r>
  <r>
    <s v="101-0004-0222"/>
    <x v="0"/>
    <x v="24"/>
    <s v="Thursday"/>
    <d v="2023-12-28T10:00:00"/>
    <s v="Thursday"/>
    <x v="0"/>
    <n v="24.99"/>
    <n v="1"/>
    <s v="All Season"/>
  </r>
  <r>
    <s v="101-0004-0223"/>
    <x v="0"/>
    <x v="25"/>
    <s v="Thursday"/>
    <d v="2023-12-28T10:00:00"/>
    <s v="Thursday"/>
    <x v="0"/>
    <n v="24.99"/>
    <n v="1"/>
    <s v="All Season"/>
  </r>
  <r>
    <s v="101-0004-0224"/>
    <x v="0"/>
    <x v="26"/>
    <s v="Thursday"/>
    <d v="2023-12-28T10:00:00"/>
    <s v="Thursday"/>
    <x v="0"/>
    <n v="24.99"/>
    <n v="1"/>
    <s v="All Season"/>
  </r>
  <r>
    <s v="101-0004-0225"/>
    <x v="0"/>
    <x v="27"/>
    <s v="Thursday"/>
    <d v="2023-12-28T10:00:00"/>
    <s v="Thursday"/>
    <x v="0"/>
    <n v="24.99"/>
    <n v="1"/>
    <s v="All Season"/>
  </r>
  <r>
    <s v="101-0004-0231"/>
    <x v="0"/>
    <x v="28"/>
    <s v="Thursday"/>
    <d v="2023-12-28T10:00:00"/>
    <s v="Thursday"/>
    <x v="0"/>
    <n v="24.99"/>
    <n v="1"/>
    <s v="All Season"/>
  </r>
  <r>
    <s v="101-0004-0232"/>
    <x v="0"/>
    <x v="29"/>
    <s v="Thursday"/>
    <d v="2023-12-28T10:00:00"/>
    <s v="Thursday"/>
    <x v="1"/>
    <n v="24.99"/>
    <n v="1"/>
    <s v="All Season"/>
  </r>
  <r>
    <s v="101-0004-0233"/>
    <x v="0"/>
    <x v="30"/>
    <s v="Thursday"/>
    <d v="2023-12-28T10:00:00"/>
    <s v="Thursday"/>
    <x v="1"/>
    <n v="24.99"/>
    <n v="1"/>
    <s v="All Season"/>
  </r>
  <r>
    <s v="101-0004-0236"/>
    <x v="0"/>
    <x v="31"/>
    <s v="Thursday"/>
    <d v="2023-12-28T10:00:00"/>
    <s v="Thursday"/>
    <x v="1"/>
    <n v="24.99"/>
    <n v="1"/>
    <s v="All Season"/>
  </r>
  <r>
    <s v="101-0004-0180"/>
    <x v="0"/>
    <x v="32"/>
    <s v="Friday"/>
    <d v="2023-12-29T10:00:00"/>
    <s v="Friday"/>
    <x v="0"/>
    <n v="24.99"/>
    <n v="1"/>
    <s v="All Season"/>
  </r>
  <r>
    <s v="101-0004-0203"/>
    <x v="0"/>
    <x v="32"/>
    <s v="Friday"/>
    <d v="2023-12-29T10:00:00"/>
    <s v="Friday"/>
    <x v="1"/>
    <n v="49.98"/>
    <n v="2"/>
    <s v="All Season"/>
  </r>
  <r>
    <s v="101-0004-0208"/>
    <x v="0"/>
    <x v="32"/>
    <s v="Friday"/>
    <d v="2023-12-29T10:00:00"/>
    <s v="Friday"/>
    <x v="0"/>
    <n v="24.99"/>
    <n v="1"/>
    <s v="All Season"/>
  </r>
  <r>
    <s v="101-0004-0213"/>
    <x v="0"/>
    <x v="32"/>
    <s v="Friday"/>
    <d v="2023-12-29T10:00:00"/>
    <s v="Friday"/>
    <x v="1"/>
    <n v="49.98"/>
    <n v="2"/>
    <s v="All Season"/>
  </r>
  <r>
    <s v="101-0004-0221"/>
    <x v="0"/>
    <x v="32"/>
    <s v="Friday"/>
    <d v="2023-12-29T10:00:00"/>
    <s v="Friday"/>
    <x v="0"/>
    <n v="24.99"/>
    <n v="1"/>
    <s v="All Season"/>
  </r>
  <r>
    <s v="101-0004-0237"/>
    <x v="0"/>
    <x v="32"/>
    <s v="Friday"/>
    <d v="2023-12-29T10:00:00"/>
    <s v="Friday"/>
    <x v="0"/>
    <n v="24.99"/>
    <n v="1"/>
    <s v="All Season"/>
  </r>
  <r>
    <s v="101-0004-0238"/>
    <x v="0"/>
    <x v="32"/>
    <s v="Friday"/>
    <d v="2023-12-29T10:00:00"/>
    <s v="Friday"/>
    <x v="0"/>
    <n v="24.99"/>
    <n v="1"/>
    <s v="All Season"/>
  </r>
  <r>
    <s v="101-0004-0239"/>
    <x v="0"/>
    <x v="32"/>
    <s v="Friday"/>
    <d v="2023-12-29T10:00:00"/>
    <s v="Friday"/>
    <x v="1"/>
    <n v="24.99"/>
    <n v="1"/>
    <s v="All Season"/>
  </r>
  <r>
    <s v="101-0004-0244"/>
    <x v="0"/>
    <x v="32"/>
    <s v="Friday"/>
    <d v="2023-12-29T10:00:00"/>
    <s v="Friday"/>
    <x v="0"/>
    <n v="19.989999999999998"/>
    <n v="1"/>
    <s v="All Season"/>
  </r>
  <r>
    <s v="101-0004-0241"/>
    <x v="0"/>
    <x v="33"/>
    <s v="Friday"/>
    <d v="2023-12-29T10:00:00"/>
    <s v="Friday"/>
    <x v="1"/>
    <n v="24.99"/>
    <n v="1"/>
    <s v="All Season"/>
  </r>
  <r>
    <s v="101-0004-0242"/>
    <x v="0"/>
    <x v="34"/>
    <s v="Friday"/>
    <d v="2023-12-29T10:00:00"/>
    <s v="Friday"/>
    <x v="1"/>
    <n v="24.99"/>
    <n v="1"/>
    <s v="All Season"/>
  </r>
  <r>
    <s v="101-0004-0243"/>
    <x v="0"/>
    <x v="35"/>
    <s v="Friday"/>
    <d v="2023-12-29T10:00:00"/>
    <s v="Friday"/>
    <x v="0"/>
    <n v="24.99"/>
    <n v="1"/>
    <s v="All Season"/>
  </r>
  <r>
    <s v="101-0004-0172"/>
    <x v="0"/>
    <x v="36"/>
    <s v="Saturday"/>
    <d v="2023-12-30T10:00:00"/>
    <s v="Saturday"/>
    <x v="0"/>
    <n v="24.99"/>
    <n v="1"/>
    <s v="All Season"/>
  </r>
  <r>
    <s v="101-0004-0204"/>
    <x v="0"/>
    <x v="36"/>
    <s v="Saturday"/>
    <d v="2023-12-30T10:00:00"/>
    <s v="Saturday"/>
    <x v="1"/>
    <n v="49.98"/>
    <n v="2"/>
    <s v="All Season"/>
  </r>
  <r>
    <s v="101-0004-0214"/>
    <x v="0"/>
    <x v="36"/>
    <s v="Saturday"/>
    <d v="2023-12-30T10:00:00"/>
    <s v="Saturday"/>
    <x v="1"/>
    <n v="24.99"/>
    <n v="1"/>
    <s v="All Season"/>
  </r>
  <r>
    <s v="101-0004-0227"/>
    <x v="0"/>
    <x v="36"/>
    <s v="Saturday"/>
    <d v="2023-12-30T10:00:00"/>
    <s v="Saturday"/>
    <x v="0"/>
    <n v="49.98"/>
    <n v="2"/>
    <s v="All Season"/>
  </r>
  <r>
    <s v="101-0004-0229"/>
    <x v="0"/>
    <x v="36"/>
    <s v="Saturday"/>
    <d v="2023-12-30T10:00:00"/>
    <s v="Saturday"/>
    <x v="0"/>
    <n v="24.99"/>
    <n v="1"/>
    <s v="All Season"/>
  </r>
  <r>
    <s v="101-0004-0230"/>
    <x v="0"/>
    <x v="36"/>
    <s v="Saturday"/>
    <d v="2023-12-30T10:00:00"/>
    <s v="Saturday"/>
    <x v="0"/>
    <n v="24.99"/>
    <n v="1"/>
    <s v="All Season"/>
  </r>
  <r>
    <s v="101-0004-0240"/>
    <x v="0"/>
    <x v="36"/>
    <s v="Saturday"/>
    <d v="2023-12-30T10:00:00"/>
    <s v="Saturday"/>
    <x v="0"/>
    <n v="24.99"/>
    <n v="1"/>
    <s v="All Season"/>
  </r>
  <r>
    <s v="101-0004-0245"/>
    <x v="0"/>
    <x v="36"/>
    <s v="Saturday"/>
    <d v="2023-12-30T10:00:00"/>
    <s v="Saturday"/>
    <x v="0"/>
    <n v="24.99"/>
    <n v="1"/>
    <s v="All Season"/>
  </r>
  <r>
    <s v="101-0004-0246"/>
    <x v="0"/>
    <x v="36"/>
    <s v="Saturday"/>
    <d v="2023-12-30T10:00:00"/>
    <s v="Saturday"/>
    <x v="1"/>
    <n v="24.99"/>
    <n v="1"/>
    <s v="All Season"/>
  </r>
  <r>
    <s v="101-0004-0249"/>
    <x v="0"/>
    <x v="36"/>
    <s v="Saturday"/>
    <d v="2023-12-30T10:00:00"/>
    <s v="Saturday"/>
    <x v="0"/>
    <n v="24.99"/>
    <n v="1"/>
    <s v="All Season"/>
  </r>
  <r>
    <s v="101-0004-0182"/>
    <x v="0"/>
    <x v="37"/>
    <s v="Sunday"/>
    <d v="2023-12-31T10:00:00"/>
    <s v="Sunday"/>
    <x v="0"/>
    <n v="24.99"/>
    <n v="1"/>
    <s v="All Season"/>
  </r>
  <r>
    <s v="101-0004-0205"/>
    <x v="0"/>
    <x v="37"/>
    <s v="Sunday"/>
    <d v="2023-12-31T10:00:00"/>
    <s v="Sunday"/>
    <x v="1"/>
    <n v="49.98"/>
    <n v="2"/>
    <s v="All Season"/>
  </r>
  <r>
    <s v="101-0004-0228"/>
    <x v="0"/>
    <x v="37"/>
    <s v="Sunday"/>
    <d v="2023-12-31T10:00:00"/>
    <s v="Sunday"/>
    <x v="1"/>
    <n v="49.98"/>
    <n v="2"/>
    <s v="All Season"/>
  </r>
  <r>
    <s v="101-0004-0247"/>
    <x v="0"/>
    <x v="37"/>
    <s v="Sunday"/>
    <d v="2023-12-31T10:00:00"/>
    <s v="Sunday"/>
    <x v="1"/>
    <n v="24.99"/>
    <n v="1"/>
    <s v="All Season"/>
  </r>
  <r>
    <s v="101-0004-0248"/>
    <x v="0"/>
    <x v="37"/>
    <s v="Sunday"/>
    <d v="2023-12-31T10:00:00"/>
    <s v="Sunday"/>
    <x v="0"/>
    <n v="24.99"/>
    <n v="1"/>
    <s v="All Season"/>
  </r>
  <r>
    <s v="101-0004-0251"/>
    <x v="0"/>
    <x v="37"/>
    <s v="Sunday"/>
    <d v="2023-12-31T10:00:00"/>
    <s v="Sunday"/>
    <x v="1"/>
    <n v="24.99"/>
    <n v="1"/>
    <s v="All Season"/>
  </r>
  <r>
    <s v="101-0004-0252"/>
    <x v="0"/>
    <x v="37"/>
    <s v="Sunday"/>
    <d v="2023-12-31T10:00:00"/>
    <s v="Sunday"/>
    <x v="0"/>
    <n v="24.99"/>
    <n v="1"/>
    <s v="All Season"/>
  </r>
  <r>
    <s v="101-0004-0253"/>
    <x v="0"/>
    <x v="37"/>
    <s v="Sunday"/>
    <d v="2023-12-31T10:00:00"/>
    <s v="Sunday"/>
    <x v="1"/>
    <n v="24.99"/>
    <n v="1"/>
    <s v="All Season"/>
  </r>
  <r>
    <s v="101-0004-0254"/>
    <x v="0"/>
    <x v="38"/>
    <s v="Sunday"/>
    <d v="2023-12-31T10:00:00"/>
    <s v="Sunday"/>
    <x v="0"/>
    <n v="24.99"/>
    <n v="1"/>
    <s v="All Season"/>
  </r>
  <r>
    <s v="101-0004-0250"/>
    <x v="0"/>
    <x v="39"/>
    <s v="Monday"/>
    <d v="2024-01-01T10:00:00"/>
    <s v="Monday"/>
    <x v="0"/>
    <n v="49.98"/>
    <n v="2"/>
    <s v="All Season"/>
  </r>
  <r>
    <s v="101-0004-0257"/>
    <x v="0"/>
    <x v="39"/>
    <s v="Monday"/>
    <d v="2024-01-01T10:00:00"/>
    <s v="Monday"/>
    <x v="0"/>
    <n v="24.99"/>
    <n v="1"/>
    <s v="All Season"/>
  </r>
  <r>
    <s v="101-0004-0258"/>
    <x v="0"/>
    <x v="39"/>
    <s v="Monday"/>
    <d v="2024-01-01T10:00:00"/>
    <s v="Monday"/>
    <x v="0"/>
    <n v="24.99"/>
    <n v="1"/>
    <s v="All Season"/>
  </r>
  <r>
    <s v="101-0004-0259"/>
    <x v="0"/>
    <x v="39"/>
    <s v="Monday"/>
    <d v="2024-01-01T10:00:00"/>
    <s v="Monday"/>
    <x v="0"/>
    <n v="24.99"/>
    <n v="1"/>
    <s v="All Season"/>
  </r>
  <r>
    <s v="101-0004-0261"/>
    <x v="0"/>
    <x v="39"/>
    <s v="Monday"/>
    <d v="2024-01-01T10:00:00"/>
    <s v="Monday"/>
    <x v="0"/>
    <n v="24.99"/>
    <n v="1"/>
    <s v="All Season"/>
  </r>
  <r>
    <s v="101-0004-0260"/>
    <x v="0"/>
    <x v="40"/>
    <s v="Monday"/>
    <d v="2024-01-01T10:00:00"/>
    <s v="Monday"/>
    <x v="1"/>
    <n v="24.99"/>
    <n v="1"/>
    <s v="All Season"/>
  </r>
  <r>
    <s v="101-0003-9716"/>
    <x v="0"/>
    <x v="41"/>
    <s v="Tuesday"/>
    <d v="2024-01-02T10:00:00"/>
    <s v="Tuesday"/>
    <x v="0"/>
    <n v="24.99"/>
    <n v="1"/>
    <s v="All Season"/>
  </r>
  <r>
    <s v="101-0003-9718"/>
    <x v="0"/>
    <x v="41"/>
    <s v="Tuesday"/>
    <d v="2024-01-02T10:00:00"/>
    <s v="Tuesday"/>
    <x v="0"/>
    <n v="24.99"/>
    <n v="1"/>
    <s v="All Season"/>
  </r>
  <r>
    <s v="101-0004-0150"/>
    <x v="0"/>
    <x v="41"/>
    <s v="Tuesday"/>
    <d v="2024-01-02T10:00:00"/>
    <s v="Tuesday"/>
    <x v="0"/>
    <n v="24.99"/>
    <n v="1"/>
    <s v="All Season"/>
  </r>
  <r>
    <s v="101-0004-0177"/>
    <x v="0"/>
    <x v="41"/>
    <s v="Tuesday"/>
    <d v="2024-01-02T10:00:00"/>
    <s v="Tuesday"/>
    <x v="0"/>
    <n v="19.989999999999998"/>
    <n v="1"/>
    <s v="All Season"/>
  </r>
  <r>
    <s v="101-0004-0178"/>
    <x v="0"/>
    <x v="41"/>
    <s v="Tuesday"/>
    <d v="2024-01-02T10:00:00"/>
    <s v="Tuesday"/>
    <x v="0"/>
    <n v="24.99"/>
    <n v="1"/>
    <s v="All Season"/>
  </r>
  <r>
    <s v="101-0004-0179"/>
    <x v="0"/>
    <x v="41"/>
    <s v="Tuesday"/>
    <d v="2024-01-02T10:00:00"/>
    <s v="Tuesday"/>
    <x v="1"/>
    <n v="24.99"/>
    <n v="1"/>
    <s v="All Season"/>
  </r>
  <r>
    <s v="101-0004-0255"/>
    <x v="0"/>
    <x v="41"/>
    <s v="Tuesday"/>
    <d v="2024-01-02T10:00:00"/>
    <s v="Tuesday"/>
    <x v="1"/>
    <n v="49.98"/>
    <n v="2"/>
    <s v="All Season"/>
  </r>
  <r>
    <s v="101-0003-9730"/>
    <x v="0"/>
    <x v="42"/>
    <s v="Wednesday"/>
    <d v="2024-01-03T10:00:00"/>
    <s v="Wednesday"/>
    <x v="0"/>
    <n v="24.99"/>
    <n v="1"/>
    <s v="All Season"/>
  </r>
  <r>
    <s v="101-0003-9735"/>
    <x v="0"/>
    <x v="42"/>
    <s v="Wednesday"/>
    <d v="2024-01-03T10:00:00"/>
    <s v="Wednesday"/>
    <x v="1"/>
    <n v="24.99"/>
    <n v="1"/>
    <s v="All Season"/>
  </r>
  <r>
    <s v="101-0003-9740"/>
    <x v="0"/>
    <x v="42"/>
    <s v="Wednesday"/>
    <d v="2024-01-03T10:00:00"/>
    <s v="Wednesday"/>
    <x v="0"/>
    <n v="19.989999999999998"/>
    <n v="1"/>
    <s v="All Season"/>
  </r>
  <r>
    <s v="101-0004-0159"/>
    <x v="0"/>
    <x v="42"/>
    <s v="Wednesday"/>
    <d v="2024-01-03T10:00:00"/>
    <s v="Wednesday"/>
    <x v="0"/>
    <n v="39.979999999999997"/>
    <n v="2"/>
    <s v="All Season"/>
  </r>
  <r>
    <s v="101-0003-9745"/>
    <x v="0"/>
    <x v="43"/>
    <s v="Wednesday"/>
    <d v="2024-01-03T10:00:00"/>
    <s v="Wednesday"/>
    <x v="0"/>
    <n v="39.979999999999997"/>
    <n v="2"/>
    <s v="All Season"/>
  </r>
  <r>
    <s v="101-0003-9747"/>
    <x v="0"/>
    <x v="44"/>
    <s v="Wednesday"/>
    <d v="2024-01-03T10:00:00"/>
    <s v="Wednesday"/>
    <x v="0"/>
    <n v="19.989999999999998"/>
    <n v="1"/>
    <s v="All Season"/>
  </r>
  <r>
    <s v="101-0003-9746"/>
    <x v="0"/>
    <x v="45"/>
    <s v="Thursday"/>
    <d v="2024-01-04T10:00:00"/>
    <s v="Thursday"/>
    <x v="1"/>
    <n v="39.979999999999997"/>
    <n v="2"/>
    <s v="All Season"/>
  </r>
  <r>
    <s v="101-0003-9751"/>
    <x v="0"/>
    <x v="45"/>
    <s v="Thursday"/>
    <d v="2024-01-04T10:00:00"/>
    <s v="Thursday"/>
    <x v="0"/>
    <n v="19.989999999999998"/>
    <n v="1"/>
    <s v="All Season"/>
  </r>
  <r>
    <s v="101-0003-9761"/>
    <x v="0"/>
    <x v="45"/>
    <s v="Thursday"/>
    <d v="2024-01-04T10:00:00"/>
    <s v="Thursday"/>
    <x v="0"/>
    <n v="19.989999999999998"/>
    <n v="1"/>
    <s v="All Season"/>
  </r>
  <r>
    <s v="101-0003-9762"/>
    <x v="0"/>
    <x v="45"/>
    <s v="Thursday"/>
    <d v="2024-01-04T10:00:00"/>
    <s v="Thursday"/>
    <x v="0"/>
    <n v="19.989999999999998"/>
    <n v="1"/>
    <s v="All Season"/>
  </r>
  <r>
    <s v="101-0003-9770"/>
    <x v="0"/>
    <x v="45"/>
    <s v="Thursday"/>
    <d v="2024-01-04T10:00:00"/>
    <s v="Thursday"/>
    <x v="0"/>
    <n v="19.989999999999998"/>
    <n v="1"/>
    <s v="All Season"/>
  </r>
  <r>
    <s v="101-0003-9775"/>
    <x v="0"/>
    <x v="45"/>
    <s v="Thursday"/>
    <d v="2024-01-04T10:00:00"/>
    <s v="Thursday"/>
    <x v="0"/>
    <n v="39.979999999999997"/>
    <n v="2"/>
    <s v="All Season"/>
  </r>
  <r>
    <s v="101-0004-0160"/>
    <x v="0"/>
    <x v="45"/>
    <s v="Thursday"/>
    <d v="2024-01-04T10:00:00"/>
    <s v="Thursday"/>
    <x v="1"/>
    <n v="39.979999999999997"/>
    <n v="2"/>
    <s v="All Season"/>
  </r>
  <r>
    <s v="101-0003-9729"/>
    <x v="0"/>
    <x v="46"/>
    <s v="Friday"/>
    <d v="2024-01-05T10:00:00"/>
    <s v="Friday"/>
    <x v="0"/>
    <n v="24.99"/>
    <n v="1"/>
    <s v="All Season"/>
  </r>
  <r>
    <s v="101-0003-9736"/>
    <x v="0"/>
    <x v="46"/>
    <s v="Friday"/>
    <d v="2024-01-05T10:00:00"/>
    <s v="Friday"/>
    <x v="0"/>
    <n v="24.99"/>
    <n v="1"/>
    <s v="All Season"/>
  </r>
  <r>
    <s v="101-0003-9776"/>
    <x v="0"/>
    <x v="46"/>
    <s v="Friday"/>
    <d v="2024-01-05T10:00:00"/>
    <s v="Friday"/>
    <x v="0"/>
    <n v="19.989999999999998"/>
    <n v="1"/>
    <s v="All Season"/>
  </r>
  <r>
    <s v="101-0003-9777"/>
    <x v="0"/>
    <x v="46"/>
    <s v="Friday"/>
    <d v="2024-01-05T10:00:00"/>
    <s v="Friday"/>
    <x v="0"/>
    <n v="19.989999999999998"/>
    <n v="1"/>
    <s v="All Season"/>
  </r>
  <r>
    <s v="101-0003-9778"/>
    <x v="0"/>
    <x v="46"/>
    <s v="Friday"/>
    <d v="2024-01-05T10:00:00"/>
    <s v="Friday"/>
    <x v="1"/>
    <n v="19.989999999999998"/>
    <n v="1"/>
    <s v="All Season"/>
  </r>
  <r>
    <s v="101-0003-9779"/>
    <x v="0"/>
    <x v="46"/>
    <s v="Friday"/>
    <d v="2024-01-05T10:00:00"/>
    <s v="Friday"/>
    <x v="1"/>
    <n v="19.989999999999998"/>
    <n v="1"/>
    <s v="All Season"/>
  </r>
  <r>
    <s v="101-0003-9780"/>
    <x v="0"/>
    <x v="46"/>
    <s v="Friday"/>
    <d v="2024-01-05T10:00:00"/>
    <s v="Friday"/>
    <x v="1"/>
    <n v="19.989999999999998"/>
    <n v="1"/>
    <s v="All Season"/>
  </r>
  <r>
    <s v="101-0003-9852"/>
    <x v="0"/>
    <x v="46"/>
    <s v="Friday"/>
    <d v="2024-01-05T10:00:00"/>
    <s v="Friday"/>
    <x v="0"/>
    <n v="19.989999999999998"/>
    <n v="1"/>
    <s v="All Season"/>
  </r>
  <r>
    <s v="101-0004-0185"/>
    <x v="0"/>
    <x v="46"/>
    <s v="Friday"/>
    <d v="2024-01-05T10:00:00"/>
    <s v="Friday"/>
    <x v="1"/>
    <n v="39.979999999999997"/>
    <n v="2"/>
    <s v="All Season"/>
  </r>
  <r>
    <s v="101-0003-9737"/>
    <x v="0"/>
    <x v="47"/>
    <s v="Saturday"/>
    <d v="2024-01-06T10:00:00"/>
    <s v="Saturday"/>
    <x v="1"/>
    <n v="24.99"/>
    <n v="1"/>
    <s v="All Season"/>
  </r>
  <r>
    <s v="101-0003-9748"/>
    <x v="0"/>
    <x v="47"/>
    <s v="Saturday"/>
    <d v="2024-01-06T10:00:00"/>
    <s v="Saturday"/>
    <x v="0"/>
    <n v="24.99"/>
    <n v="1"/>
    <s v="All Season"/>
  </r>
  <r>
    <s v="101-0003-9781"/>
    <x v="0"/>
    <x v="47"/>
    <s v="Saturday"/>
    <d v="2024-01-06T10:00:00"/>
    <s v="Saturday"/>
    <x v="0"/>
    <n v="24.99"/>
    <n v="1"/>
    <s v="All Season"/>
  </r>
  <r>
    <s v="101-0003-9782"/>
    <x v="0"/>
    <x v="47"/>
    <s v="Saturday"/>
    <d v="2024-01-06T10:00:00"/>
    <s v="Saturday"/>
    <x v="0"/>
    <n v="24.99"/>
    <n v="1"/>
    <s v="All Season"/>
  </r>
  <r>
    <s v="101-0004-0165"/>
    <x v="0"/>
    <x v="47"/>
    <s v="Saturday"/>
    <d v="2024-01-06T10:00:00"/>
    <s v="Saturday"/>
    <x v="0"/>
    <n v="24.99"/>
    <n v="1"/>
    <s v="All Season"/>
  </r>
  <r>
    <s v="101-0004-0256"/>
    <x v="0"/>
    <x v="47"/>
    <s v="Saturday"/>
    <d v="2024-01-06T10:00:00"/>
    <s v="Saturday"/>
    <x v="0"/>
    <n v="24.99"/>
    <n v="1"/>
    <s v="All Season"/>
  </r>
  <r>
    <s v="101-0004-0262"/>
    <x v="0"/>
    <x v="47"/>
    <s v="Saturday"/>
    <d v="2024-01-06T10:00:00"/>
    <s v="Saturday"/>
    <x v="0"/>
    <n v="24.99"/>
    <n v="1"/>
    <s v="All Season"/>
  </r>
  <r>
    <s v="101-0003-9749"/>
    <x v="0"/>
    <x v="48"/>
    <s v="Sunday"/>
    <d v="2024-01-07T10:00:00"/>
    <s v="Sunday"/>
    <x v="1"/>
    <n v="19.989999999999998"/>
    <n v="1"/>
    <s v="All Season"/>
  </r>
  <r>
    <s v="101-0003-9754"/>
    <x v="0"/>
    <x v="49"/>
    <s v="Tuesday"/>
    <d v="2024-01-09T10:00:00"/>
    <s v="Tuesday"/>
    <x v="0"/>
    <n v="19.989999999999998"/>
    <n v="1"/>
    <s v="All Season"/>
  </r>
  <r>
    <s v="101-0003-9755"/>
    <x v="0"/>
    <x v="49"/>
    <s v="Tuesday"/>
    <d v="2024-01-09T10:00:00"/>
    <s v="Tuesday"/>
    <x v="0"/>
    <n v="19.989999999999998"/>
    <n v="1"/>
    <s v="All Season"/>
  </r>
  <r>
    <s v="101-0003-9786"/>
    <x v="0"/>
    <x v="50"/>
    <s v="Thursday"/>
    <d v="2024-01-18T10:00:00"/>
    <s v="Thursday"/>
    <x v="0"/>
    <n v="19.989999999999998"/>
    <n v="1"/>
    <s v="All Season"/>
  </r>
  <r>
    <s v="101-0003-9759"/>
    <x v="0"/>
    <x v="51"/>
    <s v="Friday"/>
    <d v="2024-01-19T10:00:00"/>
    <s v="Friday"/>
    <x v="0"/>
    <n v="19.989999999999998"/>
    <n v="1"/>
    <s v="All Season"/>
  </r>
  <r>
    <s v="101-0003-9717"/>
    <x v="0"/>
    <x v="52"/>
    <s v="Saturday"/>
    <d v="2024-01-20T10:00:00"/>
    <s v="Saturday"/>
    <x v="0"/>
    <n v="24.99"/>
    <n v="1"/>
    <s v="All Season"/>
  </r>
  <r>
    <s v="101-0003-9720"/>
    <x v="0"/>
    <x v="52"/>
    <s v="Saturday"/>
    <d v="2024-01-20T10:00:00"/>
    <s v="Saturday"/>
    <x v="0"/>
    <n v="49.98"/>
    <n v="2"/>
    <s v="All Season"/>
  </r>
  <r>
    <s v="101-0003-9724"/>
    <x v="0"/>
    <x v="52"/>
    <s v="Saturday"/>
    <d v="2024-01-20T10:00:00"/>
    <s v="Saturday"/>
    <x v="0"/>
    <n v="24.99"/>
    <n v="1"/>
    <s v="All Season"/>
  </r>
  <r>
    <s v="101-0003-9726"/>
    <x v="0"/>
    <x v="52"/>
    <s v="Saturday"/>
    <d v="2024-01-20T10:00:00"/>
    <s v="Saturday"/>
    <x v="0"/>
    <n v="24.99"/>
    <n v="1"/>
    <s v="All Season"/>
  </r>
  <r>
    <s v="101-0003-9728"/>
    <x v="0"/>
    <x v="52"/>
    <s v="Saturday"/>
    <d v="2024-01-20T10:00:00"/>
    <s v="Saturday"/>
    <x v="1"/>
    <n v="24.99"/>
    <n v="1"/>
    <s v="All Season"/>
  </r>
  <r>
    <s v="101-0003-9731"/>
    <x v="0"/>
    <x v="52"/>
    <s v="Saturday"/>
    <d v="2024-01-20T10:00:00"/>
    <s v="Saturday"/>
    <x v="0"/>
    <n v="24.99"/>
    <n v="1"/>
    <s v="All Season"/>
  </r>
  <r>
    <s v="101-0003-9750"/>
    <x v="0"/>
    <x v="52"/>
    <s v="Saturday"/>
    <d v="2024-01-20T10:00:00"/>
    <s v="Saturday"/>
    <x v="0"/>
    <n v="19.989999999999998"/>
    <n v="1"/>
    <s v="All Season"/>
  </r>
  <r>
    <s v="101-0003-9760"/>
    <x v="0"/>
    <x v="52"/>
    <s v="Saturday"/>
    <d v="2024-01-20T10:00:00"/>
    <s v="Saturday"/>
    <x v="1"/>
    <n v="24.99"/>
    <n v="1"/>
    <s v="All Season"/>
  </r>
  <r>
    <s v="101-0003-9784"/>
    <x v="0"/>
    <x v="52"/>
    <s v="Saturday"/>
    <d v="2024-01-20T10:00:00"/>
    <s v="Saturday"/>
    <x v="0"/>
    <n v="24.99"/>
    <n v="1"/>
    <s v="All Season"/>
  </r>
  <r>
    <s v="101-0003-9785"/>
    <x v="0"/>
    <x v="52"/>
    <s v="Saturday"/>
    <d v="2024-01-20T10:00:00"/>
    <s v="Saturday"/>
    <x v="0"/>
    <n v="24.99"/>
    <n v="1"/>
    <s v="All Season"/>
  </r>
  <r>
    <s v="101-0003-9721"/>
    <x v="0"/>
    <x v="53"/>
    <s v="Sunday"/>
    <d v="2024-01-21T10:00:00"/>
    <s v="Sunday"/>
    <x v="1"/>
    <n v="49.98"/>
    <n v="2"/>
    <s v="All Season"/>
  </r>
  <r>
    <s v="101-0003-9787"/>
    <x v="0"/>
    <x v="53"/>
    <s v="Sunday"/>
    <d v="2024-01-21T10:00:00"/>
    <s v="Sunday"/>
    <x v="0"/>
    <n v="19.989999999999998"/>
    <n v="1"/>
    <s v="All Season"/>
  </r>
  <r>
    <s v="101-0003-9741"/>
    <x v="0"/>
    <x v="54"/>
    <s v="Thursday"/>
    <d v="2024-01-25T10:00:00"/>
    <s v="Thursday"/>
    <x v="0"/>
    <n v="19.989999999999998"/>
    <n v="1"/>
    <s v="All Season"/>
  </r>
  <r>
    <s v="101-0003-9715"/>
    <x v="0"/>
    <x v="55"/>
    <s v="Saturday"/>
    <d v="2024-01-27T10:00:00"/>
    <s v="Saturday"/>
    <x v="0"/>
    <n v="24.99"/>
    <n v="1"/>
    <s v="All Season"/>
  </r>
  <r>
    <s v="101-0003-9719"/>
    <x v="0"/>
    <x v="55"/>
    <s v="Saturday"/>
    <d v="2024-01-27T10:00:00"/>
    <s v="Saturday"/>
    <x v="0"/>
    <n v="24.99"/>
    <n v="1"/>
    <s v="All Season"/>
  </r>
  <r>
    <s v="101-0003-9722"/>
    <x v="0"/>
    <x v="55"/>
    <s v="Saturday"/>
    <d v="2024-01-27T10:00:00"/>
    <s v="Saturday"/>
    <x v="0"/>
    <n v="24.99"/>
    <n v="1"/>
    <s v="All Season"/>
  </r>
  <r>
    <s v="101-0003-9743"/>
    <x v="0"/>
    <x v="55"/>
    <s v="Saturday"/>
    <d v="2024-01-27T10:00:00"/>
    <s v="Saturday"/>
    <x v="0"/>
    <n v="49.98"/>
    <n v="2"/>
    <s v="All Season"/>
  </r>
  <r>
    <s v="101-0003-9757"/>
    <x v="0"/>
    <x v="55"/>
    <s v="Saturday"/>
    <d v="2024-01-27T10:00:00"/>
    <s v="Saturday"/>
    <x v="0"/>
    <n v="24.99"/>
    <n v="1"/>
    <s v="All Season"/>
  </r>
  <r>
    <s v="101-0003-9758"/>
    <x v="0"/>
    <x v="55"/>
    <s v="Saturday"/>
    <d v="2024-01-27T10:00:00"/>
    <s v="Saturday"/>
    <x v="0"/>
    <n v="24.99"/>
    <n v="1"/>
    <s v="All Season"/>
  </r>
  <r>
    <s v="101-0003-9788"/>
    <x v="0"/>
    <x v="55"/>
    <s v="Saturday"/>
    <d v="2024-01-27T10:00:00"/>
    <s v="Saturday"/>
    <x v="0"/>
    <n v="19.989999999999998"/>
    <n v="1"/>
    <s v="All Season"/>
  </r>
  <r>
    <s v="101-0003-9790"/>
    <x v="0"/>
    <x v="55"/>
    <s v="Saturday"/>
    <d v="2024-01-27T10:00:00"/>
    <s v="Saturday"/>
    <x v="1"/>
    <n v="24.99"/>
    <n v="1"/>
    <s v="All Season"/>
  </r>
  <r>
    <s v="101-0003-9793"/>
    <x v="0"/>
    <x v="55"/>
    <s v="Saturday"/>
    <d v="2024-01-27T10:00:00"/>
    <s v="Saturday"/>
    <x v="0"/>
    <n v="49.98"/>
    <n v="2"/>
    <s v="All Season"/>
  </r>
  <r>
    <s v="101-0003-9796"/>
    <x v="0"/>
    <x v="55"/>
    <s v="Saturday"/>
    <d v="2024-01-27T10:00:00"/>
    <s v="Saturday"/>
    <x v="0"/>
    <n v="49.98"/>
    <n v="2"/>
    <s v="All Season"/>
  </r>
  <r>
    <s v="101-0003-9723"/>
    <x v="0"/>
    <x v="56"/>
    <s v="Saturday"/>
    <d v="2024-01-27T10:00:00"/>
    <s v="Saturday"/>
    <x v="0"/>
    <n v="24.99"/>
    <n v="1"/>
    <s v="All Season"/>
  </r>
  <r>
    <s v="101-0003-9714"/>
    <x v="0"/>
    <x v="57"/>
    <s v="Sunday"/>
    <d v="2024-01-28T10:00:00"/>
    <s v="Sunday"/>
    <x v="0"/>
    <n v="24.99"/>
    <n v="1"/>
    <s v="All Season"/>
  </r>
  <r>
    <s v="101-0003-9744"/>
    <x v="0"/>
    <x v="57"/>
    <s v="Sunday"/>
    <d v="2024-01-28T10:00:00"/>
    <s v="Sunday"/>
    <x v="1"/>
    <n v="49.98"/>
    <n v="2"/>
    <s v="All Season"/>
  </r>
  <r>
    <s v="101-0003-9789"/>
    <x v="0"/>
    <x v="57"/>
    <s v="Sunday"/>
    <d v="2024-01-28T10:00:00"/>
    <s v="Sunday"/>
    <x v="0"/>
    <n v="19.989999999999998"/>
    <n v="1"/>
    <s v="All Season"/>
  </r>
  <r>
    <s v="101-0003-9794"/>
    <x v="0"/>
    <x v="57"/>
    <s v="Sunday"/>
    <d v="2024-01-28T10:00:00"/>
    <s v="Sunday"/>
    <x v="1"/>
    <n v="49.98"/>
    <n v="2"/>
    <s v="All Season"/>
  </r>
  <r>
    <s v="101-0003-9797"/>
    <x v="0"/>
    <x v="57"/>
    <s v="Sunday"/>
    <d v="2024-01-28T10:00:00"/>
    <s v="Sunday"/>
    <x v="1"/>
    <n v="49.98"/>
    <n v="2"/>
    <s v="All Season"/>
  </r>
  <r>
    <s v="101-0003-9733"/>
    <x v="0"/>
    <x v="58"/>
    <s v="Sunday"/>
    <d v="2024-01-28T10:00:00"/>
    <s v="Sunday"/>
    <x v="0"/>
    <n v="24.99"/>
    <n v="1"/>
    <s v="All Season"/>
  </r>
  <r>
    <s v="101-0003-9734"/>
    <x v="0"/>
    <x v="59"/>
    <s v="Monday"/>
    <d v="2024-01-29T10:00:00"/>
    <s v="Monday"/>
    <x v="0"/>
    <n v="19.989999999999998"/>
    <n v="1"/>
    <s v="All Season"/>
  </r>
  <r>
    <s v="101-0003-9771"/>
    <x v="0"/>
    <x v="59"/>
    <s v="Monday"/>
    <d v="2024-01-29T10:00:00"/>
    <s v="Monday"/>
    <x v="0"/>
    <n v="19.989999999999998"/>
    <n v="1"/>
    <s v="All Season"/>
  </r>
  <r>
    <s v="101-0003-9795"/>
    <x v="0"/>
    <x v="59"/>
    <s v="Monday"/>
    <d v="2024-01-29T10:00:00"/>
    <s v="Monday"/>
    <x v="1"/>
    <n v="19.989999999999998"/>
    <n v="1"/>
    <s v="All Season"/>
  </r>
  <r>
    <s v="101-0003-9800"/>
    <x v="0"/>
    <x v="59"/>
    <s v="Monday"/>
    <d v="2024-01-29T10:00:00"/>
    <s v="Monday"/>
    <x v="0"/>
    <n v="39.979999999999997"/>
    <n v="2"/>
    <s v="All Season"/>
  </r>
  <r>
    <s v="101-0003-9772"/>
    <x v="0"/>
    <x v="60"/>
    <s v="Tuesday"/>
    <d v="2024-01-30T10:00:00"/>
    <s v="Tuesday"/>
    <x v="1"/>
    <n v="19.989999999999998"/>
    <n v="1"/>
    <s v="All Season"/>
  </r>
  <r>
    <s v="101-0003-9792"/>
    <x v="0"/>
    <x v="60"/>
    <s v="Tuesday"/>
    <d v="2024-01-30T10:00:00"/>
    <s v="Tuesday"/>
    <x v="0"/>
    <n v="19.989999999999998"/>
    <n v="1"/>
    <s v="All Season"/>
  </r>
  <r>
    <s v="101-0003-9799"/>
    <x v="0"/>
    <x v="60"/>
    <s v="Tuesday"/>
    <d v="2024-01-30T10:00:00"/>
    <s v="Tuesday"/>
    <x v="1"/>
    <n v="39.979999999999997"/>
    <n v="2"/>
    <s v="All Season"/>
  </r>
  <r>
    <s v="101-0003-9742"/>
    <x v="0"/>
    <x v="61"/>
    <s v="Wednesday"/>
    <d v="2024-01-31T10:00:00"/>
    <s v="Wednesday"/>
    <x v="0"/>
    <n v="19.989999999999998"/>
    <n v="1"/>
    <s v="All Season"/>
  </r>
  <r>
    <s v="101-0003-9808"/>
    <x v="0"/>
    <x v="61"/>
    <s v="Wednesday"/>
    <d v="2024-01-31T10:00:00"/>
    <s v="Wednesday"/>
    <x v="1"/>
    <n v="19.989999999999998"/>
    <n v="1"/>
    <s v="All Season"/>
  </r>
  <r>
    <s v="101-0003-9821"/>
    <x v="0"/>
    <x v="61"/>
    <s v="Wednesday"/>
    <d v="2024-01-31T10:00:00"/>
    <s v="Wednesday"/>
    <x v="0"/>
    <n v="19.989999999999998"/>
    <n v="1"/>
    <s v="All Season"/>
  </r>
  <r>
    <s v="101-0003-9798"/>
    <x v="0"/>
    <x v="62"/>
    <s v="Friday"/>
    <d v="2024-02-02T10:00:00"/>
    <s v="Friday"/>
    <x v="0"/>
    <n v="19.989999999999998"/>
    <n v="1"/>
    <s v="All Season"/>
  </r>
  <r>
    <s v="101-0003-9822"/>
    <x v="0"/>
    <x v="62"/>
    <s v="Friday"/>
    <d v="2024-02-02T10:00:00"/>
    <s v="Friday"/>
    <x v="0"/>
    <n v="19.989999999999998"/>
    <n v="1"/>
    <s v="All Season"/>
  </r>
  <r>
    <s v="101-0003-9883"/>
    <x v="0"/>
    <x v="62"/>
    <s v="Friday"/>
    <d v="2024-02-02T10:00:00"/>
    <s v="Friday"/>
    <x v="0"/>
    <n v="19.989999999999998"/>
    <n v="1"/>
    <s v="All Season"/>
  </r>
  <r>
    <s v="101-0003-9732"/>
    <x v="0"/>
    <x v="63"/>
    <s v="Saturday"/>
    <d v="2024-02-03T10:00:00"/>
    <s v="Saturday"/>
    <x v="0"/>
    <n v="24.99"/>
    <n v="1"/>
    <s v="All Season"/>
  </r>
  <r>
    <s v="101-0003-9738"/>
    <x v="0"/>
    <x v="63"/>
    <s v="Saturday"/>
    <d v="2024-02-03T10:00:00"/>
    <s v="Saturday"/>
    <x v="0"/>
    <n v="24.99"/>
    <n v="1"/>
    <s v="All Season"/>
  </r>
  <r>
    <s v="101-0003-9791"/>
    <x v="0"/>
    <x v="63"/>
    <s v="Saturday"/>
    <d v="2024-02-03T10:00:00"/>
    <s v="Saturday"/>
    <x v="0"/>
    <n v="19.989999999999998"/>
    <n v="1"/>
    <s v="All Season"/>
  </r>
  <r>
    <s v="101-0003-9820"/>
    <x v="0"/>
    <x v="63"/>
    <s v="Saturday"/>
    <d v="2024-02-03T10:00:00"/>
    <s v="Saturday"/>
    <x v="1"/>
    <n v="24.99"/>
    <n v="1"/>
    <s v="All Season"/>
  </r>
  <r>
    <s v="101-0003-9863"/>
    <x v="0"/>
    <x v="63"/>
    <s v="Saturday"/>
    <d v="2024-02-03T10:00:00"/>
    <s v="Saturday"/>
    <x v="1"/>
    <n v="24.99"/>
    <n v="1"/>
    <s v="All Season"/>
  </r>
  <r>
    <s v="101-0003-9871"/>
    <x v="0"/>
    <x v="63"/>
    <s v="Saturday"/>
    <d v="2024-02-03T10:00:00"/>
    <s v="Saturday"/>
    <x v="0"/>
    <n v="24.99"/>
    <n v="1"/>
    <s v="All Season"/>
  </r>
  <r>
    <s v="101-0003-9890"/>
    <x v="0"/>
    <x v="63"/>
    <s v="Saturday"/>
    <d v="2024-02-03T10:00:00"/>
    <s v="Saturday"/>
    <x v="0"/>
    <n v="24.99"/>
    <n v="1"/>
    <s v="All Season"/>
  </r>
  <r>
    <s v="101-0003-9898"/>
    <x v="0"/>
    <x v="63"/>
    <s v="Saturday"/>
    <d v="2024-02-03T10:00:00"/>
    <s v="Saturday"/>
    <x v="1"/>
    <n v="24.99"/>
    <n v="1"/>
    <s v="All Season"/>
  </r>
  <r>
    <s v="101-0004-0152"/>
    <x v="0"/>
    <x v="63"/>
    <s v="Saturday"/>
    <d v="2024-02-03T10:00:00"/>
    <s v="Saturday"/>
    <x v="0"/>
    <n v="24.99"/>
    <n v="1"/>
    <s v="All Season"/>
  </r>
  <r>
    <s v="101-0003-9896"/>
    <x v="0"/>
    <x v="64"/>
    <s v="Saturday"/>
    <d v="2024-02-03T10:00:00"/>
    <s v="Saturday"/>
    <x v="0"/>
    <n v="24.99"/>
    <n v="1"/>
    <s v="All Season"/>
  </r>
  <r>
    <s v="101-0003-9897"/>
    <x v="0"/>
    <x v="65"/>
    <s v="Saturday"/>
    <d v="2024-02-03T10:00:00"/>
    <s v="Saturday"/>
    <x v="1"/>
    <n v="24.99"/>
    <n v="1"/>
    <s v="All Season"/>
  </r>
  <r>
    <s v="101-0003-9872"/>
    <x v="0"/>
    <x v="66"/>
    <s v="Sunday"/>
    <d v="2024-02-04T10:00:00"/>
    <s v="Sunday"/>
    <x v="1"/>
    <n v="24.99"/>
    <n v="1"/>
    <s v="All Season"/>
  </r>
  <r>
    <s v="101-0004-0119"/>
    <x v="0"/>
    <x v="67"/>
    <s v="Thursday"/>
    <d v="2024-02-08T10:00:00"/>
    <s v="Thursday"/>
    <x v="0"/>
    <n v="19.989999999999998"/>
    <n v="1"/>
    <s v="All Season"/>
  </r>
  <r>
    <s v="101-0004-0121"/>
    <x v="0"/>
    <x v="68"/>
    <s v="Thursday"/>
    <d v="2024-02-08T10:00:00"/>
    <s v="Thursday"/>
    <x v="0"/>
    <n v="19.989999999999998"/>
    <n v="1"/>
    <s v="All Season"/>
  </r>
  <r>
    <s v="101-0003-9900"/>
    <x v="0"/>
    <x v="69"/>
    <s v="Friday"/>
    <d v="2024-02-09T10:00:00"/>
    <s v="Friday"/>
    <x v="0"/>
    <n v="19.989999999999998"/>
    <n v="1"/>
    <s v="All Season"/>
  </r>
  <r>
    <s v="101-0004-0126"/>
    <x v="0"/>
    <x v="69"/>
    <s v="Friday"/>
    <d v="2024-02-09T10:00:00"/>
    <s v="Friday"/>
    <x v="0"/>
    <n v="19.989999999999998"/>
    <n v="1"/>
    <s v="All Season"/>
  </r>
  <r>
    <s v="101-0003-9913"/>
    <x v="0"/>
    <x v="70"/>
    <s v="Saturday"/>
    <d v="2024-02-10T10:00:00"/>
    <s v="Saturday"/>
    <x v="0"/>
    <n v="24.99"/>
    <n v="1"/>
    <s v="All Season"/>
  </r>
  <r>
    <s v="101-0003-9925"/>
    <x v="0"/>
    <x v="70"/>
    <s v="Saturday"/>
    <d v="2024-02-10T10:00:00"/>
    <s v="Saturday"/>
    <x v="0"/>
    <n v="24.99"/>
    <n v="1"/>
    <s v="All Season"/>
  </r>
  <r>
    <s v="101-0004-0004"/>
    <x v="0"/>
    <x v="70"/>
    <s v="Saturday"/>
    <d v="2024-02-10T10:00:00"/>
    <s v="Saturday"/>
    <x v="0"/>
    <n v="24.99"/>
    <n v="1"/>
    <s v="All Season"/>
  </r>
  <r>
    <s v="101-0004-0047"/>
    <x v="0"/>
    <x v="70"/>
    <s v="Saturday"/>
    <d v="2024-02-10T10:00:00"/>
    <s v="Saturday"/>
    <x v="0"/>
    <n v="24.99"/>
    <n v="1"/>
    <s v="All Season"/>
  </r>
  <r>
    <s v="101-0004-0134"/>
    <x v="0"/>
    <x v="70"/>
    <s v="Saturday"/>
    <d v="2024-02-10T10:00:00"/>
    <s v="Saturday"/>
    <x v="0"/>
    <n v="24.99"/>
    <n v="1"/>
    <s v="All Season"/>
  </r>
  <r>
    <s v="101-0004-0135"/>
    <x v="0"/>
    <x v="70"/>
    <s v="Saturday"/>
    <d v="2024-02-10T10:00:00"/>
    <s v="Saturday"/>
    <x v="0"/>
    <n v="24.99"/>
    <n v="1"/>
    <s v="All Season"/>
  </r>
  <r>
    <s v="101-0004-0140"/>
    <x v="0"/>
    <x v="70"/>
    <s v="Saturday"/>
    <d v="2024-02-10T10:00:00"/>
    <s v="Saturday"/>
    <x v="0"/>
    <n v="24.99"/>
    <n v="1"/>
    <s v="All Season"/>
  </r>
  <r>
    <s v="101-0004-0143"/>
    <x v="0"/>
    <x v="70"/>
    <s v="Saturday"/>
    <d v="2024-02-10T10:00:00"/>
    <s v="Saturday"/>
    <x v="0"/>
    <n v="19.989999999999998"/>
    <n v="1"/>
    <s v="All Season"/>
  </r>
  <r>
    <s v="101-0004-0139"/>
    <x v="0"/>
    <x v="71"/>
    <s v="Saturday"/>
    <d v="2024-02-10T10:00:00"/>
    <s v="Saturday"/>
    <x v="1"/>
    <n v="24.99"/>
    <n v="1"/>
    <s v="All Season"/>
  </r>
  <r>
    <s v="101-0004-0145"/>
    <x v="0"/>
    <x v="72"/>
    <s v="Sunday"/>
    <d v="2024-02-11T10:00:00"/>
    <s v="Sunday"/>
    <x v="1"/>
    <n v="24.99"/>
    <n v="1"/>
    <s v="All Season"/>
  </r>
  <r>
    <s v="101-0003-9813"/>
    <x v="0"/>
    <x v="73"/>
    <s v="Friday"/>
    <d v="2024-02-16T10:00:00"/>
    <s v="Friday"/>
    <x v="0"/>
    <n v="19.989999999999998"/>
    <n v="1"/>
    <s v="All Season"/>
  </r>
  <r>
    <s v="101-0003-9893"/>
    <x v="0"/>
    <x v="73"/>
    <s v="Friday"/>
    <d v="2024-02-16T10:00:00"/>
    <s v="Friday"/>
    <x v="0"/>
    <n v="19.989999999999998"/>
    <n v="1"/>
    <s v="All Season"/>
  </r>
  <r>
    <s v="101-0003-9753"/>
    <x v="0"/>
    <x v="74"/>
    <s v="Saturday"/>
    <d v="2024-02-17T10:00:00"/>
    <s v="Saturday"/>
    <x v="0"/>
    <n v="49.98"/>
    <n v="2"/>
    <s v="All Season"/>
  </r>
  <r>
    <s v="101-0003-9763"/>
    <x v="0"/>
    <x v="74"/>
    <s v="Saturday"/>
    <d v="2024-02-17T10:00:00"/>
    <s v="Saturday"/>
    <x v="1"/>
    <n v="39.979999999999997"/>
    <n v="2"/>
    <s v="All Season"/>
  </r>
  <r>
    <s v="101-0003-9815"/>
    <x v="0"/>
    <x v="74"/>
    <s v="Saturday"/>
    <d v="2024-02-17T10:00:00"/>
    <s v="Saturday"/>
    <x v="0"/>
    <n v="24.99"/>
    <n v="1"/>
    <s v="All Season"/>
  </r>
  <r>
    <s v="101-0003-9846"/>
    <x v="0"/>
    <x v="74"/>
    <s v="Saturday"/>
    <d v="2024-02-17T10:00:00"/>
    <s v="Saturday"/>
    <x v="0"/>
    <n v="24.99"/>
    <n v="1"/>
    <s v="All Season"/>
  </r>
  <r>
    <s v="101-0003-9847"/>
    <x v="0"/>
    <x v="74"/>
    <s v="Saturday"/>
    <d v="2024-02-17T10:00:00"/>
    <s v="Saturday"/>
    <x v="0"/>
    <n v="24.99"/>
    <n v="1"/>
    <s v="All Season"/>
  </r>
  <r>
    <s v="101-0003-9905"/>
    <x v="0"/>
    <x v="74"/>
    <s v="Saturday"/>
    <d v="2024-02-17T10:00:00"/>
    <s v="Saturday"/>
    <x v="0"/>
    <n v="24.99"/>
    <n v="1"/>
    <s v="All Season"/>
  </r>
  <r>
    <s v="101-0003-9908"/>
    <x v="0"/>
    <x v="74"/>
    <s v="Saturday"/>
    <d v="2024-02-17T10:00:00"/>
    <s v="Saturday"/>
    <x v="0"/>
    <n v="24.99"/>
    <n v="1"/>
    <s v="All Season"/>
  </r>
  <r>
    <s v="101-0003-9917"/>
    <x v="0"/>
    <x v="74"/>
    <s v="Saturday"/>
    <d v="2024-02-17T10:00:00"/>
    <s v="Saturday"/>
    <x v="0"/>
    <n v="24.99"/>
    <n v="1"/>
    <s v="All Season"/>
  </r>
  <r>
    <s v="101-0003-9924"/>
    <x v="0"/>
    <x v="74"/>
    <s v="Saturday"/>
    <d v="2024-02-17T10:00:00"/>
    <s v="Saturday"/>
    <x v="0"/>
    <n v="24.99"/>
    <n v="1"/>
    <s v="All Season"/>
  </r>
  <r>
    <s v="101-0003-9931"/>
    <x v="0"/>
    <x v="74"/>
    <s v="Saturday"/>
    <d v="2024-02-17T10:00:00"/>
    <s v="Saturday"/>
    <x v="0"/>
    <n v="49.98"/>
    <n v="2"/>
    <s v="All Season"/>
  </r>
  <r>
    <s v="101-0003-9942"/>
    <x v="0"/>
    <x v="74"/>
    <s v="Saturday"/>
    <d v="2024-02-17T10:00:00"/>
    <s v="Saturday"/>
    <x v="0"/>
    <n v="24.99"/>
    <n v="1"/>
    <s v="All Season"/>
  </r>
  <r>
    <s v="101-0003-9943"/>
    <x v="0"/>
    <x v="74"/>
    <s v="Saturday"/>
    <d v="2024-02-17T10:00:00"/>
    <s v="Saturday"/>
    <x v="1"/>
    <n v="24.99"/>
    <n v="1"/>
    <s v="All Season"/>
  </r>
  <r>
    <s v="101-0003-9944"/>
    <x v="0"/>
    <x v="74"/>
    <s v="Saturday"/>
    <d v="2024-02-17T10:00:00"/>
    <s v="Saturday"/>
    <x v="1"/>
    <n v="24.99"/>
    <n v="1"/>
    <s v="All Season"/>
  </r>
  <r>
    <s v="101-0003-9946"/>
    <x v="0"/>
    <x v="74"/>
    <s v="Saturday"/>
    <d v="2024-02-17T10:00:00"/>
    <s v="Saturday"/>
    <x v="0"/>
    <n v="49.98"/>
    <n v="2"/>
    <s v="All Season"/>
  </r>
  <r>
    <s v="101-0003-9950"/>
    <x v="0"/>
    <x v="74"/>
    <s v="Saturday"/>
    <d v="2024-02-17T10:00:00"/>
    <s v="Saturday"/>
    <x v="0"/>
    <n v="24.99"/>
    <n v="1"/>
    <s v="All Season"/>
  </r>
  <r>
    <s v="101-0003-9954"/>
    <x v="0"/>
    <x v="74"/>
    <s v="Saturday"/>
    <d v="2024-02-17T10:00:00"/>
    <s v="Saturday"/>
    <x v="0"/>
    <n v="24.99"/>
    <n v="1"/>
    <s v="All Season"/>
  </r>
  <r>
    <s v="101-0003-9974"/>
    <x v="0"/>
    <x v="74"/>
    <s v="Saturday"/>
    <d v="2024-02-17T10:00:00"/>
    <s v="Saturday"/>
    <x v="1"/>
    <n v="24.99"/>
    <n v="1"/>
    <s v="All Season"/>
  </r>
  <r>
    <s v="101-0003-9983"/>
    <x v="0"/>
    <x v="74"/>
    <s v="Saturday"/>
    <d v="2024-02-17T10:00:00"/>
    <s v="Saturday"/>
    <x v="0"/>
    <n v="49.98"/>
    <n v="2"/>
    <s v="All Season"/>
  </r>
  <r>
    <s v="101-0003-9955"/>
    <x v="0"/>
    <x v="75"/>
    <s v="Saturday"/>
    <d v="2024-02-17T10:00:00"/>
    <s v="Saturday"/>
    <x v="0"/>
    <n v="49.98"/>
    <n v="2"/>
    <s v="All Season"/>
  </r>
  <r>
    <s v="101-0003-9752"/>
    <x v="0"/>
    <x v="76"/>
    <s v="Sunday"/>
    <d v="2024-02-18T10:00:00"/>
    <s v="Sunday"/>
    <x v="1"/>
    <n v="49.98"/>
    <n v="2"/>
    <s v="All Season"/>
  </r>
  <r>
    <s v="101-0003-9816"/>
    <x v="0"/>
    <x v="76"/>
    <s v="Sunday"/>
    <d v="2024-02-18T10:00:00"/>
    <s v="Sunday"/>
    <x v="1"/>
    <n v="24.99"/>
    <n v="1"/>
    <s v="All Season"/>
  </r>
  <r>
    <s v="101-0003-9849"/>
    <x v="0"/>
    <x v="76"/>
    <s v="Sunday"/>
    <d v="2024-02-18T10:00:00"/>
    <s v="Sunday"/>
    <x v="0"/>
    <n v="24.99"/>
    <n v="1"/>
    <s v="All Season"/>
  </r>
  <r>
    <s v="101-0003-9932"/>
    <x v="0"/>
    <x v="76"/>
    <s v="Sunday"/>
    <d v="2024-02-18T10:00:00"/>
    <s v="Sunday"/>
    <x v="1"/>
    <n v="49.98"/>
    <n v="2"/>
    <s v="All Season"/>
  </r>
  <r>
    <s v="101-0003-9933"/>
    <x v="0"/>
    <x v="76"/>
    <s v="Sunday"/>
    <d v="2024-02-18T10:00:00"/>
    <s v="Sunday"/>
    <x v="0"/>
    <n v="24.99"/>
    <n v="1"/>
    <s v="All Season"/>
  </r>
  <r>
    <s v="101-0003-9939"/>
    <x v="0"/>
    <x v="76"/>
    <s v="Sunday"/>
    <d v="2024-02-18T10:00:00"/>
    <s v="Sunday"/>
    <x v="0"/>
    <n v="24.99"/>
    <n v="1"/>
    <s v="All Season"/>
  </r>
  <r>
    <s v="101-0003-9947"/>
    <x v="0"/>
    <x v="76"/>
    <s v="Sunday"/>
    <d v="2024-02-18T10:00:00"/>
    <s v="Sunday"/>
    <x v="1"/>
    <n v="49.98"/>
    <n v="2"/>
    <s v="All Season"/>
  </r>
  <r>
    <s v="101-0003-9949"/>
    <x v="0"/>
    <x v="76"/>
    <s v="Sunday"/>
    <d v="2024-02-18T10:00:00"/>
    <s v="Sunday"/>
    <x v="0"/>
    <n v="24.99"/>
    <n v="1"/>
    <s v="All Season"/>
  </r>
  <r>
    <s v="101-0003-9951"/>
    <x v="0"/>
    <x v="76"/>
    <s v="Sunday"/>
    <d v="2024-02-18T10:00:00"/>
    <s v="Sunday"/>
    <x v="0"/>
    <n v="24.99"/>
    <n v="1"/>
    <s v="All Season"/>
  </r>
  <r>
    <s v="101-0003-9956"/>
    <x v="0"/>
    <x v="76"/>
    <s v="Sunday"/>
    <d v="2024-02-18T10:00:00"/>
    <s v="Sunday"/>
    <x v="1"/>
    <n v="49.98"/>
    <n v="2"/>
    <s v="All Season"/>
  </r>
  <r>
    <s v="101-0003-9958"/>
    <x v="0"/>
    <x v="76"/>
    <s v="Sunday"/>
    <d v="2024-02-18T10:00:00"/>
    <s v="Sunday"/>
    <x v="0"/>
    <n v="24.99"/>
    <n v="1"/>
    <s v="All Season"/>
  </r>
  <r>
    <s v="101-0003-9960"/>
    <x v="0"/>
    <x v="76"/>
    <s v="Sunday"/>
    <d v="2024-02-18T10:00:00"/>
    <s v="Sunday"/>
    <x v="1"/>
    <n v="24.99"/>
    <n v="1"/>
    <s v="All Season"/>
  </r>
  <r>
    <s v="101-0003-9961"/>
    <x v="0"/>
    <x v="76"/>
    <s v="Sunday"/>
    <d v="2024-02-18T10:00:00"/>
    <s v="Sunday"/>
    <x v="0"/>
    <n v="24.99"/>
    <n v="1"/>
    <s v="All Season"/>
  </r>
  <r>
    <s v="101-0003-9962"/>
    <x v="0"/>
    <x v="76"/>
    <s v="Sunday"/>
    <d v="2024-02-18T10:00:00"/>
    <s v="Sunday"/>
    <x v="0"/>
    <n v="24.99"/>
    <n v="1"/>
    <s v="All Season"/>
  </r>
  <r>
    <s v="101-0003-9964"/>
    <x v="0"/>
    <x v="76"/>
    <s v="Sunday"/>
    <d v="2024-02-18T10:00:00"/>
    <s v="Sunday"/>
    <x v="0"/>
    <n v="24.99"/>
    <n v="1"/>
    <s v="All Season"/>
  </r>
  <r>
    <s v="101-0003-9969"/>
    <x v="0"/>
    <x v="76"/>
    <s v="Sunday"/>
    <d v="2024-02-18T10:00:00"/>
    <s v="Sunday"/>
    <x v="0"/>
    <n v="24.99"/>
    <n v="1"/>
    <s v="All Season"/>
  </r>
  <r>
    <s v="101-0003-9971"/>
    <x v="0"/>
    <x v="76"/>
    <s v="Sunday"/>
    <d v="2024-02-18T10:00:00"/>
    <s v="Sunday"/>
    <x v="0"/>
    <n v="24.99"/>
    <n v="1"/>
    <s v="All Season"/>
  </r>
  <r>
    <s v="101-0003-9984"/>
    <x v="0"/>
    <x v="76"/>
    <s v="Sunday"/>
    <d v="2024-02-18T10:00:00"/>
    <s v="Sunday"/>
    <x v="1"/>
    <n v="49.98"/>
    <n v="2"/>
    <s v="All Season"/>
  </r>
  <r>
    <s v="101-0004-0040"/>
    <x v="0"/>
    <x v="76"/>
    <s v="Sunday"/>
    <d v="2024-02-18T10:00:00"/>
    <s v="Sunday"/>
    <x v="0"/>
    <n v="24.99"/>
    <n v="1"/>
    <s v="All Season"/>
  </r>
  <r>
    <s v="101-0004-0136"/>
    <x v="0"/>
    <x v="76"/>
    <s v="Sunday"/>
    <d v="2024-02-18T10:00:00"/>
    <s v="Sunday"/>
    <x v="0"/>
    <n v="24.99"/>
    <n v="1"/>
    <s v="All Season"/>
  </r>
  <r>
    <s v="101-0004-0141"/>
    <x v="0"/>
    <x v="76"/>
    <s v="Sunday"/>
    <d v="2024-02-18T10:00:00"/>
    <s v="Sunday"/>
    <x v="0"/>
    <n v="24.99"/>
    <n v="1"/>
    <s v="All Season"/>
  </r>
  <r>
    <s v="101-0004-0149"/>
    <x v="0"/>
    <x v="76"/>
    <s v="Sunday"/>
    <d v="2024-02-18T10:00:00"/>
    <s v="Sunday"/>
    <x v="0"/>
    <n v="24.99"/>
    <n v="1"/>
    <s v="All Season"/>
  </r>
  <r>
    <s v="101-0003-9972"/>
    <x v="0"/>
    <x v="77"/>
    <s v="Sunday"/>
    <d v="2024-02-18T10:00:00"/>
    <s v="Sunday"/>
    <x v="0"/>
    <n v="24.99"/>
    <n v="1"/>
    <s v="All Season"/>
  </r>
  <r>
    <s v="101-0003-9764"/>
    <x v="0"/>
    <x v="78"/>
    <s v="Monday"/>
    <d v="2024-02-19T10:00:00"/>
    <s v="Monday"/>
    <x v="1"/>
    <n v="39.979999999999997"/>
    <n v="2"/>
    <s v="All Season"/>
  </r>
  <r>
    <s v="101-0003-9814"/>
    <x v="0"/>
    <x v="78"/>
    <s v="Monday"/>
    <d v="2024-02-19T10:00:00"/>
    <s v="Monday"/>
    <x v="1"/>
    <n v="19.989999999999998"/>
    <n v="1"/>
    <s v="All Season"/>
  </r>
  <r>
    <s v="101-0003-9860"/>
    <x v="0"/>
    <x v="78"/>
    <s v="Monday"/>
    <d v="2024-02-19T10:00:00"/>
    <s v="Monday"/>
    <x v="0"/>
    <n v="19.989999999999998"/>
    <n v="1"/>
    <s v="All Season"/>
  </r>
  <r>
    <s v="101-0003-9907"/>
    <x v="0"/>
    <x v="78"/>
    <s v="Monday"/>
    <d v="2024-02-19T10:00:00"/>
    <s v="Monday"/>
    <x v="0"/>
    <n v="19.989999999999998"/>
    <n v="1"/>
    <s v="All Season"/>
  </r>
  <r>
    <s v="101-0003-9934"/>
    <x v="0"/>
    <x v="78"/>
    <s v="Monday"/>
    <d v="2024-02-19T10:00:00"/>
    <s v="Monday"/>
    <x v="0"/>
    <n v="19.989999999999998"/>
    <n v="1"/>
    <s v="All Season"/>
  </r>
  <r>
    <s v="101-0003-9953"/>
    <x v="0"/>
    <x v="78"/>
    <s v="Monday"/>
    <d v="2024-02-19T10:00:00"/>
    <s v="Monday"/>
    <x v="0"/>
    <n v="19.989999999999998"/>
    <n v="1"/>
    <s v="All Season"/>
  </r>
  <r>
    <s v="101-0003-9959"/>
    <x v="0"/>
    <x v="78"/>
    <s v="Monday"/>
    <d v="2024-02-19T10:00:00"/>
    <s v="Monday"/>
    <x v="0"/>
    <n v="19.989999999999998"/>
    <n v="1"/>
    <s v="All Season"/>
  </r>
  <r>
    <s v="101-0003-9977"/>
    <x v="0"/>
    <x v="78"/>
    <s v="Monday"/>
    <d v="2024-02-19T10:00:00"/>
    <s v="Monday"/>
    <x v="0"/>
    <n v="39.979999999999997"/>
    <n v="2"/>
    <s v="All Season"/>
  </r>
  <r>
    <s v="101-0004-0018"/>
    <x v="0"/>
    <x v="78"/>
    <s v="Monday"/>
    <d v="2024-02-19T10:00:00"/>
    <s v="Monday"/>
    <x v="0"/>
    <n v="19.989999999999998"/>
    <n v="1"/>
    <s v="All Season"/>
  </r>
  <r>
    <s v="101-0004-0036"/>
    <x v="0"/>
    <x v="78"/>
    <s v="Monday"/>
    <d v="2024-02-19T10:00:00"/>
    <s v="Monday"/>
    <x v="0"/>
    <n v="19.989999999999998"/>
    <n v="1"/>
    <s v="All Season"/>
  </r>
  <r>
    <s v="101-0004-0039"/>
    <x v="0"/>
    <x v="78"/>
    <s v="Monday"/>
    <d v="2024-02-19T10:00:00"/>
    <s v="Monday"/>
    <x v="0"/>
    <n v="19.989999999999998"/>
    <n v="1"/>
    <s v="All Season"/>
  </r>
  <r>
    <s v="101-0004-0041"/>
    <x v="0"/>
    <x v="79"/>
    <s v="Monday"/>
    <d v="2024-02-19T10:00:00"/>
    <s v="Monday"/>
    <x v="0"/>
    <n v="19.989999999999998"/>
    <n v="1"/>
    <s v="All Season"/>
  </r>
  <r>
    <s v="101-0004-0043"/>
    <x v="0"/>
    <x v="80"/>
    <s v="Monday"/>
    <d v="2024-02-19T10:00:00"/>
    <s v="Monday"/>
    <x v="0"/>
    <n v="24.99"/>
    <n v="1"/>
    <s v="All Season"/>
  </r>
  <r>
    <s v="101-0003-9850"/>
    <x v="0"/>
    <x v="81"/>
    <s v="Tuesday"/>
    <d v="2024-02-20T10:00:00"/>
    <s v="Tuesday"/>
    <x v="0"/>
    <n v="39.979999999999997"/>
    <n v="2"/>
    <s v="All Season"/>
  </r>
  <r>
    <s v="101-0003-9978"/>
    <x v="0"/>
    <x v="81"/>
    <s v="Tuesday"/>
    <d v="2024-02-20T10:00:00"/>
    <s v="Tuesday"/>
    <x v="1"/>
    <n v="39.979999999999997"/>
    <n v="2"/>
    <s v="All Season"/>
  </r>
  <r>
    <s v="101-0003-9851"/>
    <x v="0"/>
    <x v="82"/>
    <s v="Wednesday"/>
    <d v="2024-02-21T10:00:00"/>
    <s v="Wednesday"/>
    <x v="1"/>
    <n v="39.979999999999997"/>
    <n v="2"/>
    <s v="All Season"/>
  </r>
  <r>
    <s v="101-0004-0125"/>
    <x v="0"/>
    <x v="82"/>
    <s v="Wednesday"/>
    <d v="2024-02-21T10:00:00"/>
    <s v="Wednesday"/>
    <x v="0"/>
    <n v="19.989999999999998"/>
    <n v="1"/>
    <s v="All Season"/>
  </r>
  <r>
    <s v="101-0004-0123"/>
    <x v="0"/>
    <x v="83"/>
    <s v="Wednesday"/>
    <d v="2024-02-21T10:00:00"/>
    <s v="Wednesday"/>
    <x v="0"/>
    <n v="19.989999999999998"/>
    <n v="1"/>
    <s v="All Season"/>
  </r>
  <r>
    <s v="101-0003-9810"/>
    <x v="0"/>
    <x v="84"/>
    <s v="Thursday"/>
    <d v="2024-02-22T10:00:00"/>
    <s v="Thursday"/>
    <x v="0"/>
    <n v="39.979999999999997"/>
    <n v="2"/>
    <s v="All Season"/>
  </r>
  <r>
    <s v="101-0004-0068"/>
    <x v="0"/>
    <x v="84"/>
    <s v="Thursday"/>
    <d v="2024-02-22T10:00:00"/>
    <s v="Thursday"/>
    <x v="0"/>
    <n v="19.989999999999998"/>
    <n v="1"/>
    <s v="All Season"/>
  </r>
  <r>
    <s v="101-0003-9809"/>
    <x v="0"/>
    <x v="85"/>
    <s v="Thursday"/>
    <d v="2024-02-22T10:00:00"/>
    <s v="Thursday"/>
    <x v="1"/>
    <n v="19.989999999999998"/>
    <n v="1"/>
    <s v="All Season"/>
  </r>
  <r>
    <s v="101-0003-9811"/>
    <x v="0"/>
    <x v="86"/>
    <s v="Friday"/>
    <d v="2024-02-23T10:00:00"/>
    <s v="Friday"/>
    <x v="1"/>
    <n v="39.979999999999997"/>
    <n v="2"/>
    <s v="All Season"/>
  </r>
  <r>
    <s v="101-0003-9827"/>
    <x v="0"/>
    <x v="86"/>
    <s v="Friday"/>
    <d v="2024-02-23T10:00:00"/>
    <s v="Friday"/>
    <x v="0"/>
    <n v="19.989999999999998"/>
    <n v="1"/>
    <s v="All Season"/>
  </r>
  <r>
    <s v="101-0003-9725"/>
    <x v="0"/>
    <x v="87"/>
    <s v="Saturday"/>
    <d v="2024-02-24T10:00:00"/>
    <s v="Saturday"/>
    <x v="0"/>
    <n v="24.99"/>
    <n v="1"/>
    <s v="All Season"/>
  </r>
  <r>
    <s v="101-0003-9727"/>
    <x v="0"/>
    <x v="87"/>
    <s v="Saturday"/>
    <d v="2024-02-24T10:00:00"/>
    <s v="Saturday"/>
    <x v="1"/>
    <n v="24.99"/>
    <n v="1"/>
    <s v="All Season"/>
  </r>
  <r>
    <s v="101-0003-9812"/>
    <x v="0"/>
    <x v="87"/>
    <s v="Saturday"/>
    <d v="2024-02-24T10:00:00"/>
    <s v="Saturday"/>
    <x v="1"/>
    <n v="24.99"/>
    <n v="1"/>
    <s v="All Season"/>
  </r>
  <r>
    <s v="101-0003-9833"/>
    <x v="0"/>
    <x v="87"/>
    <s v="Saturday"/>
    <d v="2024-02-24T10:00:00"/>
    <s v="Saturday"/>
    <x v="0"/>
    <n v="24.99"/>
    <n v="1"/>
    <s v="All Season"/>
  </r>
  <r>
    <s v="101-0003-9836"/>
    <x v="0"/>
    <x v="87"/>
    <s v="Saturday"/>
    <d v="2024-02-24T10:00:00"/>
    <s v="Saturday"/>
    <x v="0"/>
    <n v="24.99"/>
    <n v="1"/>
    <s v="All Season"/>
  </r>
  <r>
    <s v="101-0003-9837"/>
    <x v="0"/>
    <x v="87"/>
    <s v="Saturday"/>
    <d v="2024-02-24T10:00:00"/>
    <s v="Saturday"/>
    <x v="0"/>
    <n v="24.99"/>
    <n v="1"/>
    <s v="All Season"/>
  </r>
  <r>
    <s v="101-0003-9838"/>
    <x v="0"/>
    <x v="87"/>
    <s v="Saturday"/>
    <d v="2024-02-24T10:00:00"/>
    <s v="Saturday"/>
    <x v="0"/>
    <n v="24.99"/>
    <n v="1"/>
    <s v="All Season"/>
  </r>
  <r>
    <s v="101-0003-9839"/>
    <x v="0"/>
    <x v="87"/>
    <s v="Saturday"/>
    <d v="2024-02-24T10:00:00"/>
    <s v="Saturday"/>
    <x v="0"/>
    <n v="24.99"/>
    <n v="1"/>
    <s v="All Season"/>
  </r>
  <r>
    <s v="101-0003-9840"/>
    <x v="0"/>
    <x v="87"/>
    <s v="Saturday"/>
    <d v="2024-02-24T10:00:00"/>
    <s v="Saturday"/>
    <x v="1"/>
    <n v="24.99"/>
    <n v="1"/>
    <s v="All Season"/>
  </r>
  <r>
    <s v="101-0003-9841"/>
    <x v="0"/>
    <x v="87"/>
    <s v="Saturday"/>
    <d v="2024-02-24T10:00:00"/>
    <s v="Saturday"/>
    <x v="1"/>
    <n v="24.99"/>
    <n v="1"/>
    <s v="All Season"/>
  </r>
  <r>
    <s v="101-0003-9843"/>
    <x v="0"/>
    <x v="87"/>
    <s v="Saturday"/>
    <d v="2024-02-24T10:00:00"/>
    <s v="Saturday"/>
    <x v="0"/>
    <n v="24.99"/>
    <n v="1"/>
    <s v="All Season"/>
  </r>
  <r>
    <s v="101-0003-9844"/>
    <x v="0"/>
    <x v="87"/>
    <s v="Saturday"/>
    <d v="2024-02-24T10:00:00"/>
    <s v="Saturday"/>
    <x v="0"/>
    <n v="24.99"/>
    <n v="1"/>
    <s v="All Season"/>
  </r>
  <r>
    <s v="101-0004-0124"/>
    <x v="0"/>
    <x v="87"/>
    <s v="Saturday"/>
    <d v="2024-02-24T10:00:00"/>
    <s v="Saturday"/>
    <x v="0"/>
    <n v="24.99"/>
    <n v="1"/>
    <s v="All Season"/>
  </r>
  <r>
    <s v="101-0003-9842"/>
    <x v="0"/>
    <x v="88"/>
    <s v="Saturday"/>
    <d v="2024-02-24T10:00:00"/>
    <s v="Saturday"/>
    <x v="0"/>
    <n v="24.99"/>
    <n v="1"/>
    <s v="All Season"/>
  </r>
  <r>
    <s v="101-0003-9845"/>
    <x v="0"/>
    <x v="89"/>
    <s v="Saturday"/>
    <d v="2024-02-24T10:00:00"/>
    <s v="Saturday"/>
    <x v="0"/>
    <n v="24.99"/>
    <n v="1"/>
    <s v="All Season"/>
  </r>
  <r>
    <s v="101-0003-9853"/>
    <x v="0"/>
    <x v="90"/>
    <s v="Sunday"/>
    <d v="2024-02-25T10:00:00"/>
    <s v="Sunday"/>
    <x v="0"/>
    <n v="24.99"/>
    <n v="1"/>
    <s v="All Season"/>
  </r>
  <r>
    <s v="101-0004-0020"/>
    <x v="0"/>
    <x v="91"/>
    <s v="Wednesday"/>
    <d v="2024-02-28T10:00:00"/>
    <s v="Wednesday"/>
    <x v="0"/>
    <n v="59.97"/>
    <n v="3"/>
    <s v="All Season"/>
  </r>
  <r>
    <s v="101-0004-0030"/>
    <x v="0"/>
    <x v="92"/>
    <s v="Wednesday"/>
    <d v="2024-02-28T10:00:00"/>
    <s v="Wednesday"/>
    <x v="0"/>
    <n v="19.989999999999998"/>
    <n v="1"/>
    <s v="All Season"/>
  </r>
  <r>
    <s v="101-0003-9858"/>
    <x v="0"/>
    <x v="93"/>
    <s v="Thursday"/>
    <d v="2024-02-29T10:00:00"/>
    <s v="Thursday"/>
    <x v="0"/>
    <n v="19.989999999999998"/>
    <n v="1"/>
    <s v="All Season"/>
  </r>
  <r>
    <s v="101-0003-9938"/>
    <x v="0"/>
    <x v="93"/>
    <s v="Thursday"/>
    <d v="2024-02-29T10:00:00"/>
    <s v="Thursday"/>
    <x v="0"/>
    <n v="19.989999999999998"/>
    <n v="1"/>
    <s v="All Season"/>
  </r>
  <r>
    <s v="101-0004-0021"/>
    <x v="0"/>
    <x v="93"/>
    <s v="Thursday"/>
    <d v="2024-02-29T10:00:00"/>
    <s v="Thursday"/>
    <x v="1"/>
    <n v="59.97"/>
    <n v="3"/>
    <s v="All Season"/>
  </r>
  <r>
    <s v="101-0004-0059"/>
    <x v="0"/>
    <x v="94"/>
    <s v="Thursday"/>
    <d v="2024-02-29T10:00:00"/>
    <s v="Thursday"/>
    <x v="0"/>
    <n v="19.989999999999998"/>
    <n v="1"/>
    <s v="All Season"/>
  </r>
  <r>
    <s v="101-0003-9963"/>
    <x v="0"/>
    <x v="95"/>
    <s v="Friday"/>
    <d v="2024-03-01T10:00:00"/>
    <s v="Friday"/>
    <x v="0"/>
    <n v="19.989999999999998"/>
    <n v="1"/>
    <s v="All Season"/>
  </r>
  <r>
    <s v="101-0003-9982"/>
    <x v="0"/>
    <x v="95"/>
    <s v="Friday"/>
    <d v="2024-03-01T10:00:00"/>
    <s v="Friday"/>
    <x v="0"/>
    <n v="19.989999999999998"/>
    <n v="1"/>
    <s v="All Season"/>
  </r>
  <r>
    <s v="101-0003-9986"/>
    <x v="0"/>
    <x v="95"/>
    <s v="Friday"/>
    <d v="2024-03-01T10:00:00"/>
    <s v="Friday"/>
    <x v="1"/>
    <n v="19.989999999999998"/>
    <n v="1"/>
    <s v="All Season"/>
  </r>
  <r>
    <s v="101-0004-0022"/>
    <x v="0"/>
    <x v="95"/>
    <s v="Friday"/>
    <d v="2024-03-01T10:00:00"/>
    <s v="Friday"/>
    <x v="1"/>
    <n v="59.97"/>
    <n v="3"/>
    <s v="All Season"/>
  </r>
  <r>
    <s v="101-0004-0029"/>
    <x v="0"/>
    <x v="95"/>
    <s v="Friday"/>
    <d v="2024-03-01T10:00:00"/>
    <s v="Friday"/>
    <x v="0"/>
    <n v="19.989999999999998"/>
    <n v="1"/>
    <s v="All Season"/>
  </r>
  <r>
    <s v="101-0004-0031"/>
    <x v="0"/>
    <x v="95"/>
    <s v="Friday"/>
    <d v="2024-03-01T10:00:00"/>
    <s v="Friday"/>
    <x v="0"/>
    <n v="19.989999999999998"/>
    <n v="1"/>
    <s v="All Season"/>
  </r>
  <r>
    <s v="101-0004-0032"/>
    <x v="0"/>
    <x v="95"/>
    <s v="Friday"/>
    <d v="2024-03-01T10:00:00"/>
    <s v="Friday"/>
    <x v="0"/>
    <n v="19.989999999999998"/>
    <n v="1"/>
    <s v="All Season"/>
  </r>
  <r>
    <s v="101-0004-0069"/>
    <x v="0"/>
    <x v="95"/>
    <s v="Friday"/>
    <d v="2024-03-01T10:00:00"/>
    <s v="Friday"/>
    <x v="0"/>
    <n v="19.989999999999998"/>
    <n v="1"/>
    <s v="All Season"/>
  </r>
  <r>
    <s v="101-0004-0075"/>
    <x v="0"/>
    <x v="95"/>
    <s v="Friday"/>
    <d v="2024-03-01T10:00:00"/>
    <s v="Friday"/>
    <x v="0"/>
    <n v="19.989999999999998"/>
    <n v="1"/>
    <s v="All Season"/>
  </r>
  <r>
    <s v="101-0004-0083"/>
    <x v="0"/>
    <x v="95"/>
    <s v="Friday"/>
    <d v="2024-03-01T10:00:00"/>
    <s v="Friday"/>
    <x v="0"/>
    <n v="19.989999999999998"/>
    <n v="1"/>
    <s v="All Season"/>
  </r>
  <r>
    <s v="101-0004-0084"/>
    <x v="0"/>
    <x v="96"/>
    <s v="Friday"/>
    <d v="2024-03-01T10:00:00"/>
    <s v="Friday"/>
    <x v="1"/>
    <n v="19.989999999999998"/>
    <n v="1"/>
    <s v="All Season"/>
  </r>
  <r>
    <s v="101-0004-0085"/>
    <x v="0"/>
    <x v="97"/>
    <s v="Friday"/>
    <d v="2024-03-01T10:00:00"/>
    <s v="Friday"/>
    <x v="1"/>
    <n v="19.989999999999998"/>
    <n v="1"/>
    <s v="All Season"/>
  </r>
  <r>
    <s v="101-0004-0088"/>
    <x v="0"/>
    <x v="98"/>
    <s v="Friday"/>
    <d v="2024-03-01T10:00:00"/>
    <s v="Friday"/>
    <x v="0"/>
    <n v="19.989999999999998"/>
    <n v="1"/>
    <s v="All Season"/>
  </r>
  <r>
    <s v="101-0004-0090"/>
    <x v="0"/>
    <x v="99"/>
    <s v="Friday"/>
    <d v="2024-03-01T10:00:00"/>
    <s v="Friday"/>
    <x v="0"/>
    <n v="19.989999999999998"/>
    <n v="1"/>
    <s v="All Season"/>
  </r>
  <r>
    <s v="101-0003-9739"/>
    <x v="0"/>
    <x v="100"/>
    <s v="Saturday"/>
    <d v="2024-03-02T03:00:00"/>
    <s v="Saturday"/>
    <x v="1"/>
    <n v="24.99"/>
    <n v="1"/>
    <s v="All Season"/>
  </r>
  <r>
    <s v="101-0003-9773"/>
    <x v="0"/>
    <x v="101"/>
    <s v="Saturday"/>
    <d v="2024-03-02T10:00:00"/>
    <s v="Saturday"/>
    <x v="0"/>
    <n v="49.98"/>
    <n v="2"/>
    <s v="All Season"/>
  </r>
  <r>
    <s v="101-0003-9928"/>
    <x v="0"/>
    <x v="101"/>
    <s v="Saturday"/>
    <d v="2024-03-02T10:00:00"/>
    <s v="Saturday"/>
    <x v="1"/>
    <n v="49.98"/>
    <n v="2"/>
    <s v="All Season"/>
  </r>
  <r>
    <s v="101-0004-0015"/>
    <x v="0"/>
    <x v="101"/>
    <s v="Saturday"/>
    <d v="2024-03-02T10:00:00"/>
    <s v="Saturday"/>
    <x v="1"/>
    <n v="49.98"/>
    <n v="2"/>
    <s v="All Season"/>
  </r>
  <r>
    <s v="101-0004-0025"/>
    <x v="0"/>
    <x v="101"/>
    <s v="Saturday"/>
    <d v="2024-03-02T10:00:00"/>
    <s v="Saturday"/>
    <x v="1"/>
    <n v="24.99"/>
    <n v="1"/>
    <s v="All Season"/>
  </r>
  <r>
    <s v="101-0004-0033"/>
    <x v="0"/>
    <x v="101"/>
    <s v="Saturday"/>
    <d v="2024-03-02T10:00:00"/>
    <s v="Saturday"/>
    <x v="1"/>
    <n v="49.98"/>
    <n v="2"/>
    <s v="All Season"/>
  </r>
  <r>
    <s v="101-0004-0042"/>
    <x v="0"/>
    <x v="101"/>
    <s v="Saturday"/>
    <d v="2024-03-02T10:00:00"/>
    <s v="Saturday"/>
    <x v="0"/>
    <n v="24.99"/>
    <n v="1"/>
    <s v="All Season"/>
  </r>
  <r>
    <s v="101-0004-0060"/>
    <x v="0"/>
    <x v="101"/>
    <s v="Saturday"/>
    <d v="2024-03-02T10:00:00"/>
    <s v="Saturday"/>
    <x v="0"/>
    <n v="24.99"/>
    <n v="1"/>
    <s v="All Season"/>
  </r>
  <r>
    <s v="101-0004-0067"/>
    <x v="0"/>
    <x v="101"/>
    <s v="Saturday"/>
    <d v="2024-03-02T10:00:00"/>
    <s v="Saturday"/>
    <x v="0"/>
    <n v="24.99"/>
    <n v="1"/>
    <s v="All Season"/>
  </r>
  <r>
    <s v="101-0004-0070"/>
    <x v="0"/>
    <x v="101"/>
    <s v="Saturday"/>
    <d v="2024-03-02T10:00:00"/>
    <s v="Saturday"/>
    <x v="0"/>
    <n v="24.99"/>
    <n v="1"/>
    <s v="All Season"/>
  </r>
  <r>
    <s v="101-0004-0074"/>
    <x v="0"/>
    <x v="101"/>
    <s v="Saturday"/>
    <d v="2024-03-02T10:00:00"/>
    <s v="Saturday"/>
    <x v="0"/>
    <n v="24.99"/>
    <n v="1"/>
    <s v="All Season"/>
  </r>
  <r>
    <s v="101-0004-0077"/>
    <x v="0"/>
    <x v="101"/>
    <s v="Saturday"/>
    <d v="2024-03-02T10:00:00"/>
    <s v="Saturday"/>
    <x v="0"/>
    <n v="24.99"/>
    <n v="1"/>
    <s v="All Season"/>
  </r>
  <r>
    <s v="101-0004-0080"/>
    <x v="0"/>
    <x v="101"/>
    <s v="Saturday"/>
    <d v="2024-03-02T10:00:00"/>
    <s v="Saturday"/>
    <x v="1"/>
    <n v="24.99"/>
    <n v="1"/>
    <s v="All Season"/>
  </r>
  <r>
    <s v="101-0004-0086"/>
    <x v="0"/>
    <x v="101"/>
    <s v="Saturday"/>
    <d v="2024-03-02T10:00:00"/>
    <s v="Saturday"/>
    <x v="1"/>
    <n v="24.99"/>
    <n v="1"/>
    <s v="All Season"/>
  </r>
  <r>
    <s v="101-0004-0094"/>
    <x v="0"/>
    <x v="101"/>
    <s v="Saturday"/>
    <d v="2024-03-02T10:00:00"/>
    <s v="Saturday"/>
    <x v="0"/>
    <n v="24.99"/>
    <n v="1"/>
    <s v="All Season"/>
  </r>
  <r>
    <s v="101-0004-0095"/>
    <x v="0"/>
    <x v="101"/>
    <s v="Saturday"/>
    <d v="2024-03-02T10:00:00"/>
    <s v="Saturday"/>
    <x v="0"/>
    <n v="24.99"/>
    <n v="1"/>
    <s v="All Season"/>
  </r>
  <r>
    <s v="101-0004-0096"/>
    <x v="0"/>
    <x v="101"/>
    <s v="Saturday"/>
    <d v="2024-03-02T10:00:00"/>
    <s v="Saturday"/>
    <x v="0"/>
    <n v="24.99"/>
    <n v="1"/>
    <s v="All Season"/>
  </r>
  <r>
    <s v="101-0004-0097"/>
    <x v="0"/>
    <x v="101"/>
    <s v="Saturday"/>
    <d v="2024-03-02T10:00:00"/>
    <s v="Saturday"/>
    <x v="0"/>
    <n v="24.99"/>
    <n v="1"/>
    <s v="All Season"/>
  </r>
  <r>
    <s v="101-0004-0098"/>
    <x v="0"/>
    <x v="101"/>
    <s v="Saturday"/>
    <d v="2024-03-02T10:00:00"/>
    <s v="Saturday"/>
    <x v="1"/>
    <n v="24.99"/>
    <n v="1"/>
    <s v="All Season"/>
  </r>
  <r>
    <s v="101-0004-0101"/>
    <x v="0"/>
    <x v="101"/>
    <s v="Saturday"/>
    <d v="2024-03-02T10:00:00"/>
    <s v="Saturday"/>
    <x v="0"/>
    <n v="24.99"/>
    <n v="1"/>
    <s v="All Season"/>
  </r>
  <r>
    <s v="101-0004-0107"/>
    <x v="0"/>
    <x v="101"/>
    <s v="Saturday"/>
    <d v="2024-03-02T10:00:00"/>
    <s v="Saturday"/>
    <x v="0"/>
    <n v="24.99"/>
    <n v="1"/>
    <s v="All Season"/>
  </r>
  <r>
    <s v="101-0004-0099"/>
    <x v="0"/>
    <x v="102"/>
    <s v="Saturday"/>
    <d v="2024-03-02T10:00:00"/>
    <s v="Saturday"/>
    <x v="1"/>
    <n v="24.99"/>
    <n v="1"/>
    <s v="All Season"/>
  </r>
  <r>
    <s v="101-0004-0100"/>
    <x v="0"/>
    <x v="103"/>
    <s v="Saturday"/>
    <d v="2024-03-02T10:00:00"/>
    <s v="Saturday"/>
    <x v="1"/>
    <n v="24.99"/>
    <n v="1"/>
    <s v="All Season"/>
  </r>
  <r>
    <s v="101-0004-0102"/>
    <x v="0"/>
    <x v="104"/>
    <s v="Saturday"/>
    <d v="2024-03-02T10:00:00"/>
    <s v="Saturday"/>
    <x v="0"/>
    <n v="24.99"/>
    <n v="1"/>
    <s v="All Season"/>
  </r>
  <r>
    <s v="101-0004-0106"/>
    <x v="0"/>
    <x v="105"/>
    <s v="Saturday"/>
    <d v="2024-03-02T10:00:00"/>
    <s v="Saturday"/>
    <x v="0"/>
    <n v="24.99"/>
    <n v="1"/>
    <s v="All Season"/>
  </r>
  <r>
    <s v="101-0003-9774"/>
    <x v="0"/>
    <x v="106"/>
    <s v="Sunday"/>
    <d v="2024-03-03T10:00:00"/>
    <s v="Sunday"/>
    <x v="1"/>
    <n v="49.98"/>
    <n v="2"/>
    <s v="All Season"/>
  </r>
  <r>
    <s v="101-0003-9929"/>
    <x v="0"/>
    <x v="106"/>
    <s v="Sunday"/>
    <d v="2024-03-03T10:00:00"/>
    <s v="Sunday"/>
    <x v="1"/>
    <n v="49.98"/>
    <n v="2"/>
    <s v="All Season"/>
  </r>
  <r>
    <s v="101-0004-0016"/>
    <x v="0"/>
    <x v="106"/>
    <s v="Sunday"/>
    <d v="2024-03-03T10:00:00"/>
    <s v="Sunday"/>
    <x v="1"/>
    <n v="49.98"/>
    <n v="2"/>
    <s v="All Season"/>
  </r>
  <r>
    <s v="101-0004-0034"/>
    <x v="0"/>
    <x v="106"/>
    <s v="Sunday"/>
    <d v="2024-03-03T10:00:00"/>
    <s v="Sunday"/>
    <x v="1"/>
    <n v="49.98"/>
    <n v="2"/>
    <s v="All Season"/>
  </r>
  <r>
    <s v="101-0004-0091"/>
    <x v="0"/>
    <x v="106"/>
    <s v="Sunday"/>
    <d v="2024-03-03T10:00:00"/>
    <s v="Sunday"/>
    <x v="0"/>
    <n v="24.99"/>
    <n v="1"/>
    <s v="All Season"/>
  </r>
  <r>
    <s v="101-0004-0105"/>
    <x v="0"/>
    <x v="106"/>
    <s v="Sunday"/>
    <d v="2024-03-03T10:00:00"/>
    <s v="Sunday"/>
    <x v="0"/>
    <n v="24.99"/>
    <n v="1"/>
    <s v="All Season"/>
  </r>
  <r>
    <s v="101-0004-0111"/>
    <x v="0"/>
    <x v="106"/>
    <s v="Sunday"/>
    <d v="2024-03-03T10:00:00"/>
    <s v="Sunday"/>
    <x v="1"/>
    <n v="24.99"/>
    <n v="1"/>
    <s v="All Season"/>
  </r>
  <r>
    <s v="101-0004-0112"/>
    <x v="0"/>
    <x v="106"/>
    <s v="Sunday"/>
    <d v="2024-03-03T10:00:00"/>
    <s v="Sunday"/>
    <x v="0"/>
    <n v="24.99"/>
    <n v="1"/>
    <s v="All Season"/>
  </r>
  <r>
    <s v="101-0004-0117"/>
    <x v="0"/>
    <x v="106"/>
    <s v="Sunday"/>
    <d v="2024-03-03T10:00:00"/>
    <s v="Sunday"/>
    <x v="1"/>
    <n v="24.99"/>
    <n v="1"/>
    <s v="All Season"/>
  </r>
  <r>
    <s v="101-0004-0118"/>
    <x v="0"/>
    <x v="107"/>
    <s v="Sunday"/>
    <d v="2024-03-03T10:00:00"/>
    <s v="Sunday"/>
    <x v="1"/>
    <n v="24.99"/>
    <n v="1"/>
    <s v="All Season"/>
  </r>
  <r>
    <s v="101-0004-0120"/>
    <x v="0"/>
    <x v="108"/>
    <s v="Sunday"/>
    <d v="2024-03-03T10:00:00"/>
    <s v="Sunday"/>
    <x v="1"/>
    <n v="24.99"/>
    <n v="1"/>
    <s v="All Season"/>
  </r>
  <r>
    <s v="101-0003-9832"/>
    <x v="0"/>
    <x v="109"/>
    <s v="Tuesday"/>
    <d v="2024-03-05T10:00:00"/>
    <s v="Tuesday"/>
    <x v="0"/>
    <n v="19.989999999999998"/>
    <n v="1"/>
    <s v="All Season"/>
  </r>
  <r>
    <s v="101-0003-9854"/>
    <x v="0"/>
    <x v="109"/>
    <s v="Tuesday"/>
    <d v="2024-03-05T10:00:00"/>
    <s v="Tuesday"/>
    <x v="1"/>
    <n v="19.989999999999998"/>
    <n v="1"/>
    <s v="All Season"/>
  </r>
  <r>
    <s v="101-0003-9856"/>
    <x v="0"/>
    <x v="110"/>
    <s v="Tuesday"/>
    <d v="2024-03-05T10:00:00"/>
    <s v="Tuesday"/>
    <x v="0"/>
    <n v="19.989999999999998"/>
    <n v="1"/>
    <s v="All Season"/>
  </r>
  <r>
    <s v="101-0003-9895"/>
    <x v="0"/>
    <x v="111"/>
    <s v="Wednesday"/>
    <d v="2024-03-06T10:00:00"/>
    <s v="Wednesday"/>
    <x v="0"/>
    <n v="19.989999999999998"/>
    <n v="1"/>
    <s v="All Season"/>
  </r>
  <r>
    <s v="101-0003-9912"/>
    <x v="0"/>
    <x v="112"/>
    <s v="Thursday"/>
    <d v="2024-03-07T10:00:00"/>
    <s v="Thursday"/>
    <x v="0"/>
    <n v="19.989999999999998"/>
    <n v="1"/>
    <s v="All Season"/>
  </r>
  <r>
    <s v="101-0003-9914"/>
    <x v="0"/>
    <x v="112"/>
    <s v="Thursday"/>
    <d v="2024-03-07T10:00:00"/>
    <s v="Thursday"/>
    <x v="0"/>
    <n v="19.989999999999998"/>
    <n v="1"/>
    <s v="All Season"/>
  </r>
  <r>
    <s v="101-0003-9915"/>
    <x v="0"/>
    <x v="112"/>
    <s v="Thursday"/>
    <d v="2024-03-07T10:00:00"/>
    <s v="Thursday"/>
    <x v="1"/>
    <n v="19.989999999999998"/>
    <n v="1"/>
    <s v="All Season"/>
  </r>
  <r>
    <s v="101-0003-9829"/>
    <x v="0"/>
    <x v="113"/>
    <s v="Friday"/>
    <d v="2024-03-08T10:00:00"/>
    <s v="Friday"/>
    <x v="1"/>
    <n v="19.989999999999998"/>
    <n v="1"/>
    <s v="All Season"/>
  </r>
  <r>
    <s v="101-0003-9903"/>
    <x v="0"/>
    <x v="113"/>
    <s v="Friday"/>
    <d v="2024-03-08T10:00:00"/>
    <s v="Friday"/>
    <x v="0"/>
    <n v="19.989999999999998"/>
    <n v="1"/>
    <s v="All Season"/>
  </r>
  <r>
    <s v="101-0003-9805"/>
    <x v="0"/>
    <x v="114"/>
    <s v="Saturday"/>
    <d v="2024-03-09T10:00:00"/>
    <s v="Saturday"/>
    <x v="0"/>
    <n v="24.99"/>
    <n v="1"/>
    <s v="All Season"/>
  </r>
  <r>
    <s v="101-0003-9806"/>
    <x v="0"/>
    <x v="114"/>
    <s v="Saturday"/>
    <d v="2024-03-09T10:00:00"/>
    <s v="Saturday"/>
    <x v="1"/>
    <n v="24.99"/>
    <n v="1"/>
    <s v="All Season"/>
  </r>
  <r>
    <s v="101-0003-9830"/>
    <x v="0"/>
    <x v="114"/>
    <s v="Saturday"/>
    <d v="2024-03-09T10:00:00"/>
    <s v="Saturday"/>
    <x v="1"/>
    <n v="24.99"/>
    <n v="1"/>
    <s v="All Season"/>
  </r>
  <r>
    <s v="101-0003-9916"/>
    <x v="0"/>
    <x v="114"/>
    <s v="Saturday"/>
    <d v="2024-03-09T10:00:00"/>
    <s v="Saturday"/>
    <x v="1"/>
    <n v="24.99"/>
    <n v="1"/>
    <s v="All Season"/>
  </r>
  <r>
    <s v="101-0003-9965"/>
    <x v="0"/>
    <x v="114"/>
    <s v="Saturday"/>
    <d v="2024-03-09T10:00:00"/>
    <s v="Saturday"/>
    <x v="0"/>
    <n v="49.98"/>
    <n v="2"/>
    <s v="All Season"/>
  </r>
  <r>
    <s v="101-0003-9985"/>
    <x v="0"/>
    <x v="114"/>
    <s v="Saturday"/>
    <d v="2024-03-09T10:00:00"/>
    <s v="Saturday"/>
    <x v="0"/>
    <n v="24.99"/>
    <n v="1"/>
    <s v="All Season"/>
  </r>
  <r>
    <s v="101-0003-9997"/>
    <x v="0"/>
    <x v="114"/>
    <s v="Saturday"/>
    <d v="2024-03-09T10:00:00"/>
    <s v="Saturday"/>
    <x v="1"/>
    <n v="24.99"/>
    <n v="1"/>
    <s v="All Season"/>
  </r>
  <r>
    <s v="101-0004-0001"/>
    <x v="0"/>
    <x v="114"/>
    <s v="Saturday"/>
    <d v="2024-03-09T10:00:00"/>
    <s v="Saturday"/>
    <x v="1"/>
    <n v="24.99"/>
    <n v="1"/>
    <s v="All Season"/>
  </r>
  <r>
    <s v="101-0004-0103"/>
    <x v="0"/>
    <x v="114"/>
    <s v="Saturday"/>
    <d v="2024-03-09T10:00:00"/>
    <s v="Saturday"/>
    <x v="0"/>
    <n v="49.98"/>
    <n v="2"/>
    <s v="All Season"/>
  </r>
  <r>
    <s v="101-0004-0108"/>
    <x v="0"/>
    <x v="114"/>
    <s v="Saturday"/>
    <d v="2024-03-09T10:00:00"/>
    <s v="Saturday"/>
    <x v="0"/>
    <n v="24.99"/>
    <n v="1"/>
    <s v="All Season"/>
  </r>
  <r>
    <s v="101-0004-0010"/>
    <x v="0"/>
    <x v="115"/>
    <s v="Saturday"/>
    <d v="2024-03-09T10:00:00"/>
    <s v="Saturday"/>
    <x v="0"/>
    <n v="24.99"/>
    <n v="1"/>
    <s v="All Season"/>
  </r>
  <r>
    <s v="101-0004-0011"/>
    <x v="0"/>
    <x v="116"/>
    <s v="Saturday"/>
    <d v="2024-03-09T10:00:00"/>
    <s v="Saturday"/>
    <x v="0"/>
    <n v="24.99"/>
    <n v="1"/>
    <s v="All Season"/>
  </r>
  <r>
    <s v="101-0004-0012"/>
    <x v="0"/>
    <x v="117"/>
    <s v="Saturday"/>
    <d v="2024-03-09T10:00:00"/>
    <s v="Saturday"/>
    <x v="1"/>
    <n v="49.98"/>
    <n v="2"/>
    <s v="All Season"/>
  </r>
  <r>
    <s v="101-0003-9937"/>
    <x v="0"/>
    <x v="118"/>
    <s v="Sunday"/>
    <d v="2024-03-10T10:00:00"/>
    <s v="Sunday"/>
    <x v="1"/>
    <n v="24.99"/>
    <n v="1"/>
    <s v="All Season"/>
  </r>
  <r>
    <s v="101-0003-9966"/>
    <x v="0"/>
    <x v="118"/>
    <s v="Sunday"/>
    <d v="2024-03-10T10:00:00"/>
    <s v="Sunday"/>
    <x v="1"/>
    <n v="49.98"/>
    <n v="2"/>
    <s v="All Season"/>
  </r>
  <r>
    <s v="101-0003-9981"/>
    <x v="0"/>
    <x v="118"/>
    <s v="Sunday"/>
    <d v="2024-03-10T10:00:00"/>
    <s v="Sunday"/>
    <x v="0"/>
    <n v="24.99"/>
    <n v="1"/>
    <s v="All Season"/>
  </r>
  <r>
    <s v="101-0004-0013"/>
    <x v="0"/>
    <x v="118"/>
    <s v="Sunday"/>
    <d v="2024-03-10T10:00:00"/>
    <s v="Sunday"/>
    <x v="1"/>
    <n v="49.98"/>
    <n v="2"/>
    <s v="All Season"/>
  </r>
  <r>
    <s v="101-0004-0027"/>
    <x v="0"/>
    <x v="118"/>
    <s v="Sunday"/>
    <d v="2024-03-10T10:00:00"/>
    <s v="Sunday"/>
    <x v="0"/>
    <n v="24.99"/>
    <n v="1"/>
    <s v="All Season"/>
  </r>
  <r>
    <s v="101-0004-0028"/>
    <x v="0"/>
    <x v="118"/>
    <s v="Sunday"/>
    <d v="2024-03-10T10:00:00"/>
    <s v="Sunday"/>
    <x v="0"/>
    <n v="24.99"/>
    <n v="1"/>
    <s v="All Season"/>
  </r>
  <r>
    <s v="101-0004-0104"/>
    <x v="0"/>
    <x v="118"/>
    <s v="Sunday"/>
    <d v="2024-03-10T10:00:00"/>
    <s v="Sunday"/>
    <x v="1"/>
    <n v="49.98"/>
    <n v="2"/>
    <s v="All Season"/>
  </r>
  <r>
    <s v="101-0004-0035"/>
    <x v="0"/>
    <x v="119"/>
    <s v="Sunday"/>
    <d v="2024-03-10T10:00:00"/>
    <s v="Sunday"/>
    <x v="0"/>
    <n v="24.99"/>
    <n v="1"/>
    <s v="All Season"/>
  </r>
  <r>
    <s v="101-0004-0056"/>
    <x v="0"/>
    <x v="120"/>
    <s v="Monday"/>
    <d v="2024-03-11T10:00:00"/>
    <s v="Monday"/>
    <x v="0"/>
    <n v="19.989999999999998"/>
    <n v="1"/>
    <s v="All Season"/>
  </r>
  <r>
    <s v="101-0004-0057"/>
    <x v="0"/>
    <x v="121"/>
    <s v="Monday"/>
    <d v="2024-03-11T10:00:00"/>
    <s v="Monday"/>
    <x v="1"/>
    <n v="19.989999999999998"/>
    <n v="1"/>
    <s v="All Season"/>
  </r>
  <r>
    <s v="101-0004-0061"/>
    <x v="0"/>
    <x v="122"/>
    <s v="Tuesday"/>
    <d v="2024-03-12T10:00:00"/>
    <s v="Tuesday"/>
    <x v="0"/>
    <n v="19.989999999999998"/>
    <n v="1"/>
    <s v="All Season"/>
  </r>
  <r>
    <s v="101-0003-9831"/>
    <x v="0"/>
    <x v="123"/>
    <s v="Thursday"/>
    <d v="2024-03-14T10:00:00"/>
    <s v="Thursday"/>
    <x v="0"/>
    <n v="19.989999999999998"/>
    <n v="1"/>
    <s v="All Season"/>
  </r>
  <r>
    <s v="101-0003-9835"/>
    <x v="0"/>
    <x v="124"/>
    <s v="Friday"/>
    <d v="2024-03-15T10:00:00"/>
    <s v="Friday"/>
    <x v="0"/>
    <n v="19.989999999999998"/>
    <n v="1"/>
    <s v="All Season"/>
  </r>
  <r>
    <s v="101-0003-9817"/>
    <x v="0"/>
    <x v="125"/>
    <s v="Saturday"/>
    <d v="2024-03-16T10:00:00"/>
    <s v="Saturday"/>
    <x v="0"/>
    <n v="24.99"/>
    <n v="1"/>
    <s v="All Season"/>
  </r>
  <r>
    <s v="101-0003-9818"/>
    <x v="0"/>
    <x v="125"/>
    <s v="Saturday"/>
    <d v="2024-03-16T10:00:00"/>
    <s v="Saturday"/>
    <x v="0"/>
    <n v="24.99"/>
    <n v="1"/>
    <s v="All Season"/>
  </r>
  <r>
    <s v="101-0003-9862"/>
    <x v="0"/>
    <x v="125"/>
    <s v="Saturday"/>
    <d v="2024-03-16T10:00:00"/>
    <s v="Saturday"/>
    <x v="1"/>
    <n v="24.99"/>
    <n v="1"/>
    <s v="All Season"/>
  </r>
  <r>
    <s v="101-0003-9865"/>
    <x v="0"/>
    <x v="125"/>
    <s v="Saturday"/>
    <d v="2024-03-16T10:00:00"/>
    <s v="Saturday"/>
    <x v="1"/>
    <n v="24.99"/>
    <n v="1"/>
    <s v="All Season"/>
  </r>
  <r>
    <s v="101-0003-9869"/>
    <x v="0"/>
    <x v="125"/>
    <s v="Saturday"/>
    <d v="2024-03-16T10:00:00"/>
    <s v="Saturday"/>
    <x v="0"/>
    <n v="24.99"/>
    <n v="1"/>
    <s v="All Season"/>
  </r>
  <r>
    <s v="101-0003-9870"/>
    <x v="0"/>
    <x v="125"/>
    <s v="Saturday"/>
    <d v="2024-03-16T10:00:00"/>
    <s v="Saturday"/>
    <x v="0"/>
    <n v="24.99"/>
    <n v="1"/>
    <s v="All Season"/>
  </r>
  <r>
    <s v="101-0003-9873"/>
    <x v="0"/>
    <x v="125"/>
    <s v="Saturday"/>
    <d v="2024-03-16T10:00:00"/>
    <s v="Saturday"/>
    <x v="0"/>
    <n v="24.99"/>
    <n v="1"/>
    <s v="All Season"/>
  </r>
  <r>
    <s v="101-0004-0026"/>
    <x v="0"/>
    <x v="125"/>
    <s v="Saturday"/>
    <d v="2024-03-16T10:00:00"/>
    <s v="Saturday"/>
    <x v="0"/>
    <n v="24.99"/>
    <n v="1"/>
    <s v="All Season"/>
  </r>
  <r>
    <s v="101-0004-0037"/>
    <x v="0"/>
    <x v="125"/>
    <s v="Saturday"/>
    <d v="2024-03-16T10:00:00"/>
    <s v="Saturday"/>
    <x v="0"/>
    <n v="24.99"/>
    <n v="1"/>
    <s v="All Season"/>
  </r>
  <r>
    <s v="101-0004-0079"/>
    <x v="0"/>
    <x v="125"/>
    <s v="Saturday"/>
    <d v="2024-03-16T10:00:00"/>
    <s v="Saturday"/>
    <x v="0"/>
    <n v="24.99"/>
    <n v="1"/>
    <s v="All Season"/>
  </r>
  <r>
    <s v="101-0004-0148"/>
    <x v="0"/>
    <x v="125"/>
    <s v="Saturday"/>
    <d v="2024-03-16T10:00:00"/>
    <s v="Saturday"/>
    <x v="0"/>
    <n v="24.99"/>
    <n v="1"/>
    <s v="All Season"/>
  </r>
  <r>
    <s v="101-0003-9867"/>
    <x v="0"/>
    <x v="126"/>
    <s v="Saturday"/>
    <d v="2024-03-16T10:00:00"/>
    <s v="Saturday"/>
    <x v="1"/>
    <n v="24.99"/>
    <n v="1"/>
    <s v="All Season"/>
  </r>
  <r>
    <s v="101-0003-9874"/>
    <x v="0"/>
    <x v="127"/>
    <s v="Saturday"/>
    <d v="2024-03-16T10:00:00"/>
    <s v="Saturday"/>
    <x v="1"/>
    <n v="24.99"/>
    <n v="1"/>
    <s v="All Season"/>
  </r>
  <r>
    <s v="101-0003-9855"/>
    <x v="0"/>
    <x v="128"/>
    <s v="Sunday"/>
    <d v="2024-03-17T10:00:00"/>
    <s v="Sunday"/>
    <x v="1"/>
    <n v="24.99"/>
    <n v="1"/>
    <s v="All Season"/>
  </r>
  <r>
    <s v="101-0004-0044"/>
    <x v="0"/>
    <x v="128"/>
    <s v="Sunday"/>
    <d v="2024-03-17T10:00:00"/>
    <s v="Sunday"/>
    <x v="0"/>
    <n v="24.99"/>
    <n v="1"/>
    <s v="All Season"/>
  </r>
  <r>
    <s v="101-0004-0072"/>
    <x v="0"/>
    <x v="128"/>
    <s v="Sunday"/>
    <d v="2024-03-17T10:00:00"/>
    <s v="Sunday"/>
    <x v="0"/>
    <n v="24.99"/>
    <n v="1"/>
    <s v="All Season"/>
  </r>
  <r>
    <s v="101-0003-9866"/>
    <x v="0"/>
    <x v="129"/>
    <s v="Monday"/>
    <d v="2024-03-18T10:00:00"/>
    <s v="Monday"/>
    <x v="1"/>
    <n v="19.989999999999998"/>
    <n v="1"/>
    <s v="All Season"/>
  </r>
  <r>
    <s v="101-0003-9875"/>
    <x v="0"/>
    <x v="129"/>
    <s v="Monday"/>
    <d v="2024-03-18T10:00:00"/>
    <s v="Monday"/>
    <x v="0"/>
    <n v="39.979999999999997"/>
    <n v="2"/>
    <s v="All Season"/>
  </r>
  <r>
    <s v="101-0003-9886"/>
    <x v="0"/>
    <x v="129"/>
    <s v="Monday"/>
    <d v="2024-03-18T10:00:00"/>
    <s v="Monday"/>
    <x v="0"/>
    <n v="79.959999999999994"/>
    <n v="4"/>
    <s v="All Season"/>
  </r>
  <r>
    <s v="101-0004-0045"/>
    <x v="0"/>
    <x v="129"/>
    <s v="Monday"/>
    <d v="2024-03-18T10:00:00"/>
    <s v="Monday"/>
    <x v="1"/>
    <n v="19.989999999999998"/>
    <n v="1"/>
    <s v="All Season"/>
  </r>
  <r>
    <s v="101-0004-0110"/>
    <x v="0"/>
    <x v="129"/>
    <s v="Monday"/>
    <d v="2024-03-18T10:00:00"/>
    <s v="Monday"/>
    <x v="1"/>
    <n v="39.979999999999997"/>
    <n v="2"/>
    <s v="All Season"/>
  </r>
  <r>
    <s v="101-0003-9926"/>
    <x v="0"/>
    <x v="130"/>
    <s v="Monday"/>
    <d v="2024-03-18T10:00:00"/>
    <s v="Monday"/>
    <x v="0"/>
    <n v="19.989999999999998"/>
    <n v="1"/>
    <s v="All Season"/>
  </r>
  <r>
    <s v="101-0003-9876"/>
    <x v="0"/>
    <x v="131"/>
    <s v="Tuesday"/>
    <d v="2024-03-19T10:00:00"/>
    <s v="Tuesday"/>
    <x v="1"/>
    <n v="39.979999999999997"/>
    <n v="2"/>
    <s v="All Season"/>
  </r>
  <r>
    <s v="101-0003-9887"/>
    <x v="0"/>
    <x v="131"/>
    <s v="Tuesday"/>
    <d v="2024-03-19T10:00:00"/>
    <s v="Tuesday"/>
    <x v="1"/>
    <n v="79.959999999999994"/>
    <n v="4"/>
    <s v="All Season"/>
  </r>
  <r>
    <s v="101-0003-9904"/>
    <x v="0"/>
    <x v="131"/>
    <s v="Tuesday"/>
    <d v="2024-03-19T10:00:00"/>
    <s v="Tuesday"/>
    <x v="0"/>
    <n v="19.989999999999998"/>
    <n v="1"/>
    <s v="All Season"/>
  </r>
  <r>
    <s v="101-0003-9973"/>
    <x v="0"/>
    <x v="131"/>
    <s v="Tuesday"/>
    <d v="2024-03-19T10:00:00"/>
    <s v="Tuesday"/>
    <x v="0"/>
    <n v="19.989999999999998"/>
    <n v="1"/>
    <s v="All Season"/>
  </r>
  <r>
    <s v="101-0003-9980"/>
    <x v="0"/>
    <x v="131"/>
    <s v="Tuesday"/>
    <d v="2024-03-19T10:00:00"/>
    <s v="Tuesday"/>
    <x v="0"/>
    <n v="19.989999999999998"/>
    <n v="1"/>
    <s v="All Season"/>
  </r>
  <r>
    <s v="101-0004-0109"/>
    <x v="0"/>
    <x v="131"/>
    <s v="Tuesday"/>
    <d v="2024-03-19T10:00:00"/>
    <s v="Tuesday"/>
    <x v="1"/>
    <n v="39.979999999999997"/>
    <n v="2"/>
    <s v="All Season"/>
  </r>
  <r>
    <s v="101-0003-9888"/>
    <x v="0"/>
    <x v="132"/>
    <s v="Wednesday"/>
    <d v="2024-03-20T10:00:00"/>
    <s v="Wednesday"/>
    <x v="1"/>
    <n v="79.959999999999994"/>
    <n v="4"/>
    <s v="All Season"/>
  </r>
  <r>
    <s v="101-0004-0053"/>
    <x v="0"/>
    <x v="132"/>
    <s v="Wednesday"/>
    <d v="2024-03-20T10:00:00"/>
    <s v="Wednesday"/>
    <x v="0"/>
    <n v="19.989999999999998"/>
    <n v="1"/>
    <s v="All Season"/>
  </r>
  <r>
    <s v="101-0003-9889"/>
    <x v="0"/>
    <x v="133"/>
    <s v="Thursday"/>
    <d v="2024-03-21T10:00:00"/>
    <s v="Thursday"/>
    <x v="1"/>
    <n v="79.959999999999994"/>
    <n v="4"/>
    <s v="All Season"/>
  </r>
  <r>
    <s v="101-0004-0058"/>
    <x v="0"/>
    <x v="133"/>
    <s v="Thursday"/>
    <d v="2024-03-21T10:00:00"/>
    <s v="Thursday"/>
    <x v="0"/>
    <n v="19.989999999999998"/>
    <n v="1"/>
    <s v="All Season"/>
  </r>
  <r>
    <s v="101-0004-0082"/>
    <x v="0"/>
    <x v="133"/>
    <s v="Thursday"/>
    <d v="2024-03-21T10:00:00"/>
    <s v="Thursday"/>
    <x v="1"/>
    <n v="19.989999999999998"/>
    <n v="1"/>
    <s v="All Season"/>
  </r>
  <r>
    <s v="101-0004-0087"/>
    <x v="0"/>
    <x v="134"/>
    <s v="Thursday"/>
    <d v="2024-03-21T10:00:00"/>
    <s v="Thursday"/>
    <x v="0"/>
    <n v="19.989999999999998"/>
    <n v="1"/>
    <s v="All Season"/>
  </r>
  <r>
    <s v="101-0004-0089"/>
    <x v="0"/>
    <x v="135"/>
    <s v="Thursday"/>
    <d v="2024-03-21T10:00:00"/>
    <s v="Thursday"/>
    <x v="1"/>
    <n v="19.989999999999998"/>
    <n v="1"/>
    <s v="All Season"/>
  </r>
  <r>
    <s v="101-0004-0081"/>
    <x v="0"/>
    <x v="136"/>
    <s v="Friday"/>
    <d v="2024-03-22T10:00:00"/>
    <s v="Friday"/>
    <x v="0"/>
    <n v="19.989999999999998"/>
    <n v="1"/>
    <s v="All Season"/>
  </r>
  <r>
    <s v="101-0004-0129"/>
    <x v="0"/>
    <x v="136"/>
    <s v="Friday"/>
    <d v="2024-03-22T10:00:00"/>
    <s v="Friday"/>
    <x v="0"/>
    <n v="19.989999999999998"/>
    <n v="1"/>
    <s v="All Season"/>
  </r>
  <r>
    <s v="101-0004-0127"/>
    <x v="0"/>
    <x v="137"/>
    <s v="Friday"/>
    <d v="2024-03-22T10:00:00"/>
    <s v="Friday"/>
    <x v="0"/>
    <n v="19.989999999999998"/>
    <n v="1"/>
    <s v="All Season"/>
  </r>
  <r>
    <s v="101-0004-0128"/>
    <x v="0"/>
    <x v="138"/>
    <s v="Friday"/>
    <d v="2024-03-22T10:00:00"/>
    <s v="Friday"/>
    <x v="0"/>
    <n v="19.989999999999998"/>
    <n v="1"/>
    <s v="All Season"/>
  </r>
  <r>
    <s v="101-0003-9878"/>
    <x v="0"/>
    <x v="139"/>
    <s v="Saturday"/>
    <d v="2024-03-23T10:00:00"/>
    <s v="Saturday"/>
    <x v="0"/>
    <n v="24.99"/>
    <n v="1"/>
    <s v="All Season"/>
  </r>
  <r>
    <s v="101-0003-9968"/>
    <x v="0"/>
    <x v="139"/>
    <s v="Saturday"/>
    <d v="2024-03-23T10:00:00"/>
    <s v="Saturday"/>
    <x v="0"/>
    <n v="24.99"/>
    <n v="1"/>
    <s v="All Season"/>
  </r>
  <r>
    <s v="101-0003-9995"/>
    <x v="0"/>
    <x v="139"/>
    <s v="Saturday"/>
    <d v="2024-03-23T10:00:00"/>
    <s v="Saturday"/>
    <x v="0"/>
    <n v="24.99"/>
    <n v="1"/>
    <s v="All Season"/>
  </r>
  <r>
    <s v="101-0004-0130"/>
    <x v="0"/>
    <x v="139"/>
    <s v="Saturday"/>
    <d v="2024-03-23T10:00:00"/>
    <s v="Saturday"/>
    <x v="1"/>
    <n v="24.99"/>
    <n v="1"/>
    <s v="All Season"/>
  </r>
  <r>
    <s v="101-0004-0132"/>
    <x v="0"/>
    <x v="139"/>
    <s v="Saturday"/>
    <d v="2024-03-23T10:00:00"/>
    <s v="Saturday"/>
    <x v="0"/>
    <n v="49.98"/>
    <n v="2"/>
    <s v="All Season"/>
  </r>
  <r>
    <s v="101-0004-0138"/>
    <x v="0"/>
    <x v="139"/>
    <s v="Saturday"/>
    <d v="2024-03-23T10:00:00"/>
    <s v="Saturday"/>
    <x v="0"/>
    <n v="24.99"/>
    <n v="1"/>
    <s v="All Season"/>
  </r>
  <r>
    <s v="101-0003-9803"/>
    <x v="0"/>
    <x v="140"/>
    <s v="Sunday"/>
    <d v="2024-03-24T10:00:00"/>
    <s v="Sunday"/>
    <x v="0"/>
    <n v="24.99"/>
    <n v="1"/>
    <s v="All Season"/>
  </r>
  <r>
    <s v="101-0003-9804"/>
    <x v="0"/>
    <x v="140"/>
    <s v="Sunday"/>
    <d v="2024-03-24T10:00:00"/>
    <s v="Sunday"/>
    <x v="0"/>
    <n v="24.99"/>
    <n v="1"/>
    <s v="All Season"/>
  </r>
  <r>
    <s v="101-0004-0092"/>
    <x v="0"/>
    <x v="140"/>
    <s v="Sunday"/>
    <d v="2024-03-24T10:00:00"/>
    <s v="Sunday"/>
    <x v="0"/>
    <n v="24.99"/>
    <n v="1"/>
    <s v="All Season"/>
  </r>
  <r>
    <s v="101-0004-0133"/>
    <x v="0"/>
    <x v="140"/>
    <s v="Sunday"/>
    <d v="2024-03-24T10:00:00"/>
    <s v="Sunday"/>
    <x v="1"/>
    <n v="49.98"/>
    <n v="2"/>
    <s v="All Season"/>
  </r>
  <r>
    <s v="101-0004-0146"/>
    <x v="0"/>
    <x v="140"/>
    <s v="Sunday"/>
    <d v="2024-03-24T10:00:00"/>
    <s v="Sunday"/>
    <x v="0"/>
    <n v="24.99"/>
    <n v="1"/>
    <s v="All Season"/>
  </r>
  <r>
    <s v="101-0004-0147"/>
    <x v="0"/>
    <x v="140"/>
    <s v="Sunday"/>
    <d v="2024-03-24T10:00:00"/>
    <s v="Sunday"/>
    <x v="0"/>
    <n v="24.99"/>
    <n v="1"/>
    <s v="All Season"/>
  </r>
  <r>
    <s v="101-0003-9802"/>
    <x v="0"/>
    <x v="141"/>
    <s v="Sunday"/>
    <d v="2024-03-24T10:00:00"/>
    <s v="Sunday"/>
    <x v="0"/>
    <n v="24.99"/>
    <n v="1"/>
    <s v="All Season"/>
  </r>
  <r>
    <s v="101-0003-9766"/>
    <x v="0"/>
    <x v="142"/>
    <s v="Monday"/>
    <d v="2024-03-25T10:00:00"/>
    <s v="Monday"/>
    <x v="0"/>
    <n v="99.95"/>
    <n v="4"/>
    <s v="All Season"/>
  </r>
  <r>
    <s v="101-0003-9819"/>
    <x v="0"/>
    <x v="142"/>
    <s v="Monday"/>
    <d v="2024-03-25T10:00:00"/>
    <s v="Monday"/>
    <x v="0"/>
    <n v="19.989999999999998"/>
    <n v="1"/>
    <s v="All Season"/>
  </r>
  <r>
    <s v="101-0003-9861"/>
    <x v="0"/>
    <x v="142"/>
    <s v="Monday"/>
    <d v="2024-03-25T10:00:00"/>
    <s v="Monday"/>
    <x v="1"/>
    <n v="19.989999999999998"/>
    <n v="1"/>
    <s v="All Season"/>
  </r>
  <r>
    <s v="101-0003-9987"/>
    <x v="0"/>
    <x v="142"/>
    <s v="Monday"/>
    <d v="2024-03-25T10:00:00"/>
    <s v="Monday"/>
    <x v="1"/>
    <n v="19.989999999999998"/>
    <n v="1"/>
    <s v="All Season"/>
  </r>
  <r>
    <s v="101-0004-0144"/>
    <x v="0"/>
    <x v="142"/>
    <s v="Monday"/>
    <d v="2024-03-25T10:00:00"/>
    <s v="Monday"/>
    <x v="0"/>
    <n v="19.989999999999998"/>
    <n v="1"/>
    <s v="All Season"/>
  </r>
  <r>
    <s v="101-0003-9765"/>
    <x v="0"/>
    <x v="143"/>
    <s v="Tuesday"/>
    <d v="2024-03-26T10:00:00"/>
    <s v="Tuesday"/>
    <x v="1"/>
    <n v="99.95"/>
    <n v="4"/>
    <s v="All Season"/>
  </r>
  <r>
    <s v="101-0003-9828"/>
    <x v="0"/>
    <x v="143"/>
    <s v="Tuesday"/>
    <d v="2024-03-26T10:00:00"/>
    <s v="Tuesday"/>
    <x v="0"/>
    <n v="19.989999999999998"/>
    <n v="1"/>
    <s v="All Season"/>
  </r>
  <r>
    <s v="101-0003-9880"/>
    <x v="0"/>
    <x v="143"/>
    <s v="Tuesday"/>
    <d v="2024-03-26T10:00:00"/>
    <s v="Tuesday"/>
    <x v="1"/>
    <n v="19.989999999999998"/>
    <n v="1"/>
    <s v="All Season"/>
  </r>
  <r>
    <s v="101-0003-9988"/>
    <x v="0"/>
    <x v="143"/>
    <s v="Tuesday"/>
    <d v="2024-03-26T10:00:00"/>
    <s v="Tuesday"/>
    <x v="1"/>
    <n v="39.979999999999997"/>
    <n v="2"/>
    <s v="All Season"/>
  </r>
  <r>
    <s v="101-0004-0115"/>
    <x v="0"/>
    <x v="143"/>
    <s v="Tuesday"/>
    <d v="2024-03-26T10:00:00"/>
    <s v="Tuesday"/>
    <x v="1"/>
    <n v="39.979999999999997"/>
    <n v="2"/>
    <s v="All Season"/>
  </r>
  <r>
    <s v="101-0004-0131"/>
    <x v="0"/>
    <x v="143"/>
    <s v="Tuesday"/>
    <d v="2024-03-26T10:00:00"/>
    <s v="Tuesday"/>
    <x v="0"/>
    <n v="19.989999999999998"/>
    <n v="1"/>
    <s v="All Season"/>
  </r>
  <r>
    <s v="101-0003-9868"/>
    <x v="0"/>
    <x v="144"/>
    <s v="Tuesday"/>
    <d v="2024-03-26T10:00:00"/>
    <s v="Tuesday"/>
    <x v="0"/>
    <n v="19.989999999999998"/>
    <n v="1"/>
    <s v="All Season"/>
  </r>
  <r>
    <s v="101-0003-9879"/>
    <x v="0"/>
    <x v="145"/>
    <s v="Tuesday"/>
    <d v="2024-03-26T10:00:00"/>
    <s v="Tuesday"/>
    <x v="1"/>
    <n v="19.989999999999998"/>
    <n v="1"/>
    <s v="All Season"/>
  </r>
  <r>
    <s v="101-0003-9767"/>
    <x v="0"/>
    <x v="146"/>
    <s v="Wednesday"/>
    <d v="2024-03-27T10:00:00"/>
    <s v="Wednesday"/>
    <x v="1"/>
    <n v="99.95"/>
    <n v="4"/>
    <s v="All Season"/>
  </r>
  <r>
    <s v="101-0003-9899"/>
    <x v="0"/>
    <x v="146"/>
    <s v="Wednesday"/>
    <d v="2024-03-27T10:00:00"/>
    <s v="Wednesday"/>
    <x v="0"/>
    <n v="19.989999999999998"/>
    <n v="1"/>
    <s v="All Season"/>
  </r>
  <r>
    <s v="101-0003-9901"/>
    <x v="0"/>
    <x v="146"/>
    <s v="Wednesday"/>
    <d v="2024-03-27T10:00:00"/>
    <s v="Wednesday"/>
    <x v="0"/>
    <n v="39.979999999999997"/>
    <n v="2"/>
    <s v="All Season"/>
  </r>
  <r>
    <s v="101-0003-9921"/>
    <x v="0"/>
    <x v="146"/>
    <s v="Wednesday"/>
    <d v="2024-03-27T10:00:00"/>
    <s v="Wednesday"/>
    <x v="0"/>
    <n v="19.989999999999998"/>
    <n v="1"/>
    <s v="All Season"/>
  </r>
  <r>
    <s v="101-0003-9989"/>
    <x v="0"/>
    <x v="146"/>
    <s v="Wednesday"/>
    <d v="2024-03-27T10:00:00"/>
    <s v="Wednesday"/>
    <x v="1"/>
    <n v="39.979999999999997"/>
    <n v="2"/>
    <s v="All Season"/>
  </r>
  <r>
    <s v="101-0004-0078"/>
    <x v="0"/>
    <x v="146"/>
    <s v="Wednesday"/>
    <d v="2024-03-27T10:00:00"/>
    <s v="Wednesday"/>
    <x v="0"/>
    <n v="39.979999999999997"/>
    <n v="2"/>
    <s v="All Season"/>
  </r>
  <r>
    <s v="101-0004-0116"/>
    <x v="0"/>
    <x v="146"/>
    <s v="Wednesday"/>
    <d v="2024-03-27T10:00:00"/>
    <s v="Wednesday"/>
    <x v="1"/>
    <n v="39.979999999999997"/>
    <n v="2"/>
    <s v="All Season"/>
  </r>
  <r>
    <s v="101-0004-0137"/>
    <x v="0"/>
    <x v="146"/>
    <s v="Wednesday"/>
    <d v="2024-03-27T10:00:00"/>
    <s v="Wednesday"/>
    <x v="0"/>
    <n v="19.989999999999998"/>
    <n v="1"/>
    <s v="All Season"/>
  </r>
  <r>
    <s v="101-0004-0142"/>
    <x v="0"/>
    <x v="146"/>
    <s v="Wednesday"/>
    <d v="2024-03-27T10:00:00"/>
    <s v="Wednesday"/>
    <x v="0"/>
    <n v="19.989999999999998"/>
    <n v="1"/>
    <s v="All Season"/>
  </r>
  <r>
    <s v="101-0003-9919"/>
    <x v="0"/>
    <x v="147"/>
    <s v="Wednesday"/>
    <d v="2024-03-27T10:00:00"/>
    <s v="Wednesday"/>
    <x v="1"/>
    <n v="19.989999999999998"/>
    <n v="1"/>
    <s v="All Season"/>
  </r>
  <r>
    <s v="101-0003-9920"/>
    <x v="0"/>
    <x v="148"/>
    <s v="Wednesday"/>
    <d v="2024-03-27T10:00:00"/>
    <s v="Wednesday"/>
    <x v="0"/>
    <n v="19.989999999999998"/>
    <n v="1"/>
    <s v="All Season"/>
  </r>
  <r>
    <s v="101-0003-9768"/>
    <x v="0"/>
    <x v="149"/>
    <s v="Thursday"/>
    <d v="2024-03-28T10:00:00"/>
    <s v="Thursday"/>
    <x v="1"/>
    <n v="99.95"/>
    <n v="4"/>
    <s v="All Season"/>
  </r>
  <r>
    <s v="101-0003-9902"/>
    <x v="0"/>
    <x v="149"/>
    <s v="Thursday"/>
    <d v="2024-03-28T10:00:00"/>
    <s v="Thursday"/>
    <x v="1"/>
    <n v="39.979999999999997"/>
    <n v="2"/>
    <s v="All Season"/>
  </r>
  <r>
    <s v="101-0003-9911"/>
    <x v="0"/>
    <x v="149"/>
    <s v="Thursday"/>
    <d v="2024-03-28T10:00:00"/>
    <s v="Thursday"/>
    <x v="0"/>
    <n v="19.989999999999998"/>
    <n v="1"/>
    <s v="All Season"/>
  </r>
  <r>
    <s v="101-0003-9922"/>
    <x v="0"/>
    <x v="149"/>
    <s v="Thursday"/>
    <d v="2024-03-28T10:00:00"/>
    <s v="Thursday"/>
    <x v="0"/>
    <n v="19.989999999999998"/>
    <n v="1"/>
    <s v="All Season"/>
  </r>
  <r>
    <s v="101-0003-9927"/>
    <x v="0"/>
    <x v="149"/>
    <s v="Thursday"/>
    <d v="2024-03-28T10:00:00"/>
    <s v="Thursday"/>
    <x v="0"/>
    <n v="19.989999999999998"/>
    <n v="1"/>
    <s v="All Season"/>
  </r>
  <r>
    <s v="101-0003-9930"/>
    <x v="0"/>
    <x v="149"/>
    <s v="Thursday"/>
    <d v="2024-03-28T10:00:00"/>
    <s v="Thursday"/>
    <x v="0"/>
    <n v="19.989999999999998"/>
    <n v="1"/>
    <s v="All Season"/>
  </r>
  <r>
    <s v="101-0003-9935"/>
    <x v="0"/>
    <x v="149"/>
    <s v="Thursday"/>
    <d v="2024-03-28T10:00:00"/>
    <s v="Thursday"/>
    <x v="0"/>
    <n v="39.979999999999997"/>
    <n v="2"/>
    <s v="All Season"/>
  </r>
  <r>
    <s v="101-0003-9945"/>
    <x v="0"/>
    <x v="149"/>
    <s v="Thursday"/>
    <d v="2024-03-28T10:00:00"/>
    <s v="Thursday"/>
    <x v="0"/>
    <n v="19.989999999999998"/>
    <n v="1"/>
    <s v="All Season"/>
  </r>
  <r>
    <s v="101-0003-9948"/>
    <x v="0"/>
    <x v="149"/>
    <s v="Thursday"/>
    <d v="2024-03-28T10:00:00"/>
    <s v="Thursday"/>
    <x v="1"/>
    <n v="19.989999999999998"/>
    <n v="1"/>
    <s v="All Season"/>
  </r>
  <r>
    <s v="101-0004-0017"/>
    <x v="0"/>
    <x v="149"/>
    <s v="Thursday"/>
    <d v="2024-03-28T10:00:00"/>
    <s v="Thursday"/>
    <x v="0"/>
    <n v="19.989999999999998"/>
    <n v="1"/>
    <s v="All Season"/>
  </r>
  <r>
    <s v="101-0004-0093"/>
    <x v="0"/>
    <x v="149"/>
    <s v="Thursday"/>
    <d v="2024-03-28T10:00:00"/>
    <s v="Thursday"/>
    <x v="1"/>
    <n v="39.979999999999997"/>
    <n v="2"/>
    <s v="All Season"/>
  </r>
  <r>
    <s v="101-0003-9952"/>
    <x v="0"/>
    <x v="150"/>
    <s v="Thursday"/>
    <d v="2024-03-28T10:00:00"/>
    <s v="Thursday"/>
    <x v="1"/>
    <n v="19.989999999999998"/>
    <n v="1"/>
    <s v="All Season"/>
  </r>
  <r>
    <s v="101-0003-9769"/>
    <x v="0"/>
    <x v="151"/>
    <s v="Friday"/>
    <d v="2024-03-29T10:00:00"/>
    <s v="Friday"/>
    <x v="1"/>
    <n v="99.95"/>
    <n v="4"/>
    <s v="All Season"/>
  </r>
  <r>
    <s v="101-0003-9936"/>
    <x v="0"/>
    <x v="151"/>
    <s v="Friday"/>
    <d v="2024-03-29T10:00:00"/>
    <s v="Friday"/>
    <x v="1"/>
    <n v="39.979999999999997"/>
    <n v="2"/>
    <s v="All Season"/>
  </r>
  <r>
    <s v="101-0003-9941"/>
    <x v="0"/>
    <x v="151"/>
    <s v="Friday"/>
    <d v="2024-03-29T10:00:00"/>
    <s v="Friday"/>
    <x v="1"/>
    <n v="19.989999999999998"/>
    <n v="1"/>
    <s v="All Season"/>
  </r>
  <r>
    <s v="101-0003-9967"/>
    <x v="0"/>
    <x v="151"/>
    <s v="Friday"/>
    <d v="2024-03-29T10:00:00"/>
    <s v="Friday"/>
    <x v="0"/>
    <n v="19.989999999999998"/>
    <n v="1"/>
    <s v="All Season"/>
  </r>
  <r>
    <s v="101-0003-9975"/>
    <x v="0"/>
    <x v="151"/>
    <s v="Friday"/>
    <d v="2024-03-29T10:00:00"/>
    <s v="Friday"/>
    <x v="0"/>
    <n v="19.989999999999998"/>
    <n v="1"/>
    <s v="All Season"/>
  </r>
  <r>
    <s v="101-0003-9976"/>
    <x v="0"/>
    <x v="151"/>
    <s v="Friday"/>
    <d v="2024-03-29T10:00:00"/>
    <s v="Friday"/>
    <x v="0"/>
    <n v="19.989999999999998"/>
    <n v="1"/>
    <s v="All Season"/>
  </r>
  <r>
    <s v="101-0003-9993"/>
    <x v="0"/>
    <x v="151"/>
    <s v="Friday"/>
    <d v="2024-03-29T10:00:00"/>
    <s v="Friday"/>
    <x v="0"/>
    <n v="19.989999999999998"/>
    <n v="1"/>
    <s v="All Season"/>
  </r>
  <r>
    <s v="101-0003-9998"/>
    <x v="0"/>
    <x v="151"/>
    <s v="Friday"/>
    <d v="2024-03-29T10:00:00"/>
    <s v="Friday"/>
    <x v="0"/>
    <n v="24.99"/>
    <n v="1"/>
    <s v="All Season"/>
  </r>
  <r>
    <s v="101-0003-9999"/>
    <x v="0"/>
    <x v="151"/>
    <s v="Friday"/>
    <d v="2024-03-29T10:00:00"/>
    <s v="Friday"/>
    <x v="0"/>
    <n v="24.99"/>
    <n v="1"/>
    <s v="All Season"/>
  </r>
  <r>
    <s v="101-0004-0014"/>
    <x v="0"/>
    <x v="151"/>
    <s v="Friday"/>
    <d v="2024-03-29T10:00:00"/>
    <s v="Friday"/>
    <x v="1"/>
    <n v="19.989999999999998"/>
    <n v="1"/>
    <s v="All Season"/>
  </r>
  <r>
    <s v="101-0004-0071"/>
    <x v="0"/>
    <x v="151"/>
    <s v="Friday"/>
    <d v="2024-03-29T10:00:00"/>
    <s v="Friday"/>
    <x v="1"/>
    <n v="19.989999999999998"/>
    <n v="1"/>
    <s v="All Season"/>
  </r>
  <r>
    <s v="101-0003-9990"/>
    <x v="0"/>
    <x v="152"/>
    <s v="Friday"/>
    <d v="2024-03-29T10:00:00"/>
    <s v="Friday"/>
    <x v="0"/>
    <n v="24.99"/>
    <n v="1"/>
    <s v="All Season"/>
  </r>
  <r>
    <s v="101-0003-9991"/>
    <x v="0"/>
    <x v="153"/>
    <s v="Friday"/>
    <d v="2024-03-29T10:00:00"/>
    <s v="Friday"/>
    <x v="1"/>
    <n v="24.99"/>
    <n v="1"/>
    <s v="All Season"/>
  </r>
  <r>
    <s v="101-0003-9992"/>
    <x v="0"/>
    <x v="154"/>
    <s v="Friday"/>
    <d v="2024-03-29T10:00:00"/>
    <s v="Friday"/>
    <x v="1"/>
    <n v="24.99"/>
    <n v="1"/>
    <s v="All Season"/>
  </r>
  <r>
    <s v="101-0003-9994"/>
    <x v="0"/>
    <x v="155"/>
    <s v="Friday"/>
    <d v="2024-03-29T10:00:00"/>
    <s v="Friday"/>
    <x v="1"/>
    <n v="24.99"/>
    <n v="1"/>
    <s v="All Season"/>
  </r>
  <r>
    <s v="101-0003-9996"/>
    <x v="0"/>
    <x v="156"/>
    <s v="Friday"/>
    <d v="2024-03-29T10:00:00"/>
    <s v="Friday"/>
    <x v="0"/>
    <n v="24.99"/>
    <n v="1"/>
    <s v="All Season"/>
  </r>
  <r>
    <s v="101-0003-9801"/>
    <x v="0"/>
    <x v="157"/>
    <s v="Saturday"/>
    <d v="2024-03-30T10:00:00"/>
    <s v="Saturday"/>
    <x v="1"/>
    <n v="24.99"/>
    <n v="1"/>
    <s v="All Season"/>
  </r>
  <r>
    <s v="101-0003-9882"/>
    <x v="0"/>
    <x v="157"/>
    <s v="Saturday"/>
    <d v="2024-03-30T10:00:00"/>
    <s v="Saturday"/>
    <x v="0"/>
    <n v="24.99"/>
    <n v="1"/>
    <s v="All Season"/>
  </r>
  <r>
    <s v="101-0003-9909"/>
    <x v="0"/>
    <x v="157"/>
    <s v="Saturday"/>
    <d v="2024-03-30T10:00:00"/>
    <s v="Saturday"/>
    <x v="0"/>
    <n v="24.99"/>
    <n v="1"/>
    <s v="All Season"/>
  </r>
  <r>
    <s v="101-0003-9910"/>
    <x v="0"/>
    <x v="157"/>
    <s v="Saturday"/>
    <d v="2024-03-30T10:00:00"/>
    <s v="Saturday"/>
    <x v="0"/>
    <n v="24.99"/>
    <n v="1"/>
    <s v="All Season"/>
  </r>
  <r>
    <s v="101-0003-9918"/>
    <x v="0"/>
    <x v="157"/>
    <s v="Saturday"/>
    <d v="2024-03-30T10:00:00"/>
    <s v="Saturday"/>
    <x v="0"/>
    <n v="24.99"/>
    <n v="1"/>
    <s v="All Season"/>
  </r>
  <r>
    <s v="101-0003-9957"/>
    <x v="0"/>
    <x v="157"/>
    <s v="Saturday"/>
    <d v="2024-03-30T10:00:00"/>
    <s v="Saturday"/>
    <x v="1"/>
    <n v="24.99"/>
    <n v="1"/>
    <s v="All Season"/>
  </r>
  <r>
    <s v="101-0004-0000"/>
    <x v="0"/>
    <x v="157"/>
    <s v="Saturday"/>
    <d v="2024-03-30T10:00:00"/>
    <s v="Saturday"/>
    <x v="0"/>
    <n v="24.99"/>
    <n v="1"/>
    <s v="All Season"/>
  </r>
  <r>
    <s v="101-0004-0002"/>
    <x v="0"/>
    <x v="157"/>
    <s v="Saturday"/>
    <d v="2024-03-30T10:00:00"/>
    <s v="Saturday"/>
    <x v="1"/>
    <n v="24.99"/>
    <n v="1"/>
    <s v="All Season"/>
  </r>
  <r>
    <s v="101-0004-0003"/>
    <x v="0"/>
    <x v="157"/>
    <s v="Saturday"/>
    <d v="2024-03-30T10:00:00"/>
    <s v="Saturday"/>
    <x v="0"/>
    <n v="24.99"/>
    <n v="1"/>
    <s v="All Season"/>
  </r>
  <r>
    <s v="101-0004-0006"/>
    <x v="0"/>
    <x v="157"/>
    <s v="Saturday"/>
    <d v="2024-03-30T10:00:00"/>
    <s v="Saturday"/>
    <x v="0"/>
    <n v="24.99"/>
    <n v="1"/>
    <s v="All Season"/>
  </r>
  <r>
    <s v="101-0004-0122"/>
    <x v="0"/>
    <x v="157"/>
    <s v="Saturday"/>
    <d v="2024-03-30T10:00:00"/>
    <s v="Saturday"/>
    <x v="0"/>
    <n v="24.99"/>
    <n v="1"/>
    <s v="All Season"/>
  </r>
  <r>
    <s v="101-0004-0005"/>
    <x v="0"/>
    <x v="158"/>
    <s v="Saturday"/>
    <d v="2024-03-30T10:00:00"/>
    <s v="Saturday"/>
    <x v="1"/>
    <n v="24.99"/>
    <n v="1"/>
    <s v="All Season"/>
  </r>
  <r>
    <s v="101-0004-0019"/>
    <x v="0"/>
    <x v="159"/>
    <s v="Sunday"/>
    <d v="2024-03-31T10:00:00"/>
    <s v="Sunday"/>
    <x v="1"/>
    <n v="24.99"/>
    <n v="1"/>
    <s v="All Season"/>
  </r>
  <r>
    <s v="101-0004-0023"/>
    <x v="0"/>
    <x v="160"/>
    <s v="Monday"/>
    <d v="2024-04-01T10:00:00"/>
    <s v="Monday"/>
    <x v="1"/>
    <n v="39.979999999999997"/>
    <n v="2"/>
    <s v="All Season"/>
  </r>
  <r>
    <s v="101-0004-0024"/>
    <x v="0"/>
    <x v="161"/>
    <s v="Tuesday"/>
    <d v="2024-04-02T10:00:00"/>
    <s v="Tuesday"/>
    <x v="1"/>
    <n v="39.979999999999997"/>
    <n v="2"/>
    <s v="All Season"/>
  </r>
  <r>
    <s v="101-0003-9834"/>
    <x v="0"/>
    <x v="162"/>
    <s v="Thursday"/>
    <d v="2024-04-04T10:00:00"/>
    <s v="Thursday"/>
    <x v="0"/>
    <n v="19.989999999999998"/>
    <n v="1"/>
    <s v="All Season"/>
  </r>
  <r>
    <s v="101-0003-9826"/>
    <x v="0"/>
    <x v="163"/>
    <s v="Saturday"/>
    <d v="2024-04-06T10:00:00"/>
    <s v="Saturday"/>
    <x v="0"/>
    <n v="24.99"/>
    <n v="1"/>
    <s v="All Season"/>
  </r>
  <r>
    <s v="101-0003-9884"/>
    <x v="0"/>
    <x v="163"/>
    <s v="Saturday"/>
    <d v="2024-04-06T10:00:00"/>
    <s v="Saturday"/>
    <x v="0"/>
    <n v="24.99"/>
    <n v="1"/>
    <s v="All Season"/>
  </r>
  <r>
    <s v="101-0003-9885"/>
    <x v="0"/>
    <x v="163"/>
    <s v="Saturday"/>
    <d v="2024-04-06T10:00:00"/>
    <s v="Saturday"/>
    <x v="0"/>
    <n v="24.99"/>
    <n v="1"/>
    <s v="All Season"/>
  </r>
  <r>
    <s v="101-0004-0054"/>
    <x v="0"/>
    <x v="163"/>
    <s v="Saturday"/>
    <d v="2024-04-06T10:00:00"/>
    <s v="Saturday"/>
    <x v="0"/>
    <n v="49.98"/>
    <n v="2"/>
    <s v="All Season"/>
  </r>
  <r>
    <s v="101-0003-9891"/>
    <x v="0"/>
    <x v="164"/>
    <s v="Saturday"/>
    <d v="2024-04-06T10:00:00"/>
    <s v="Saturday"/>
    <x v="0"/>
    <n v="24.99"/>
    <n v="1"/>
    <s v="All Season"/>
  </r>
  <r>
    <s v="101-0003-9892"/>
    <x v="0"/>
    <x v="165"/>
    <s v="Sunday"/>
    <d v="2024-04-07T10:00:00"/>
    <s v="Sunday"/>
    <x v="0"/>
    <n v="24.99"/>
    <n v="1"/>
    <s v="All Season"/>
  </r>
  <r>
    <s v="101-0004-0055"/>
    <x v="0"/>
    <x v="165"/>
    <s v="Sunday"/>
    <d v="2024-04-07T10:00:00"/>
    <s v="Sunday"/>
    <x v="1"/>
    <n v="49.98"/>
    <n v="2"/>
    <s v="All Season"/>
  </r>
  <r>
    <s v="101-0004-0052"/>
    <x v="0"/>
    <x v="166"/>
    <s v="Thursday"/>
    <d v="2024-04-11T10:00:00"/>
    <s v="Thursday"/>
    <x v="0"/>
    <n v="19.989999999999998"/>
    <n v="1"/>
    <s v="All Season"/>
  </r>
  <r>
    <s v="101-0004-0073"/>
    <x v="0"/>
    <x v="167"/>
    <s v="Saturday"/>
    <d v="2024-04-13T10:00:00"/>
    <s v="Saturday"/>
    <x v="0"/>
    <n v="24.99"/>
    <n v="1"/>
    <s v="All Season"/>
  </r>
  <r>
    <s v="101-0004-0113"/>
    <x v="0"/>
    <x v="168"/>
    <s v="Wednesday"/>
    <d v="2024-04-17T10:00:00"/>
    <s v="Wednesday"/>
    <x v="0"/>
    <n v="19.989999999999998"/>
    <n v="1"/>
    <s v="All Season"/>
  </r>
  <r>
    <s v="101-0004-0038"/>
    <x v="0"/>
    <x v="169"/>
    <s v="Friday"/>
    <d v="2024-04-19T10:00:00"/>
    <s v="Friday"/>
    <x v="0"/>
    <n v="19.989999999999998"/>
    <n v="1"/>
    <s v="All Season"/>
  </r>
  <r>
    <s v="101-0003-9923"/>
    <x v="0"/>
    <x v="170"/>
    <s v="Saturday"/>
    <d v="2024-04-20T10:00:00"/>
    <s v="Saturday"/>
    <x v="0"/>
    <n v="24.99"/>
    <n v="1"/>
    <s v="All Season"/>
  </r>
  <r>
    <s v="101-0004-0048"/>
    <x v="0"/>
    <x v="170"/>
    <s v="Saturday"/>
    <d v="2024-04-20T10:00:00"/>
    <s v="Saturday"/>
    <x v="1"/>
    <n v="49.98"/>
    <n v="2"/>
    <s v="All Season"/>
  </r>
  <r>
    <s v="101-0004-0050"/>
    <x v="0"/>
    <x v="171"/>
    <s v="Saturday"/>
    <d v="2024-04-20T10:00:00"/>
    <s v="Saturday"/>
    <x v="0"/>
    <n v="24.99"/>
    <n v="1"/>
    <s v="All Season"/>
  </r>
  <r>
    <s v="101-0004-0049"/>
    <x v="0"/>
    <x v="172"/>
    <s v="Sunday"/>
    <d v="2024-04-21T10:00:00"/>
    <s v="Sunday"/>
    <x v="1"/>
    <n v="49.98"/>
    <n v="2"/>
    <s v="All Season"/>
  </r>
  <r>
    <s v="101-0003-9807"/>
    <x v="0"/>
    <x v="173"/>
    <s v="Tuesday"/>
    <d v="2024-04-23T10:00:00"/>
    <s v="Tuesday"/>
    <x v="0"/>
    <n v="19.989999999999998"/>
    <n v="1"/>
    <s v="All Season"/>
  </r>
  <r>
    <s v="101-0004-0062"/>
    <x v="0"/>
    <x v="174"/>
    <s v="Monday"/>
    <d v="2024-04-29T10:00:00"/>
    <s v="Monday"/>
    <x v="0"/>
    <n v="19.989999999999998"/>
    <n v="1"/>
    <s v="All Season"/>
  </r>
  <r>
    <s v="101-0004-0063"/>
    <x v="0"/>
    <x v="174"/>
    <s v="Monday"/>
    <d v="2024-04-29T10:00:00"/>
    <s v="Monday"/>
    <x v="1"/>
    <n v="19.989999999999998"/>
    <n v="1"/>
    <s v="All Season"/>
  </r>
  <r>
    <s v="101-0004-0064"/>
    <x v="0"/>
    <x v="174"/>
    <s v="Monday"/>
    <d v="2024-04-29T10:00:00"/>
    <s v="Monday"/>
    <x v="1"/>
    <n v="19.989999999999998"/>
    <n v="1"/>
    <s v="All Season"/>
  </r>
  <r>
    <s v="101-0004-0065"/>
    <x v="0"/>
    <x v="174"/>
    <s v="Monday"/>
    <d v="2024-04-29T10:00:00"/>
    <s v="Monday"/>
    <x v="1"/>
    <n v="19.989999999999998"/>
    <n v="1"/>
    <s v="All Season"/>
  </r>
  <r>
    <s v="101-0004-0066"/>
    <x v="0"/>
    <x v="174"/>
    <s v="Monday"/>
    <d v="2024-04-29T10:00:00"/>
    <s v="Monday"/>
    <x v="1"/>
    <n v="19.989999999999998"/>
    <n v="1"/>
    <s v="All Season"/>
  </r>
  <r>
    <s v="101-0003-9881"/>
    <x v="0"/>
    <x v="175"/>
    <s v="Wednesday"/>
    <d v="2024-05-01T10:00:00"/>
    <s v="Wednesday"/>
    <x v="0"/>
    <n v="19.989999999999998"/>
    <n v="1"/>
    <s v="All Season"/>
  </r>
  <r>
    <s v="101-0004-0051"/>
    <x v="0"/>
    <x v="176"/>
    <s v="Friday"/>
    <d v="2024-05-03T10:00:00"/>
    <s v="Friday"/>
    <x v="1"/>
    <n v="19.989999999999998"/>
    <n v="1"/>
    <s v="All Season"/>
  </r>
  <r>
    <s v="101-0004-0314"/>
    <x v="1"/>
    <x v="177"/>
    <s v="Wednesday"/>
    <d v="2024-11-27T10:00:00"/>
    <s v="Wednesday"/>
    <x v="0"/>
    <n v="19.989999999999998"/>
    <n v="1"/>
    <s v="All Season"/>
  </r>
  <r>
    <s v="101-0004-0311"/>
    <x v="1"/>
    <x v="178"/>
    <s v="Saturday"/>
    <d v="2024-11-30T10:00:00"/>
    <s v="Saturday"/>
    <x v="0"/>
    <n v="24.99"/>
    <n v="1"/>
    <s v="All Season"/>
  </r>
  <r>
    <s v="101-0004-0335"/>
    <x v="1"/>
    <x v="179"/>
    <s v="Thursday"/>
    <d v="2024-12-05T10:00:00"/>
    <s v="Thursday"/>
    <x v="0"/>
    <n v="19.989999999999998"/>
    <n v="1"/>
    <s v="All Season"/>
  </r>
  <r>
    <s v="101-0003-9859"/>
    <x v="1"/>
    <x v="180"/>
    <s v="Saturday"/>
    <d v="2024-12-14T10:00:00"/>
    <s v="Saturday"/>
    <x v="0"/>
    <n v="24.99"/>
    <n v="1"/>
    <s v="All Season"/>
  </r>
  <r>
    <s v="101-0004-0310"/>
    <x v="1"/>
    <x v="180"/>
    <s v="Saturday"/>
    <d v="2024-12-14T10:00:00"/>
    <s v="Saturday"/>
    <x v="0"/>
    <n v="24.99"/>
    <n v="1"/>
    <s v="All Season"/>
  </r>
  <r>
    <s v="101-0003-9906"/>
    <x v="1"/>
    <x v="181"/>
    <s v="Wednesday"/>
    <d v="2024-12-18T10:00:00"/>
    <s v="Wednesday"/>
    <x v="0"/>
    <n v="19.989999999999998"/>
    <n v="1"/>
    <s v="All Season"/>
  </r>
  <r>
    <s v="101-0004-0265"/>
    <x v="1"/>
    <x v="182"/>
    <s v="Saturday"/>
    <d v="2024-12-21T10:00:00"/>
    <s v="Saturday"/>
    <x v="1"/>
    <n v="24.99"/>
    <n v="1"/>
    <s v="All Season"/>
  </r>
  <r>
    <s v="101-0004-0007"/>
    <x v="1"/>
    <x v="183"/>
    <s v="Sunday"/>
    <d v="2024-12-22T10:00:00"/>
    <s v="Sunday"/>
    <x v="0"/>
    <n v="24.99"/>
    <n v="1"/>
    <s v="All Season"/>
  </r>
  <r>
    <s v="101-0004-0008"/>
    <x v="1"/>
    <x v="183"/>
    <s v="Sunday"/>
    <d v="2024-12-22T10:00:00"/>
    <s v="Sunday"/>
    <x v="1"/>
    <n v="24.99"/>
    <n v="1"/>
    <s v="All Season"/>
  </r>
  <r>
    <s v="101-0003-9940"/>
    <x v="1"/>
    <x v="184"/>
    <s v="Monday"/>
    <d v="2024-12-23T10:00:00"/>
    <s v="Monday"/>
    <x v="0"/>
    <n v="19.989999999999998"/>
    <n v="1"/>
    <s v="All Season"/>
  </r>
  <r>
    <s v="101-0004-0266"/>
    <x v="1"/>
    <x v="185"/>
    <s v="Friday"/>
    <d v="2024-12-27T10:00:00"/>
    <s v="Friday"/>
    <x v="0"/>
    <n v="19.989999999999998"/>
    <n v="1"/>
    <s v="All Season"/>
  </r>
  <r>
    <s v="101-0004-0269"/>
    <x v="1"/>
    <x v="185"/>
    <s v="Friday"/>
    <d v="2024-12-27T10:00:00"/>
    <s v="Friday"/>
    <x v="1"/>
    <n v="19.989999999999998"/>
    <n v="1"/>
    <s v="All Season"/>
  </r>
  <r>
    <s v="101-0004-0273"/>
    <x v="1"/>
    <x v="185"/>
    <s v="Friday"/>
    <d v="2024-12-27T10:00:00"/>
    <s v="Friday"/>
    <x v="1"/>
    <n v="19.989999999999998"/>
    <n v="1"/>
    <s v="All Season"/>
  </r>
  <r>
    <s v="101-0004-0275"/>
    <x v="1"/>
    <x v="185"/>
    <s v="Friday"/>
    <d v="2024-12-27T10:00:00"/>
    <s v="Friday"/>
    <x v="0"/>
    <n v="19.989999999999998"/>
    <n v="1"/>
    <s v="All Season"/>
  </r>
  <r>
    <s v="101-0004-0279"/>
    <x v="1"/>
    <x v="185"/>
    <s v="Friday"/>
    <d v="2024-12-27T10:00:00"/>
    <s v="Friday"/>
    <x v="0"/>
    <n v="19.989999999999998"/>
    <n v="1"/>
    <s v="All Season"/>
  </r>
  <r>
    <s v="101-0004-0276"/>
    <x v="1"/>
    <x v="186"/>
    <s v="Friday"/>
    <d v="2024-12-27T10:00:00"/>
    <s v="Friday"/>
    <x v="0"/>
    <n v="19.989999999999998"/>
    <n v="1"/>
    <s v="All Season"/>
  </r>
  <r>
    <s v="101-0004-0277"/>
    <x v="1"/>
    <x v="187"/>
    <s v="Friday"/>
    <d v="2024-12-27T10:00:00"/>
    <s v="Friday"/>
    <x v="1"/>
    <n v="19.989999999999998"/>
    <n v="1"/>
    <s v="All Season"/>
  </r>
  <r>
    <s v="101-0004-0300"/>
    <x v="1"/>
    <x v="188"/>
    <s v="Saturday"/>
    <d v="2024-12-28T16:59:00"/>
    <s v="Saturday"/>
    <x v="0"/>
    <n v="1"/>
    <n v="1"/>
    <s v="All Season"/>
  </r>
  <r>
    <s v="101-0004-0272"/>
    <x v="1"/>
    <x v="189"/>
    <s v="Saturday"/>
    <d v="2024-12-28T10:00:00"/>
    <s v="Saturday"/>
    <x v="0"/>
    <n v="49.98"/>
    <n v="2"/>
    <s v="All Season"/>
  </r>
  <r>
    <s v="101-0004-0278"/>
    <x v="1"/>
    <x v="189"/>
    <s v="Saturday"/>
    <d v="2024-12-28T10:00:00"/>
    <s v="Saturday"/>
    <x v="1"/>
    <n v="24.99"/>
    <n v="1"/>
    <s v="All Season"/>
  </r>
  <r>
    <s v="101-0004-0284"/>
    <x v="1"/>
    <x v="189"/>
    <s v="Saturday"/>
    <d v="2024-12-28T10:00:00"/>
    <s v="Saturday"/>
    <x v="1"/>
    <n v="24.99"/>
    <n v="1"/>
    <s v="All Season"/>
  </r>
  <r>
    <s v="101-0004-0289"/>
    <x v="1"/>
    <x v="189"/>
    <s v="Saturday"/>
    <d v="2024-12-28T10:00:00"/>
    <s v="Saturday"/>
    <x v="0"/>
    <n v="24.99"/>
    <n v="1"/>
    <s v="All Season"/>
  </r>
  <r>
    <s v="101-0004-0290"/>
    <x v="1"/>
    <x v="189"/>
    <s v="Saturday"/>
    <d v="2024-12-28T10:00:00"/>
    <s v="Saturday"/>
    <x v="0"/>
    <n v="24.99"/>
    <n v="1"/>
    <s v="All Season"/>
  </r>
  <r>
    <s v="101-0004-0291"/>
    <x v="1"/>
    <x v="189"/>
    <s v="Saturday"/>
    <d v="2024-12-28T10:00:00"/>
    <s v="Saturday"/>
    <x v="1"/>
    <n v="24.99"/>
    <n v="1"/>
    <s v="All Season"/>
  </r>
  <r>
    <s v="101-0004-0293"/>
    <x v="1"/>
    <x v="189"/>
    <s v="Saturday"/>
    <d v="2024-12-28T10:00:00"/>
    <s v="Saturday"/>
    <x v="0"/>
    <n v="24.99"/>
    <n v="1"/>
    <s v="All Season"/>
  </r>
  <r>
    <s v="101-0004-0296"/>
    <x v="1"/>
    <x v="189"/>
    <s v="Saturday"/>
    <d v="2024-12-28T10:00:00"/>
    <s v="Saturday"/>
    <x v="0"/>
    <n v="49.98"/>
    <n v="2"/>
    <s v="All Season"/>
  </r>
  <r>
    <s v="101-0004-0274"/>
    <x v="1"/>
    <x v="190"/>
    <s v="Saturday"/>
    <d v="2024-12-28T10:00:00"/>
    <s v="Saturday"/>
    <x v="0"/>
    <n v="24.99"/>
    <n v="1"/>
    <s v="All Season"/>
  </r>
  <r>
    <s v="101-0004-0271"/>
    <x v="1"/>
    <x v="191"/>
    <s v="Sunday"/>
    <d v="2024-12-29T10:00:00"/>
    <s v="Sunday"/>
    <x v="1"/>
    <n v="49.98"/>
    <n v="2"/>
    <s v="All Season"/>
  </r>
  <r>
    <s v="101-0004-0286"/>
    <x v="1"/>
    <x v="191"/>
    <s v="Sunday"/>
    <d v="2024-12-29T10:00:00"/>
    <s v="Sunday"/>
    <x v="1"/>
    <n v="49.98"/>
    <n v="2"/>
    <s v="All Season"/>
  </r>
  <r>
    <s v="101-0004-0287"/>
    <x v="1"/>
    <x v="191"/>
    <s v="Sunday"/>
    <d v="2024-12-29T10:00:00"/>
    <s v="Sunday"/>
    <x v="1"/>
    <n v="24.99"/>
    <n v="1"/>
    <s v="All Season"/>
  </r>
  <r>
    <s v="101-0004-0288"/>
    <x v="1"/>
    <x v="191"/>
    <s v="Sunday"/>
    <d v="2024-12-29T10:00:00"/>
    <s v="Sunday"/>
    <x v="0"/>
    <n v="24.99"/>
    <n v="1"/>
    <s v="All Season"/>
  </r>
  <r>
    <s v="101-0004-0292"/>
    <x v="1"/>
    <x v="191"/>
    <s v="Sunday"/>
    <d v="2024-12-29T10:00:00"/>
    <s v="Sunday"/>
    <x v="0"/>
    <n v="24.99"/>
    <n v="1"/>
    <s v="All Season"/>
  </r>
  <r>
    <s v="101-0004-0301"/>
    <x v="1"/>
    <x v="192"/>
    <s v="Sunday"/>
    <d v="2024-12-29T10:00:00"/>
    <s v="Sunday"/>
    <x v="1"/>
    <n v="24.99"/>
    <n v="1"/>
    <s v="All Season"/>
  </r>
  <r>
    <s v="101-0004-0046"/>
    <x v="1"/>
    <x v="193"/>
    <s v="Monday"/>
    <d v="2024-12-30T10:00:00"/>
    <s v="Monday"/>
    <x v="1"/>
    <n v="19.989999999999998"/>
    <n v="1"/>
    <s v="All Season"/>
  </r>
  <r>
    <s v="101-0004-0267"/>
    <x v="1"/>
    <x v="193"/>
    <s v="Monday"/>
    <d v="2024-12-30T10:00:00"/>
    <s v="Monday"/>
    <x v="0"/>
    <n v="39.979999999999997"/>
    <n v="2"/>
    <s v="All Season"/>
  </r>
  <r>
    <s v="101-0004-0281"/>
    <x v="1"/>
    <x v="193"/>
    <s v="Monday"/>
    <d v="2024-12-30T10:00:00"/>
    <s v="Monday"/>
    <x v="0"/>
    <n v="79.959999999999994"/>
    <n v="4"/>
    <s v="All Season"/>
  </r>
  <r>
    <s v="101-0004-0294"/>
    <x v="1"/>
    <x v="193"/>
    <s v="Monday"/>
    <d v="2024-12-30T10:00:00"/>
    <s v="Monday"/>
    <x v="1"/>
    <n v="19.989999999999998"/>
    <n v="1"/>
    <s v="All Season"/>
  </r>
  <r>
    <s v="101-0004-0302"/>
    <x v="1"/>
    <x v="193"/>
    <s v="Monday"/>
    <d v="2024-12-30T10:00:00"/>
    <s v="Monday"/>
    <x v="0"/>
    <n v="19.989999999999998"/>
    <n v="1"/>
    <s v="All Season"/>
  </r>
  <r>
    <s v="101-0004-0303"/>
    <x v="1"/>
    <x v="193"/>
    <s v="Monday"/>
    <d v="2024-12-30T10:00:00"/>
    <s v="Monday"/>
    <x v="0"/>
    <n v="19.989999999999998"/>
    <n v="1"/>
    <s v="All Season"/>
  </r>
  <r>
    <s v="101-0004-0336"/>
    <x v="1"/>
    <x v="193"/>
    <s v="Monday"/>
    <d v="2024-12-30T10:00:00"/>
    <s v="Monday"/>
    <x v="1"/>
    <n v="19.989999999999998"/>
    <n v="1"/>
    <s v="All Season"/>
  </r>
  <r>
    <s v="101-0004-0270"/>
    <x v="1"/>
    <x v="194"/>
    <s v="Tuesday"/>
    <d v="2024-12-31T10:00:00"/>
    <s v="Tuesday"/>
    <x v="0"/>
    <n v="19.989999999999998"/>
    <n v="1"/>
    <s v="All Season"/>
  </r>
  <r>
    <s v="101-0004-0282"/>
    <x v="1"/>
    <x v="194"/>
    <s v="Tuesday"/>
    <d v="2024-12-31T10:00:00"/>
    <s v="Tuesday"/>
    <x v="1"/>
    <n v="79.959999999999994"/>
    <n v="4"/>
    <s v="All Season"/>
  </r>
  <r>
    <s v="101-0004-0298"/>
    <x v="1"/>
    <x v="194"/>
    <s v="Tuesday"/>
    <d v="2024-12-31T10:00:00"/>
    <s v="Tuesday"/>
    <x v="1"/>
    <n v="19.989999999999998"/>
    <n v="1"/>
    <s v="All Season"/>
  </r>
  <r>
    <s v="101-0004-0363"/>
    <x v="1"/>
    <x v="194"/>
    <s v="Tuesday"/>
    <d v="2024-12-31T10:00:00"/>
    <s v="Tuesday"/>
    <x v="1"/>
    <n v="39.979999999999997"/>
    <n v="2"/>
    <s v="All Season"/>
  </r>
  <r>
    <s v="101-0004-0295"/>
    <x v="1"/>
    <x v="195"/>
    <s v="Tuesday"/>
    <d v="2024-12-31T10:00:00"/>
    <s v="Tuesday"/>
    <x v="1"/>
    <n v="19.989999999999998"/>
    <n v="1"/>
    <s v="All Season"/>
  </r>
  <r>
    <s v="101-0004-0283"/>
    <x v="1"/>
    <x v="196"/>
    <s v="Wednesday"/>
    <d v="2025-01-01T10:00:00"/>
    <s v="Wednesday"/>
    <x v="1"/>
    <n v="79.959999999999994"/>
    <n v="4"/>
    <s v="All Season"/>
  </r>
  <r>
    <s v="101-0004-0285"/>
    <x v="1"/>
    <x v="196"/>
    <s v="Wednesday"/>
    <d v="2025-01-01T10:00:00"/>
    <s v="Wednesday"/>
    <x v="1"/>
    <n v="19.989999999999998"/>
    <n v="1"/>
    <s v="All Season"/>
  </r>
  <r>
    <s v="101-0004-0299"/>
    <x v="1"/>
    <x v="196"/>
    <s v="Wednesday"/>
    <d v="2025-01-01T10:00:00"/>
    <s v="Wednesday"/>
    <x v="1"/>
    <n v="19.989999999999998"/>
    <n v="1"/>
    <s v="All Season"/>
  </r>
  <r>
    <s v="101-0004-0339"/>
    <x v="1"/>
    <x v="196"/>
    <s v="Wednesday"/>
    <d v="2025-01-01T10:00:00"/>
    <s v="Wednesday"/>
    <x v="1"/>
    <n v="19.989999999999998"/>
    <n v="1"/>
    <s v="All Season"/>
  </r>
  <r>
    <s v="101-0004-0280"/>
    <x v="1"/>
    <x v="197"/>
    <s v="Thursday"/>
    <d v="2025-01-02T10:00:00"/>
    <s v="Thursday"/>
    <x v="1"/>
    <n v="79.959999999999994"/>
    <n v="4"/>
    <s v="All Season"/>
  </r>
  <r>
    <s v="101-0004-0297"/>
    <x v="1"/>
    <x v="197"/>
    <s v="Thursday"/>
    <d v="2025-01-02T10:00:00"/>
    <s v="Thursday"/>
    <x v="1"/>
    <n v="19.989999999999998"/>
    <n v="1"/>
    <s v="All Season"/>
  </r>
  <r>
    <s v="101-0004-0304"/>
    <x v="1"/>
    <x v="197"/>
    <s v="Thursday"/>
    <d v="2025-01-02T10:00:00"/>
    <s v="Thursday"/>
    <x v="0"/>
    <n v="19.989999999999998"/>
    <n v="1"/>
    <s v="All Season"/>
  </r>
  <r>
    <s v="101-0004-0264"/>
    <x v="1"/>
    <x v="198"/>
    <s v="Friday"/>
    <d v="2025-01-03T10:00:00"/>
    <s v="Friday"/>
    <x v="1"/>
    <n v="19.989999999999998"/>
    <n v="1"/>
    <s v="All Season"/>
  </r>
  <r>
    <s v="101-0004-0307"/>
    <x v="1"/>
    <x v="198"/>
    <s v="Friday"/>
    <d v="2025-01-03T10:00:00"/>
    <s v="Friday"/>
    <x v="1"/>
    <n v="19.989999999999998"/>
    <n v="1"/>
    <s v="All Season"/>
  </r>
  <r>
    <s v="101-0004-0312"/>
    <x v="1"/>
    <x v="198"/>
    <s v="Friday"/>
    <d v="2025-01-03T10:00:00"/>
    <s v="Friday"/>
    <x v="0"/>
    <n v="19.989999999999998"/>
    <n v="1"/>
    <s v="All Season"/>
  </r>
  <r>
    <s v="101-0004-0364"/>
    <x v="1"/>
    <x v="198"/>
    <s v="Friday"/>
    <d v="2025-01-03T10:00:00"/>
    <s v="Friday"/>
    <x v="0"/>
    <n v="19.989999999999998"/>
    <n v="1"/>
    <s v="All Season"/>
  </r>
  <r>
    <s v="101-0004-0305"/>
    <x v="1"/>
    <x v="199"/>
    <s v="Saturday"/>
    <d v="2025-01-04T10:00:00"/>
    <s v="Saturday"/>
    <x v="1"/>
    <n v="24.99"/>
    <n v="1"/>
    <s v="All Season"/>
  </r>
  <r>
    <s v="101-0004-0313"/>
    <x v="1"/>
    <x v="199"/>
    <s v="Saturday"/>
    <d v="2025-01-04T10:00:00"/>
    <s v="Saturday"/>
    <x v="0"/>
    <n v="24.99"/>
    <n v="1"/>
    <s v="All Season"/>
  </r>
  <r>
    <s v="101-0004-0317"/>
    <x v="1"/>
    <x v="199"/>
    <s v="Saturday"/>
    <d v="2025-01-04T10:00:00"/>
    <s v="Saturday"/>
    <x v="0"/>
    <n v="24.99"/>
    <n v="1"/>
    <s v="All Season"/>
  </r>
  <r>
    <s v="101-0004-0316"/>
    <x v="1"/>
    <x v="200"/>
    <s v="Saturday"/>
    <d v="2025-01-04T10:00:00"/>
    <s v="Saturday"/>
    <x v="1"/>
    <n v="24.99"/>
    <n v="1"/>
    <s v="All Season"/>
  </r>
  <r>
    <s v="101-0004-0362"/>
    <x v="1"/>
    <x v="201"/>
    <s v="Wednesday"/>
    <d v="2025-01-08T10:00:00"/>
    <s v="Wednesday"/>
    <x v="0"/>
    <n v="19.989999999999998"/>
    <n v="1"/>
    <s v="All Season"/>
  </r>
  <r>
    <s v="101-0004-0308"/>
    <x v="1"/>
    <x v="202"/>
    <s v="Saturday"/>
    <d v="2025-01-11T10:00:00"/>
    <s v="Saturday"/>
    <x v="1"/>
    <n v="49.98"/>
    <n v="2"/>
    <s v="All Season"/>
  </r>
  <r>
    <s v="101-0004-0315"/>
    <x v="1"/>
    <x v="202"/>
    <s v="Saturday"/>
    <d v="2025-01-11T10:00:00"/>
    <s v="Saturday"/>
    <x v="0"/>
    <n v="24.99"/>
    <n v="1"/>
    <s v="All Season"/>
  </r>
  <r>
    <s v="101-0004-0338"/>
    <x v="1"/>
    <x v="202"/>
    <s v="Saturday"/>
    <d v="2025-01-11T10:00:00"/>
    <s v="Saturday"/>
    <x v="0"/>
    <n v="24.99"/>
    <n v="1"/>
    <s v="All Season"/>
  </r>
  <r>
    <s v="101-0004-0309"/>
    <x v="1"/>
    <x v="203"/>
    <s v="Sunday"/>
    <d v="2025-01-12T10:00:00"/>
    <s v="Sunday"/>
    <x v="1"/>
    <n v="49.98"/>
    <n v="2"/>
    <s v="All Season"/>
  </r>
  <r>
    <s v="101-0003-9864"/>
    <x v="1"/>
    <x v="204"/>
    <s v="Wednesday"/>
    <d v="2025-01-15T10:00:00"/>
    <s v="Wednesday"/>
    <x v="1"/>
    <n v="24.99"/>
    <n v="1"/>
    <s v="All Season"/>
  </r>
  <r>
    <s v="101-0003-9756"/>
    <x v="1"/>
    <x v="205"/>
    <s v="Thursday"/>
    <d v="2025-01-16T10:00:00"/>
    <s v="Thursday"/>
    <x v="0"/>
    <n v="19.989999999999998"/>
    <n v="1"/>
    <s v="All Season"/>
  </r>
  <r>
    <s v="101-0003-9877"/>
    <x v="1"/>
    <x v="206"/>
    <s v="Thursday"/>
    <d v="2025-01-16T10:00:00"/>
    <s v="Thursday"/>
    <x v="0"/>
    <n v="24.99"/>
    <n v="1"/>
    <s v="All Season"/>
  </r>
  <r>
    <s v="101-0004-0163"/>
    <x v="1"/>
    <x v="207"/>
    <s v="Saturday"/>
    <d v="2025-01-18T10:00:00"/>
    <s v="Saturday"/>
    <x v="0"/>
    <n v="24.99"/>
    <n v="1"/>
    <s v="Weekends/Holiday Only"/>
  </r>
  <r>
    <s v="101-0004-0166"/>
    <x v="1"/>
    <x v="207"/>
    <s v="Saturday"/>
    <d v="2025-01-18T10:00:00"/>
    <s v="Saturday"/>
    <x v="1"/>
    <n v="24.99"/>
    <n v="1"/>
    <s v="Weekends/Holiday Only"/>
  </r>
  <r>
    <s v="101-0004-0164"/>
    <x v="1"/>
    <x v="208"/>
    <s v="Sunday"/>
    <d v="2025-01-19T10:00:00"/>
    <s v="Sunday"/>
    <x v="1"/>
    <n v="24.99"/>
    <n v="1"/>
    <s v="Weekends/Holiday Only"/>
  </r>
  <r>
    <s v="101-0004-0268"/>
    <x v="1"/>
    <x v="209"/>
    <s v="Saturday"/>
    <d v="2025-01-25T10:00:00"/>
    <s v="Saturday"/>
    <x v="0"/>
    <n v="24.99"/>
    <n v="1"/>
    <s v="Weekends/Holiday Only"/>
  </r>
  <r>
    <s v="101-0004-0306"/>
    <x v="1"/>
    <x v="209"/>
    <s v="Saturday"/>
    <d v="2025-01-25T10:00:00"/>
    <s v="Saturday"/>
    <x v="1"/>
    <n v="24.99"/>
    <n v="1"/>
    <s v="Weekends/Holiday Only"/>
  </r>
  <r>
    <s v="101-0004-0318"/>
    <x v="1"/>
    <x v="209"/>
    <s v="Saturday"/>
    <d v="2025-01-25T10:00:00"/>
    <s v="Saturday"/>
    <x v="1"/>
    <n v="24.99"/>
    <n v="1"/>
    <s v="Weekends/Holiday Only"/>
  </r>
  <r>
    <s v="101-0004-0320"/>
    <x v="1"/>
    <x v="209"/>
    <s v="Saturday"/>
    <d v="2025-01-25T10:00:00"/>
    <s v="Saturday"/>
    <x v="0"/>
    <n v="24.99"/>
    <n v="1"/>
    <s v="Weekends/Holiday Only"/>
  </r>
  <r>
    <s v="101-0004-0321"/>
    <x v="1"/>
    <x v="209"/>
    <s v="Saturday"/>
    <d v="2025-01-25T10:00:00"/>
    <s v="Saturday"/>
    <x v="0"/>
    <n v="24.99"/>
    <n v="1"/>
    <s v="Weekends/Holiday Only"/>
  </r>
  <r>
    <s v="101-0004-0322"/>
    <x v="1"/>
    <x v="209"/>
    <s v="Saturday"/>
    <d v="2025-01-25T10:00:00"/>
    <s v="Saturday"/>
    <x v="1"/>
    <n v="24.99"/>
    <n v="1"/>
    <s v="Weekends/Holiday Only"/>
  </r>
  <r>
    <s v="101-0004-0323"/>
    <x v="1"/>
    <x v="210"/>
    <s v="Saturday"/>
    <d v="2025-01-25T10:00:00"/>
    <s v="Saturday"/>
    <x v="0"/>
    <n v="24.99"/>
    <n v="1"/>
    <s v="Weekends/Holiday Only"/>
  </r>
  <r>
    <s v="101-0004-0324"/>
    <x v="1"/>
    <x v="211"/>
    <s v="Saturday"/>
    <d v="2025-01-25T10:00:00"/>
    <s v="Saturday"/>
    <x v="0"/>
    <n v="24.99"/>
    <n v="1"/>
    <s v="Weekends/Holiday Only"/>
  </r>
  <r>
    <s v="101-0004-0325"/>
    <x v="1"/>
    <x v="212"/>
    <s v="Sunday"/>
    <d v="2025-01-26T10:00:00"/>
    <s v="Sunday"/>
    <x v="0"/>
    <n v="24.99"/>
    <n v="1"/>
    <s v="Weekends/Holiday Only"/>
  </r>
  <r>
    <s v="101-0004-0327"/>
    <x v="1"/>
    <x v="213"/>
    <s v="Sunday"/>
    <d v="2025-01-26T10:00:00"/>
    <s v="Sunday"/>
    <x v="0"/>
    <n v="24.99"/>
    <n v="1"/>
    <s v="Weekends/Holiday Only"/>
  </r>
  <r>
    <s v="101-0004-0328"/>
    <x v="1"/>
    <x v="214"/>
    <s v="Sunday"/>
    <d v="2025-01-26T10:00:00"/>
    <s v="Sunday"/>
    <x v="0"/>
    <n v="24.99"/>
    <n v="1"/>
    <s v="Weekends/Holiday Only"/>
  </r>
  <r>
    <s v="101-0004-0329"/>
    <x v="1"/>
    <x v="215"/>
    <s v="Sunday"/>
    <d v="2025-01-26T10:00:00"/>
    <s v="Sunday"/>
    <x v="1"/>
    <n v="24.99"/>
    <n v="1"/>
    <s v="Weekends/Holiday Only"/>
  </r>
  <r>
    <s v="101-0004-0330"/>
    <x v="1"/>
    <x v="216"/>
    <s v="Sunday"/>
    <d v="2025-01-26T10:00:00"/>
    <s v="Sunday"/>
    <x v="1"/>
    <n v="24.99"/>
    <n v="1"/>
    <s v="Weekends/Holiday Only"/>
  </r>
  <r>
    <s v="101-0004-0319"/>
    <x v="1"/>
    <x v="217"/>
    <s v="Friday"/>
    <d v="2025-01-31T10:00:00"/>
    <s v="Friday"/>
    <x v="0"/>
    <n v="24.99"/>
    <n v="1"/>
    <s v="Weekends/Holiday Only"/>
  </r>
  <r>
    <s v="101-0004-0331"/>
    <x v="1"/>
    <x v="217"/>
    <s v="Friday"/>
    <d v="2025-01-31T10:00:00"/>
    <s v="Friday"/>
    <x v="0"/>
    <n v="24.99"/>
    <n v="1"/>
    <s v="Weekends/Holiday Only"/>
  </r>
  <r>
    <s v="101-0004-0333"/>
    <x v="1"/>
    <x v="217"/>
    <s v="Friday"/>
    <d v="2025-01-31T10:00:00"/>
    <s v="Friday"/>
    <x v="1"/>
    <n v="24.99"/>
    <n v="1"/>
    <s v="Weekends/Holiday Only"/>
  </r>
  <r>
    <s v="101-0004-0326"/>
    <x v="1"/>
    <x v="218"/>
    <s v="Saturday"/>
    <d v="2025-02-01T10:00:00"/>
    <s v="Saturday"/>
    <x v="0"/>
    <n v="24.99"/>
    <n v="1"/>
    <s v="Weekends/Holiday Only"/>
  </r>
  <r>
    <s v="101-0004-0334"/>
    <x v="1"/>
    <x v="218"/>
    <s v="Saturday"/>
    <d v="2025-02-01T10:00:00"/>
    <s v="Saturday"/>
    <x v="1"/>
    <n v="24.99"/>
    <n v="1"/>
    <s v="Weekends/Holiday Only"/>
  </r>
  <r>
    <s v="101-0004-0337"/>
    <x v="1"/>
    <x v="218"/>
    <s v="Saturday"/>
    <d v="2025-02-01T10:00:00"/>
    <s v="Saturday"/>
    <x v="1"/>
    <n v="24.99"/>
    <n v="1"/>
    <s v="Weekends/Holiday Only"/>
  </r>
  <r>
    <s v="101-0004-0341"/>
    <x v="1"/>
    <x v="219"/>
    <s v="Friday"/>
    <d v="2025-02-07T10:00:00"/>
    <s v="Friday"/>
    <x v="1"/>
    <n v="24.99"/>
    <n v="1"/>
    <s v="Weekends/Holiday Only"/>
  </r>
  <r>
    <s v="101-0004-0332"/>
    <x v="1"/>
    <x v="220"/>
    <s v="Saturday"/>
    <d v="2025-02-15T10:00:00"/>
    <s v="Saturday"/>
    <x v="0"/>
    <n v="24.99"/>
    <n v="1"/>
    <s v="Weekends/Holiday Only"/>
  </r>
  <r>
    <s v="101-0004-0340"/>
    <x v="1"/>
    <x v="221"/>
    <s v="Sunday"/>
    <d v="2025-02-16T10:00:00"/>
    <s v="Sunday"/>
    <x v="1"/>
    <n v="24.99"/>
    <n v="1"/>
    <s v="Weekends/Holiday Only"/>
  </r>
  <r>
    <s v="101-0004-0342"/>
    <x v="1"/>
    <x v="221"/>
    <s v="Sunday"/>
    <d v="2025-02-16T10:00:00"/>
    <s v="Sunday"/>
    <x v="1"/>
    <n v="24.99"/>
    <n v="1"/>
    <s v="Weekends/Holiday Only"/>
  </r>
  <r>
    <s v="101-0004-0343"/>
    <x v="1"/>
    <x v="221"/>
    <s v="Sunday"/>
    <d v="2025-02-16T10:00:00"/>
    <s v="Sunday"/>
    <x v="0"/>
    <n v="24.99"/>
    <n v="1"/>
    <s v="Weekends/Holiday Only"/>
  </r>
  <r>
    <s v="101-0004-0344"/>
    <x v="1"/>
    <x v="221"/>
    <s v="Sunday"/>
    <d v="2025-02-16T10:00:00"/>
    <s v="Sunday"/>
    <x v="1"/>
    <n v="24.99"/>
    <n v="1"/>
    <s v="Weekends/Holiday Only"/>
  </r>
  <r>
    <s v="101-0004-0349"/>
    <x v="1"/>
    <x v="222"/>
    <s v="Monday"/>
    <d v="2025-02-17T10:00:00"/>
    <s v="Monday"/>
    <x v="0"/>
    <n v="24.99"/>
    <n v="1"/>
    <s v="Weekends/Holiday Only"/>
  </r>
  <r>
    <s v="101-0004-0345"/>
    <x v="1"/>
    <x v="223"/>
    <s v="Saturday"/>
    <d v="2025-02-22T10:00:00"/>
    <s v="Saturday"/>
    <x v="0"/>
    <n v="49.98"/>
    <n v="2"/>
    <s v="Weekends/Holiday Only"/>
  </r>
  <r>
    <s v="101-0004-0347"/>
    <x v="1"/>
    <x v="223"/>
    <s v="Saturday"/>
    <d v="2025-02-22T10:00:00"/>
    <s v="Saturday"/>
    <x v="1"/>
    <n v="24.99"/>
    <n v="1"/>
    <s v="Weekends/Holiday Only"/>
  </r>
  <r>
    <s v="101-0004-0348"/>
    <x v="1"/>
    <x v="223"/>
    <s v="Saturday"/>
    <d v="2025-02-22T10:00:00"/>
    <s v="Saturday"/>
    <x v="0"/>
    <n v="24.99"/>
    <n v="1"/>
    <s v="Weekends/Holiday Only"/>
  </r>
  <r>
    <s v="101-0004-0346"/>
    <x v="1"/>
    <x v="224"/>
    <s v="Sunday"/>
    <d v="2025-02-23T10:00:00"/>
    <s v="Sunday"/>
    <x v="1"/>
    <n v="49.98"/>
    <n v="2"/>
    <s v="Weekends/Holiday Only"/>
  </r>
  <r>
    <s v="101-0004-0350"/>
    <x v="1"/>
    <x v="225"/>
    <s v="Friday"/>
    <d v="2025-02-28T10:00:00"/>
    <s v="Friday"/>
    <x v="0"/>
    <n v="24.99"/>
    <n v="1"/>
    <s v="Weekends/Holiday Only"/>
  </r>
  <r>
    <s v="101-0004-0351"/>
    <x v="1"/>
    <x v="225"/>
    <s v="Friday"/>
    <d v="2025-02-28T10:00:00"/>
    <s v="Friday"/>
    <x v="1"/>
    <n v="24.99"/>
    <n v="1"/>
    <s v="Weekends/Holiday Only"/>
  </r>
  <r>
    <s v="101-0004-0353"/>
    <x v="1"/>
    <x v="226"/>
    <s v="Friday"/>
    <d v="2025-03-07T10:00:00"/>
    <s v="Friday"/>
    <x v="0"/>
    <n v="24.99"/>
    <n v="1"/>
    <s v="Weekends/Holiday Only"/>
  </r>
  <r>
    <s v="101-0004-0360"/>
    <x v="1"/>
    <x v="227"/>
    <s v="Saturday"/>
    <d v="2025-03-08T10:00:00"/>
    <s v="Saturday"/>
    <x v="0"/>
    <n v="24.99"/>
    <n v="1"/>
    <s v="Weekends/Holiday Only"/>
  </r>
  <r>
    <s v="101-0004-0361"/>
    <x v="1"/>
    <x v="228"/>
    <s v="Sunday"/>
    <d v="2025-03-09T10:00:00"/>
    <s v="Sunday"/>
    <x v="0"/>
    <n v="24.99"/>
    <n v="1"/>
    <s v="Weekends/Holiday Only"/>
  </r>
  <r>
    <s v="101-0004-0352"/>
    <x v="1"/>
    <x v="229"/>
    <s v="Saturday"/>
    <d v="2025-03-15T10:00:00"/>
    <s v="Saturday"/>
    <x v="1"/>
    <n v="24.99"/>
    <n v="1"/>
    <s v="Weekends/Holiday Only"/>
  </r>
  <r>
    <s v="101-0004-0354"/>
    <x v="1"/>
    <x v="229"/>
    <s v="Saturday"/>
    <d v="2025-03-15T10:00:00"/>
    <s v="Saturday"/>
    <x v="0"/>
    <n v="24.99"/>
    <n v="1"/>
    <s v="Weekends/Holiday Only"/>
  </r>
  <r>
    <s v="101-0004-0355"/>
    <x v="1"/>
    <x v="229"/>
    <s v="Saturday"/>
    <d v="2025-03-15T10:00:00"/>
    <s v="Saturday"/>
    <x v="0"/>
    <n v="24.99"/>
    <n v="1"/>
    <s v="Weekends/Holiday Only"/>
  </r>
  <r>
    <s v="101-0004-0356"/>
    <x v="1"/>
    <x v="229"/>
    <s v="Saturday"/>
    <d v="2025-03-15T10:00:00"/>
    <s v="Saturday"/>
    <x v="0"/>
    <n v="24.99"/>
    <n v="1"/>
    <s v="Weekends/Holiday Only"/>
  </r>
  <r>
    <s v="101-0004-0357"/>
    <x v="1"/>
    <x v="229"/>
    <s v="Saturday"/>
    <d v="2025-03-15T10:00:00"/>
    <s v="Saturday"/>
    <x v="0"/>
    <n v="49.98"/>
    <n v="2"/>
    <s v="Weekends/Holiday Only"/>
  </r>
  <r>
    <s v="101-0004-0359"/>
    <x v="1"/>
    <x v="229"/>
    <s v="Saturday"/>
    <d v="2025-03-15T10:00:00"/>
    <s v="Saturday"/>
    <x v="1"/>
    <n v="24.99"/>
    <n v="1"/>
    <s v="Weekends/Holiday Only"/>
  </r>
  <r>
    <s v="101-0004-0358"/>
    <x v="1"/>
    <x v="230"/>
    <s v="Sunday"/>
    <d v="2025-03-16T10:00:00"/>
    <s v="Sunday"/>
    <x v="1"/>
    <n v="49.98"/>
    <n v="2"/>
    <s v="Weekends/Holiday Only"/>
  </r>
  <r>
    <s v="101-0004-0366"/>
    <x v="1"/>
    <x v="230"/>
    <s v="Sunday"/>
    <d v="2025-03-16T10:00:00"/>
    <s v="Sunday"/>
    <x v="0"/>
    <n v="24.99"/>
    <n v="1"/>
    <s v="Weekends/Holiday Only"/>
  </r>
  <r>
    <s v="101-0004-0365"/>
    <x v="1"/>
    <x v="231"/>
    <s v="Sunday"/>
    <d v="2025-03-16T10:00:00"/>
    <s v="Sunday"/>
    <x v="0"/>
    <n v="24.99"/>
    <n v="1"/>
    <s v="Weekends/Holiday Only"/>
  </r>
  <r>
    <s v="101-0004-0367"/>
    <x v="1"/>
    <x v="232"/>
    <s v="Saturday"/>
    <d v="2025-03-22T10:00:00"/>
    <s v="Saturday"/>
    <x v="1"/>
    <n v="24.99"/>
    <n v="1"/>
    <s v="Weekends/Holiday Only"/>
  </r>
  <r>
    <s v="101-0004-0368"/>
    <x v="1"/>
    <x v="233"/>
    <s v="Sunday"/>
    <d v="2025-03-23T10:00:00"/>
    <s v="Sunday"/>
    <x v="1"/>
    <n v="24.99"/>
    <n v="1"/>
    <s v="Weekends/Holiday Only"/>
  </r>
  <r>
    <s v="101-0004-0369"/>
    <x v="1"/>
    <x v="234"/>
    <s v="Sunday"/>
    <d v="2025-03-30T10:00:00"/>
    <s v="Sunday"/>
    <x v="1"/>
    <n v="24.99"/>
    <n v="1"/>
    <s v="Weekends/Holiday Only"/>
  </r>
  <r>
    <s v="101-0004-0370"/>
    <x v="1"/>
    <x v="234"/>
    <s v="Sunday"/>
    <d v="2025-03-30T10:00:00"/>
    <s v="Sunday"/>
    <x v="1"/>
    <n v="24.99"/>
    <n v="1"/>
    <s v="Weekends/Holiday Only"/>
  </r>
  <r>
    <s v="101-0004-0371"/>
    <x v="1"/>
    <x v="235"/>
    <s v="Friday"/>
    <d v="2025-04-04T10:00:00"/>
    <s v="Friday"/>
    <x v="0"/>
    <n v="24.99"/>
    <n v="1"/>
    <s v="Weekends/Holiday Only"/>
  </r>
  <r>
    <s v="101-0004-0372"/>
    <x v="1"/>
    <x v="236"/>
    <s v="Sunday"/>
    <d v="2025-04-06T10:00:00"/>
    <s v="Sunday"/>
    <x v="0"/>
    <n v="24.99"/>
    <n v="1"/>
    <s v="Weekends/Holiday Only"/>
  </r>
  <r>
    <s v="101-0004-0373"/>
    <x v="1"/>
    <x v="237"/>
    <s v="Friday"/>
    <d v="2025-04-11T10:00:00"/>
    <s v="Friday"/>
    <x v="1"/>
    <n v="24.99"/>
    <n v="1"/>
    <s v="Weekends/Holiday Only"/>
  </r>
  <r>
    <s v="101-0004-0374"/>
    <x v="1"/>
    <x v="237"/>
    <s v="Friday"/>
    <d v="2025-04-11T10:00:00"/>
    <s v="Friday"/>
    <x v="0"/>
    <n v="24.99"/>
    <n v="1"/>
    <s v="Weekends/Holiday Only"/>
  </r>
  <r>
    <s v="101-0004-0375"/>
    <x v="1"/>
    <x v="238"/>
    <s v="Saturday"/>
    <d v="2025-04-12T10:00:00"/>
    <s v="Saturday"/>
    <x v="1"/>
    <n v="24.99"/>
    <n v="1"/>
    <s v="Weekends/Holiday Only"/>
  </r>
  <r>
    <s v="101-0004-0376"/>
    <x v="1"/>
    <x v="238"/>
    <s v="Saturday"/>
    <d v="2025-04-12T10:00:00"/>
    <s v="Saturday"/>
    <x v="1"/>
    <n v="24.99"/>
    <n v="1"/>
    <s v="Weekends/Holiday Only"/>
  </r>
  <r>
    <s v="101-0004-0377"/>
    <x v="1"/>
    <x v="238"/>
    <s v="Saturday"/>
    <d v="2025-04-12T10:00:00"/>
    <s v="Saturday"/>
    <x v="1"/>
    <n v="24.99"/>
    <n v="1"/>
    <s v="Weekends/Holiday Only"/>
  </r>
  <r>
    <s v="101-0004-0378"/>
    <x v="1"/>
    <x v="239"/>
    <s v="Friday"/>
    <d v="2025-04-18T10:00:00"/>
    <s v="Friday"/>
    <x v="0"/>
    <n v="24.99"/>
    <n v="1"/>
    <s v="Weekends/Holiday Only"/>
  </r>
  <r>
    <s v="101-0004-0381"/>
    <x v="1"/>
    <x v="239"/>
    <s v="Friday"/>
    <d v="2025-04-18T10:00:00"/>
    <s v="Friday"/>
    <x v="1"/>
    <n v="49.98"/>
    <n v="2"/>
    <s v="Weekends/Holiday Only"/>
  </r>
  <r>
    <s v="101-0004-0383"/>
    <x v="1"/>
    <x v="239"/>
    <s v="Friday"/>
    <d v="2025-04-18T10:00:00"/>
    <s v="Friday"/>
    <x v="1"/>
    <n v="24.99"/>
    <n v="1"/>
    <s v="Weekends/Holiday Only"/>
  </r>
  <r>
    <s v="101-0004-0379"/>
    <x v="1"/>
    <x v="240"/>
    <s v="Saturday"/>
    <d v="2025-04-19T10:00:00"/>
    <s v="Saturday"/>
    <x v="0"/>
    <n v="49.98"/>
    <n v="2"/>
    <s v="Weekends/Holiday Only"/>
  </r>
  <r>
    <s v="101-0004-0382"/>
    <x v="1"/>
    <x v="240"/>
    <s v="Saturday"/>
    <d v="2025-04-19T10:00:00"/>
    <s v="Saturday"/>
    <x v="1"/>
    <n v="49.98"/>
    <n v="2"/>
    <s v="Weekends/Holiday Only"/>
  </r>
  <r>
    <s v="101-0004-0384"/>
    <x v="1"/>
    <x v="240"/>
    <s v="Saturday"/>
    <d v="2025-04-19T10:00:00"/>
    <s v="Saturday"/>
    <x v="0"/>
    <n v="24.99"/>
    <n v="1"/>
    <s v="Weekends/Holiday Only"/>
  </r>
  <r>
    <s v="101-0004-0380"/>
    <x v="1"/>
    <x v="241"/>
    <s v="Sunday"/>
    <d v="2025-04-20T10:00:00"/>
    <s v="Sunday"/>
    <x v="1"/>
    <n v="49.98"/>
    <n v="2"/>
    <s v="Weekends/Holiday Only"/>
  </r>
  <r>
    <s v="101-0009-7960"/>
    <x v="2"/>
    <x v="242"/>
    <s v="Sunday"/>
    <d v="2025-12-22T18:05:00"/>
    <s v="Monday"/>
    <x v="0"/>
    <n v="74.97"/>
    <n v="3"/>
    <s v="Weekends/Holiday Only"/>
  </r>
  <r>
    <s v="101-0009-8887"/>
    <x v="2"/>
    <x v="243"/>
    <s v="Monday"/>
    <d v="2025-12-23T19:05:00"/>
    <s v="Tuesday"/>
    <x v="0"/>
    <n v="49.98"/>
    <n v="2"/>
    <s v="Weekends/Holiday Only"/>
  </r>
  <r>
    <s v="101-0010-4465"/>
    <x v="2"/>
    <x v="244"/>
    <s v="Saturday"/>
    <d v="2025-11-29T17:05:00"/>
    <s v="Saturday"/>
    <x v="0"/>
    <n v="24.99"/>
    <n v="1"/>
    <s v="Weekends/Holiday Only"/>
  </r>
  <r>
    <s v="101-0010-5970"/>
    <x v="2"/>
    <x v="245"/>
    <s v="Sunday"/>
    <d v="2025-12-26T17:05:00"/>
    <s v="Friday"/>
    <x v="0"/>
    <n v="24.99"/>
    <n v="1"/>
    <s v="Weekends/Holiday Only"/>
  </r>
  <r>
    <s v="101-0011-3167"/>
    <x v="2"/>
    <x v="246"/>
    <s v="Saturday"/>
    <d v="2025-12-06T16:35:00"/>
    <s v="Saturday"/>
    <x v="0"/>
    <n v="24.99"/>
    <n v="1"/>
    <s v="Weekends/Holiday Only"/>
  </r>
  <r>
    <s v="101-0011-3176"/>
    <x v="2"/>
    <x v="247"/>
    <s v="Saturday"/>
    <d v="2025-12-06T16:05:00"/>
    <s v="Saturday"/>
    <x v="0"/>
    <n v="24.99"/>
    <n v="1"/>
    <s v="Weekends/Holiday Only"/>
  </r>
  <r>
    <s v="101-0011-3186"/>
    <x v="2"/>
    <x v="248"/>
    <s v="Saturday"/>
    <d v="2025-12-07T11:05:00"/>
    <s v="Sunday"/>
    <x v="0"/>
    <n v="49.98"/>
    <n v="2"/>
    <s v="Weekends/Holiday Only"/>
  </r>
  <r>
    <s v="101-0011-6766"/>
    <x v="2"/>
    <x v="249"/>
    <s v="Tuesday"/>
    <m/>
    <s v="Saturday"/>
    <x v="0"/>
    <n v="0"/>
    <n v="1"/>
    <s v="Weekends/Holiday Only"/>
  </r>
  <r>
    <s v="101-0011-6769"/>
    <x v="2"/>
    <x v="250"/>
    <s v="Tuesday"/>
    <m/>
    <s v="Saturday"/>
    <x v="0"/>
    <n v="0"/>
    <n v="1"/>
    <s v="Weekends/Holiday Only"/>
  </r>
  <r>
    <s v="101-0011-7936"/>
    <x v="2"/>
    <x v="251"/>
    <s v="Wednesday"/>
    <m/>
    <s v="Saturday"/>
    <x v="0"/>
    <n v="24.99"/>
    <n v="1"/>
    <s v="Weekends/Holiday Only"/>
  </r>
  <r>
    <s v="101-0011-7954"/>
    <x v="2"/>
    <x v="252"/>
    <s v="Wednesday"/>
    <m/>
    <s v="Saturday"/>
    <x v="0"/>
    <n v="24.99"/>
    <n v="1"/>
    <s v="Weekends/Holiday Only"/>
  </r>
  <r>
    <s v="101-0012-0530"/>
    <x v="2"/>
    <x v="253"/>
    <s v="Friday"/>
    <m/>
    <s v="Saturday"/>
    <x v="1"/>
    <n v="24.99"/>
    <n v="1"/>
    <s v="Weekends/Holiday Only"/>
  </r>
  <r>
    <s v="101-0012-1138"/>
    <x v="2"/>
    <x v="254"/>
    <s v="Friday"/>
    <m/>
    <s v="Saturday"/>
    <x v="0"/>
    <n v="24.99"/>
    <n v="1"/>
    <s v="Weekends/Holiday Only"/>
  </r>
  <r>
    <s v="101-0012-1253"/>
    <x v="2"/>
    <x v="255"/>
    <s v="Friday"/>
    <m/>
    <s v="Saturday"/>
    <x v="0"/>
    <n v="24.99"/>
    <n v="1"/>
    <s v="Weekends/Holiday Only"/>
  </r>
  <r>
    <s v="101-0012-1787"/>
    <x v="2"/>
    <x v="256"/>
    <s v="Saturday"/>
    <m/>
    <s v="Saturday"/>
    <x v="0"/>
    <n v="24.99"/>
    <n v="1"/>
    <s v="Weekends/Holiday Only"/>
  </r>
  <r>
    <s v="101-0012-2830"/>
    <x v="2"/>
    <x v="257"/>
    <s v="Saturday"/>
    <m/>
    <s v="Saturday"/>
    <x v="1"/>
    <n v="24.99"/>
    <n v="1"/>
    <s v="Weekends/Holiday Only"/>
  </r>
  <r>
    <s v="101-0012-4369"/>
    <x v="2"/>
    <x v="258"/>
    <s v="Monday"/>
    <m/>
    <s v="Saturday"/>
    <x v="0"/>
    <n v="24.99"/>
    <n v="1"/>
    <s v="Weekends/Holiday Only"/>
  </r>
  <r>
    <s v="101-0012-7030"/>
    <x v="2"/>
    <x v="259"/>
    <s v="Wednesday"/>
    <m/>
    <s v="Saturday"/>
    <x v="0"/>
    <n v="49.98"/>
    <n v="2"/>
    <s v="Weekends/Holiday Only"/>
  </r>
  <r>
    <s v="101-0012-8197"/>
    <x v="2"/>
    <x v="260"/>
    <s v="Thursday"/>
    <m/>
    <s v="Saturday"/>
    <x v="0"/>
    <n v="24.99"/>
    <n v="1"/>
    <s v="Weekends/Holiday Only"/>
  </r>
  <r>
    <s v="101-0013-1789"/>
    <x v="2"/>
    <x v="261"/>
    <s v="Saturday"/>
    <m/>
    <s v="Saturday"/>
    <x v="0"/>
    <n v="24.99"/>
    <n v="1"/>
    <s v="Weekends/Holiday Only"/>
  </r>
  <r>
    <s v="101-0013-1904"/>
    <x v="2"/>
    <x v="262"/>
    <s v="Saturday"/>
    <m/>
    <s v="Saturday"/>
    <x v="0"/>
    <n v="24.99"/>
    <n v="1"/>
    <s v="Weekends/Holiday Only"/>
  </r>
  <r>
    <s v="101-0013-2182"/>
    <x v="2"/>
    <x v="263"/>
    <s v="Saturday"/>
    <m/>
    <s v="Saturday"/>
    <x v="0"/>
    <n v="24.99"/>
    <n v="1"/>
    <s v="Weekends/Holiday Only"/>
  </r>
  <r>
    <s v="101-0013-2205"/>
    <x v="2"/>
    <x v="264"/>
    <s v="Saturday"/>
    <m/>
    <s v="Saturday"/>
    <x v="1"/>
    <n v="24.99"/>
    <n v="1"/>
    <s v="Weekends/Holiday Only"/>
  </r>
  <r>
    <s v="101-0013-2591"/>
    <x v="2"/>
    <x v="265"/>
    <s v="Saturday"/>
    <m/>
    <s v="Saturday"/>
    <x v="0"/>
    <n v="24.99"/>
    <n v="1"/>
    <s v="Weekends/Holiday Only"/>
  </r>
  <r>
    <s v="101-0013-2919"/>
    <x v="2"/>
    <x v="266"/>
    <s v="Sunday"/>
    <m/>
    <s v="Saturday"/>
    <x v="1"/>
    <n v="24.99"/>
    <n v="1"/>
    <s v="Weekends/Holiday Only"/>
  </r>
  <r>
    <s v="101-0013-2930"/>
    <x v="2"/>
    <x v="267"/>
    <s v="Sunday"/>
    <m/>
    <s v="Saturday"/>
    <x v="1"/>
    <n v="24.99"/>
    <n v="1"/>
    <s v="Weekends/Holiday Only"/>
  </r>
  <r>
    <s v="101-0013-3275"/>
    <x v="2"/>
    <x v="268"/>
    <s v="Sunday"/>
    <m/>
    <s v="Saturday"/>
    <x v="0"/>
    <n v="24.99"/>
    <n v="1"/>
    <s v="Weekends/Holiday Only"/>
  </r>
  <r>
    <s v="101-0013-3720"/>
    <x v="2"/>
    <x v="269"/>
    <s v="Sunday"/>
    <m/>
    <s v="Saturday"/>
    <x v="1"/>
    <n v="24.99"/>
    <n v="1"/>
    <s v="Weekends/Holiday Only"/>
  </r>
  <r>
    <s v="101-0013-4247"/>
    <x v="2"/>
    <x v="270"/>
    <s v="Monday"/>
    <m/>
    <s v="Saturday"/>
    <x v="0"/>
    <n v="24.99"/>
    <n v="1"/>
    <s v="Weekends/Holiday Only"/>
  </r>
  <r>
    <s v="101-0013-5461"/>
    <x v="2"/>
    <x v="271"/>
    <s v="Monday"/>
    <m/>
    <s v="Saturday"/>
    <x v="0"/>
    <n v="24.99"/>
    <n v="1"/>
    <s v="Weekends/Holiday Only"/>
  </r>
  <r>
    <s v="101-0013-6217"/>
    <x v="2"/>
    <x v="272"/>
    <s v="Tuesday"/>
    <m/>
    <s v="Saturday"/>
    <x v="0"/>
    <n v="24.99"/>
    <n v="1"/>
    <s v="Weekends/Holiday Only"/>
  </r>
  <r>
    <s v="101-0013-8638"/>
    <x v="2"/>
    <x v="273"/>
    <s v="Wednesday"/>
    <m/>
    <s v="Saturday"/>
    <x v="0"/>
    <n v="24.99"/>
    <n v="1"/>
    <s v="Weekends/Holiday Only"/>
  </r>
  <r>
    <s v="101-0014-0108"/>
    <x v="2"/>
    <x v="274"/>
    <s v="Friday"/>
    <m/>
    <s v="Saturday"/>
    <x v="0"/>
    <n v="24.99"/>
    <n v="1"/>
    <s v="Weekends/Holiday Only"/>
  </r>
  <r>
    <s v="101-0014-0584"/>
    <x v="2"/>
    <x v="275"/>
    <s v="Friday"/>
    <m/>
    <s v="Saturday"/>
    <x v="1"/>
    <n v="24.99"/>
    <n v="1"/>
    <s v="Weekends/Holiday Only"/>
  </r>
  <r>
    <s v="101-0014-0993"/>
    <x v="2"/>
    <x v="276"/>
    <s v="Friday"/>
    <m/>
    <s v="Saturday"/>
    <x v="0"/>
    <n v="24.99"/>
    <n v="1"/>
    <s v="Weekends/Holiday Only"/>
  </r>
  <r>
    <s v="101-0014-1149"/>
    <x v="2"/>
    <x v="277"/>
    <s v="Friday"/>
    <m/>
    <s v="Saturday"/>
    <x v="0"/>
    <n v="24.99"/>
    <n v="1"/>
    <s v="Weekends/Holiday Only"/>
  </r>
  <r>
    <s v="101-0014-1499"/>
    <x v="2"/>
    <x v="278"/>
    <s v="Saturday"/>
    <m/>
    <s v="Saturday"/>
    <x v="1"/>
    <n v="24.99"/>
    <n v="1"/>
    <s v="Weekends/Holiday Only"/>
  </r>
  <r>
    <s v="101-0014-1500"/>
    <x v="2"/>
    <x v="279"/>
    <s v="Saturday"/>
    <m/>
    <s v="Saturday"/>
    <x v="0"/>
    <n v="24.99"/>
    <n v="1"/>
    <s v="Weekends/Holiday Only"/>
  </r>
  <r>
    <s v="101-0014-1507"/>
    <x v="2"/>
    <x v="280"/>
    <s v="Saturday"/>
    <m/>
    <s v="Saturday"/>
    <x v="0"/>
    <n v="24.99"/>
    <n v="1"/>
    <s v="Weekends/Holiday Only"/>
  </r>
  <r>
    <s v="101-0014-1508"/>
    <x v="2"/>
    <x v="281"/>
    <s v="Saturday"/>
    <m/>
    <s v="Saturday"/>
    <x v="0"/>
    <n v="24.99"/>
    <n v="1"/>
    <s v="Weekends/Holiday Only"/>
  </r>
  <r>
    <s v="101-0014-1516"/>
    <x v="2"/>
    <x v="282"/>
    <s v="Saturday"/>
    <m/>
    <s v="Saturday"/>
    <x v="1"/>
    <n v="24.99"/>
    <n v="1"/>
    <s v="Weekends/Holiday Only"/>
  </r>
  <r>
    <s v="101-0014-1524"/>
    <x v="2"/>
    <x v="283"/>
    <s v="Saturday"/>
    <m/>
    <s v="Saturday"/>
    <x v="1"/>
    <n v="24.99"/>
    <n v="1"/>
    <s v="Weekends/Holiday Only"/>
  </r>
  <r>
    <s v="101-0014-1525"/>
    <x v="2"/>
    <x v="284"/>
    <s v="Saturday"/>
    <m/>
    <s v="Saturday"/>
    <x v="1"/>
    <n v="24.99"/>
    <n v="1"/>
    <s v="Weekends/Holiday Only"/>
  </r>
  <r>
    <s v="101-0014-1538"/>
    <x v="2"/>
    <x v="285"/>
    <s v="Saturday"/>
    <m/>
    <s v="Saturday"/>
    <x v="0"/>
    <n v="24.99"/>
    <n v="1"/>
    <s v="Weekends/Holiday Only"/>
  </r>
  <r>
    <s v="101-0014-1983"/>
    <x v="2"/>
    <x v="286"/>
    <s v="Saturday"/>
    <m/>
    <s v="Saturday"/>
    <x v="0"/>
    <n v="24.99"/>
    <n v="1"/>
    <s v="Weekends/Holiday Only"/>
  </r>
  <r>
    <s v="101-0014-1988"/>
    <x v="2"/>
    <x v="287"/>
    <s v="Saturday"/>
    <m/>
    <s v="Saturday"/>
    <x v="1"/>
    <n v="24.99"/>
    <n v="1"/>
    <s v="Weekends/Holiday Only"/>
  </r>
  <r>
    <s v="101-0014-2881"/>
    <x v="2"/>
    <x v="288"/>
    <s v="Sunday"/>
    <m/>
    <s v="Saturday"/>
    <x v="1"/>
    <n v="24.99"/>
    <n v="1"/>
    <s v="Weekends/Holiday Only"/>
  </r>
  <r>
    <s v="101-0014-2884"/>
    <x v="2"/>
    <x v="289"/>
    <s v="Sunday"/>
    <m/>
    <s v="Saturday"/>
    <x v="1"/>
    <n v="24.99"/>
    <n v="1"/>
    <s v="Weekends/Holiday Only"/>
  </r>
  <r>
    <s v="101-0014-2885"/>
    <x v="2"/>
    <x v="290"/>
    <s v="Sunday"/>
    <m/>
    <s v="Saturday"/>
    <x v="1"/>
    <n v="24.99"/>
    <n v="1"/>
    <s v="Weekends/Holiday Only"/>
  </r>
  <r>
    <s v="101-0014-2963"/>
    <x v="2"/>
    <x v="291"/>
    <s v="Sunday"/>
    <m/>
    <s v="Saturday"/>
    <x v="1"/>
    <n v="49.98"/>
    <n v="2"/>
    <s v="Weekends/Holiday Only"/>
  </r>
  <r>
    <s v="101-0014-3180"/>
    <x v="2"/>
    <x v="292"/>
    <s v="Sunday"/>
    <m/>
    <s v="Saturday"/>
    <x v="1"/>
    <n v="24.99"/>
    <n v="1"/>
    <s v="Weekends/Holiday Only"/>
  </r>
  <r>
    <s v="101-0014-3530"/>
    <x v="2"/>
    <x v="293"/>
    <s v="Sunday"/>
    <m/>
    <s v="Saturday"/>
    <x v="1"/>
    <n v="49.98"/>
    <n v="2"/>
    <s v="Weekends/Holiday Only"/>
  </r>
  <r>
    <s v="101-0014-3874"/>
    <x v="2"/>
    <x v="294"/>
    <s v="Monday"/>
    <m/>
    <s v="Saturday"/>
    <x v="0"/>
    <n v="24.99"/>
    <n v="1"/>
    <s v="Weekends/Holiday Only"/>
  </r>
  <r>
    <s v="101-0014-3880"/>
    <x v="2"/>
    <x v="295"/>
    <s v="Monday"/>
    <m/>
    <s v="Saturday"/>
    <x v="1"/>
    <n v="24.99"/>
    <n v="1"/>
    <s v="Weekends/Holiday Only"/>
  </r>
  <r>
    <s v="101-0014-3881"/>
    <x v="2"/>
    <x v="296"/>
    <s v="Monday"/>
    <m/>
    <s v="Saturday"/>
    <x v="0"/>
    <n v="24.99"/>
    <n v="1"/>
    <s v="Weekends/Holiday Only"/>
  </r>
  <r>
    <s v="101-0014-3883"/>
    <x v="2"/>
    <x v="297"/>
    <s v="Monday"/>
    <m/>
    <s v="Saturday"/>
    <x v="1"/>
    <n v="24.99"/>
    <n v="1"/>
    <s v="Weekends/Holiday Only"/>
  </r>
  <r>
    <s v="101-0014-3891"/>
    <x v="2"/>
    <x v="298"/>
    <s v="Monday"/>
    <m/>
    <s v="Saturday"/>
    <x v="1"/>
    <n v="0"/>
    <n v="1"/>
    <s v="Weekends/Holiday Only"/>
  </r>
  <r>
    <s v="101-0014-3893"/>
    <x v="2"/>
    <x v="299"/>
    <s v="Monday"/>
    <m/>
    <s v="Saturday"/>
    <x v="1"/>
    <n v="49.98"/>
    <n v="2"/>
    <s v="Weekends/Holiday Only"/>
  </r>
  <r>
    <s v="101-0014-3913"/>
    <x v="2"/>
    <x v="300"/>
    <s v="Monday"/>
    <m/>
    <s v="Saturday"/>
    <x v="0"/>
    <n v="24.99"/>
    <n v="1"/>
    <s v="Weekends/Holiday Only"/>
  </r>
  <r>
    <s v="101-0014-3916"/>
    <x v="2"/>
    <x v="301"/>
    <s v="Monday"/>
    <m/>
    <s v="Saturday"/>
    <x v="0"/>
    <n v="24.99"/>
    <n v="1"/>
    <s v="Weekends/Holiday Only"/>
  </r>
  <r>
    <s v="101-0014-3919"/>
    <x v="2"/>
    <x v="302"/>
    <s v="Monday"/>
    <m/>
    <s v="Saturday"/>
    <x v="0"/>
    <n v="24.99"/>
    <n v="1"/>
    <s v="Weekends/Holiday Only"/>
  </r>
  <r>
    <s v="101-0014-4557"/>
    <x v="2"/>
    <x v="303"/>
    <s v="Monday"/>
    <m/>
    <s v="Saturday"/>
    <x v="0"/>
    <n v="24.99"/>
    <n v="1"/>
    <s v="Weekends/Holiday Only"/>
  </r>
  <r>
    <s v="101-0014-4769"/>
    <x v="2"/>
    <x v="304"/>
    <s v="Monday"/>
    <m/>
    <s v="Saturday"/>
    <x v="0"/>
    <n v="24.99"/>
    <n v="1"/>
    <s v="Weekends/Holiday Only"/>
  </r>
  <r>
    <s v="101-0014-5102"/>
    <x v="2"/>
    <x v="305"/>
    <s v="Monday"/>
    <m/>
    <s v="Saturday"/>
    <x v="0"/>
    <n v="24.99"/>
    <n v="1"/>
    <s v="Weekends/Holiday Only"/>
  </r>
  <r>
    <s v="101-0014-5473"/>
    <x v="2"/>
    <x v="306"/>
    <s v="Tuesday"/>
    <m/>
    <s v="Saturday"/>
    <x v="0"/>
    <n v="24.99"/>
    <n v="1"/>
    <s v="Weekends/Holiday Only"/>
  </r>
  <r>
    <s v="101-0014-5528"/>
    <x v="2"/>
    <x v="307"/>
    <s v="Tuesday"/>
    <m/>
    <s v="Saturday"/>
    <x v="1"/>
    <n v="24.99"/>
    <n v="1"/>
    <s v="Weekends/Holiday Only"/>
  </r>
  <r>
    <s v="101-0014-5994"/>
    <x v="2"/>
    <x v="308"/>
    <s v="Tuesday"/>
    <m/>
    <s v="Saturday"/>
    <x v="0"/>
    <n v="24.99"/>
    <n v="1"/>
    <s v="Weekends/Holiday Only"/>
  </r>
  <r>
    <s v="101-0014-6085"/>
    <x v="2"/>
    <x v="309"/>
    <s v="Tuesday"/>
    <m/>
    <s v="Saturday"/>
    <x v="0"/>
    <n v="24.99"/>
    <n v="1"/>
    <s v="Weekends/Holiday Only"/>
  </r>
  <r>
    <s v="101-0014-6111"/>
    <x v="2"/>
    <x v="310"/>
    <s v="Tuesday"/>
    <m/>
    <s v="Saturday"/>
    <x v="0"/>
    <n v="24.99"/>
    <n v="1"/>
    <s v="Weekends/Holiday Only"/>
  </r>
  <r>
    <s v="101-0014-6206"/>
    <x v="2"/>
    <x v="311"/>
    <s v="Tuesday"/>
    <m/>
    <s v="Saturday"/>
    <x v="0"/>
    <n v="24.99"/>
    <n v="1"/>
    <s v="Weekends/Holiday Only"/>
  </r>
  <r>
    <s v="101-0014-6227"/>
    <x v="2"/>
    <x v="312"/>
    <s v="Tuesday"/>
    <m/>
    <s v="Saturday"/>
    <x v="0"/>
    <n v="24.99"/>
    <n v="1"/>
    <s v="Weekends/Holiday Only"/>
  </r>
  <r>
    <s v="101-0014-6530"/>
    <x v="2"/>
    <x v="313"/>
    <s v="Tuesday"/>
    <m/>
    <s v="Saturday"/>
    <x v="1"/>
    <n v="24.99"/>
    <n v="1"/>
    <s v="Weekends/Holiday Only"/>
  </r>
  <r>
    <s v="101-0014-6573"/>
    <x v="2"/>
    <x v="314"/>
    <s v="Tuesday"/>
    <m/>
    <s v="Saturday"/>
    <x v="0"/>
    <n v="24.99"/>
    <n v="1"/>
    <s v="Weekends/Holiday Only"/>
  </r>
  <r>
    <s v="101-0014-6605"/>
    <x v="2"/>
    <x v="315"/>
    <s v="Tuesday"/>
    <m/>
    <s v="Saturday"/>
    <x v="0"/>
    <n v="24.99"/>
    <n v="1"/>
    <s v="Weekends/Holiday Only"/>
  </r>
  <r>
    <s v="101-0014-6699"/>
    <x v="2"/>
    <x v="316"/>
    <s v="Tuesday"/>
    <m/>
    <s v="Saturday"/>
    <x v="1"/>
    <n v="24.99"/>
    <n v="1"/>
    <s v="Weekends/Holiday Only"/>
  </r>
  <r>
    <s v="101-0014-6768"/>
    <x v="2"/>
    <x v="317"/>
    <s v="Wednesday"/>
    <m/>
    <s v="Saturday"/>
    <x v="0"/>
    <n v="24.99"/>
    <n v="1"/>
    <s v="Weekends/Holiday Only"/>
  </r>
  <r>
    <s v="101-0014-6771"/>
    <x v="2"/>
    <x v="318"/>
    <s v="Wednesday"/>
    <m/>
    <s v="Saturday"/>
    <x v="1"/>
    <n v="24.99"/>
    <n v="1"/>
    <s v="Weekends/Holiday Only"/>
  </r>
  <r>
    <s v="101-0014-6774"/>
    <x v="2"/>
    <x v="319"/>
    <s v="Wednesday"/>
    <m/>
    <s v="Saturday"/>
    <x v="1"/>
    <n v="24.99"/>
    <n v="1"/>
    <s v="Weekends/Holiday Only"/>
  </r>
  <r>
    <s v="101-0014-6910"/>
    <x v="2"/>
    <x v="320"/>
    <s v="Wednesday"/>
    <m/>
    <s v="Saturday"/>
    <x v="0"/>
    <n v="24.99"/>
    <n v="1"/>
    <s v="Weekends/Holiday Only"/>
  </r>
  <r>
    <s v="101-0014-6925"/>
    <x v="2"/>
    <x v="321"/>
    <s v="Wednesday"/>
    <m/>
    <s v="Saturday"/>
    <x v="0"/>
    <n v="24.99"/>
    <n v="1"/>
    <s v="Weekends/Holiday Only"/>
  </r>
  <r>
    <s v="101-0014-6930"/>
    <x v="2"/>
    <x v="322"/>
    <s v="Wednesday"/>
    <m/>
    <s v="Saturday"/>
    <x v="0"/>
    <n v="49.98"/>
    <n v="2"/>
    <s v="Weekends/Holiday Only"/>
  </r>
  <r>
    <s v="101-0014-7026"/>
    <x v="2"/>
    <x v="323"/>
    <s v="Wednesday"/>
    <m/>
    <s v="Saturday"/>
    <x v="0"/>
    <n v="24.99"/>
    <n v="1"/>
    <s v="Weekends/Holiday Only"/>
  </r>
  <r>
    <s v="101-0014-7986"/>
    <x v="2"/>
    <x v="324"/>
    <s v="Thursday"/>
    <m/>
    <s v="Saturday"/>
    <x v="0"/>
    <n v="24.99"/>
    <n v="1"/>
    <s v="Weekends/Holiday Only"/>
  </r>
  <r>
    <s v="101-0014-7988"/>
    <x v="2"/>
    <x v="325"/>
    <s v="Thursday"/>
    <m/>
    <s v="Saturday"/>
    <x v="0"/>
    <n v="24.99"/>
    <n v="1"/>
    <s v="Weekends/Holiday Only"/>
  </r>
  <r>
    <s v="101-0014-7992"/>
    <x v="2"/>
    <x v="326"/>
    <s v="Thursday"/>
    <m/>
    <s v="Saturday"/>
    <x v="0"/>
    <n v="24.99"/>
    <n v="1"/>
    <s v="Weekends/Holiday Only"/>
  </r>
  <r>
    <s v="101-0014-8781"/>
    <x v="2"/>
    <x v="327"/>
    <s v="Thursday"/>
    <m/>
    <s v="Saturday"/>
    <x v="0"/>
    <n v="24.99"/>
    <n v="1"/>
    <s v="Weekends/Holiday Only"/>
  </r>
  <r>
    <s v="101-0014-8823"/>
    <x v="2"/>
    <x v="328"/>
    <s v="Thursday"/>
    <m/>
    <s v="Saturday"/>
    <x v="1"/>
    <n v="24.99"/>
    <n v="1"/>
    <s v="Weekends/Holiday Only"/>
  </r>
  <r>
    <s v="101-0014-8841"/>
    <x v="2"/>
    <x v="329"/>
    <s v="Thursday"/>
    <m/>
    <s v="Saturday"/>
    <x v="1"/>
    <n v="24.99"/>
    <n v="1"/>
    <s v="Weekends/Holiday Only"/>
  </r>
  <r>
    <s v="101-0014-8846"/>
    <x v="2"/>
    <x v="330"/>
    <s v="Thursday"/>
    <m/>
    <s v="Saturday"/>
    <x v="0"/>
    <n v="24.99"/>
    <n v="1"/>
    <s v="Weekends/Holiday Only"/>
  </r>
  <r>
    <s v="101-0014-8903"/>
    <x v="2"/>
    <x v="331"/>
    <s v="Thursday"/>
    <m/>
    <s v="Saturday"/>
    <x v="1"/>
    <n v="24.99"/>
    <n v="1"/>
    <s v="Weekends/Holiday Only"/>
  </r>
  <r>
    <s v="101-0014-8918"/>
    <x v="2"/>
    <x v="332"/>
    <s v="Thursday"/>
    <m/>
    <s v="Saturday"/>
    <x v="0"/>
    <n v="24.99"/>
    <n v="1"/>
    <s v="Weekends/Holiday Only"/>
  </r>
  <r>
    <s v="101-0014-9355"/>
    <x v="2"/>
    <x v="333"/>
    <s v="Friday"/>
    <m/>
    <s v="Saturday"/>
    <x v="0"/>
    <n v="24.99"/>
    <n v="1"/>
    <s v="Weekends/Holiday Only"/>
  </r>
  <r>
    <s v="101-0014-9371"/>
    <x v="2"/>
    <x v="334"/>
    <s v="Friday"/>
    <m/>
    <s v="Saturday"/>
    <x v="0"/>
    <n v="24.99"/>
    <n v="1"/>
    <s v="Weekends/Holiday Only"/>
  </r>
  <r>
    <s v="101-0014-9393"/>
    <x v="2"/>
    <x v="335"/>
    <s v="Friday"/>
    <m/>
    <s v="Saturday"/>
    <x v="1"/>
    <n v="24.99"/>
    <n v="1"/>
    <s v="Weekends/Holiday Only"/>
  </r>
  <r>
    <s v="101-0015-0369"/>
    <x v="2"/>
    <x v="336"/>
    <s v="Friday"/>
    <m/>
    <s v="Saturday"/>
    <x v="0"/>
    <n v="24.99"/>
    <n v="1"/>
    <s v="Weekends/Holiday Only"/>
  </r>
  <r>
    <s v="101-0015-0401"/>
    <x v="2"/>
    <x v="337"/>
    <s v="Friday"/>
    <m/>
    <s v="Saturday"/>
    <x v="0"/>
    <n v="24.99"/>
    <n v="1"/>
    <s v="Weekends/Holiday Only"/>
  </r>
  <r>
    <s v="101-0015-0543"/>
    <x v="2"/>
    <x v="338"/>
    <s v="Friday"/>
    <m/>
    <s v="Saturday"/>
    <x v="0"/>
    <n v="24.99"/>
    <n v="1"/>
    <s v="Weekends/Holiday Only"/>
  </r>
  <r>
    <s v="101-0015-0691"/>
    <x v="2"/>
    <x v="339"/>
    <s v="Saturday"/>
    <m/>
    <s v="Saturday"/>
    <x v="0"/>
    <n v="24.99"/>
    <n v="1"/>
    <s v="Weekends/Holiday Only"/>
  </r>
  <r>
    <s v="101-0015-0735"/>
    <x v="2"/>
    <x v="340"/>
    <s v="Saturday"/>
    <m/>
    <s v="Saturday"/>
    <x v="1"/>
    <n v="24.99"/>
    <n v="1"/>
    <s v="Weekends/Holiday Only"/>
  </r>
  <r>
    <s v="101-0015-2147"/>
    <x v="2"/>
    <x v="341"/>
    <s v="Sunday"/>
    <m/>
    <s v="Saturday"/>
    <x v="0"/>
    <n v="24.99"/>
    <n v="1"/>
    <s v="Weekends/Holiday Only"/>
  </r>
  <r>
    <s v="101-0015-2207"/>
    <x v="2"/>
    <x v="342"/>
    <s v="Sunday"/>
    <m/>
    <s v="Saturday"/>
    <x v="1"/>
    <n v="24.99"/>
    <n v="1"/>
    <s v="Weekends/Holiday Only"/>
  </r>
  <r>
    <s v="101-0015-3358"/>
    <x v="2"/>
    <x v="343"/>
    <s v="Monday"/>
    <m/>
    <s v="Saturday"/>
    <x v="0"/>
    <n v="24.99"/>
    <n v="1"/>
    <s v="Weekends/Holiday Only"/>
  </r>
  <r>
    <s v="101-0015-3360"/>
    <x v="2"/>
    <x v="344"/>
    <s v="Monday"/>
    <m/>
    <s v="Saturday"/>
    <x v="1"/>
    <n v="24.99"/>
    <n v="1"/>
    <s v="Weekends/Holiday Only"/>
  </r>
  <r>
    <s v="101-0015-4994"/>
    <x v="2"/>
    <x v="345"/>
    <s v="Tuesday"/>
    <m/>
    <s v="Saturday"/>
    <x v="1"/>
    <n v="24.99"/>
    <n v="1"/>
    <s v="Weekends/Holiday Only"/>
  </r>
  <r>
    <s v="101-0015-6012"/>
    <x v="2"/>
    <x v="346"/>
    <s v="Wednesday"/>
    <m/>
    <s v="Saturday"/>
    <x v="0"/>
    <n v="49.98"/>
    <n v="2"/>
    <s v="Weekends/Holiday Only"/>
  </r>
  <r>
    <s v="101-0015-8895"/>
    <x v="2"/>
    <x v="347"/>
    <s v="Friday"/>
    <m/>
    <s v="Saturday"/>
    <x v="0"/>
    <n v="24.99"/>
    <n v="1"/>
    <s v="Weekends/Holiday Only"/>
  </r>
  <r>
    <s v="101-0015-9775"/>
    <x v="2"/>
    <x v="348"/>
    <s v="Friday"/>
    <m/>
    <s v="Saturday"/>
    <x v="0"/>
    <n v="24.99"/>
    <n v="1"/>
    <s v="Weekends/Holiday Only"/>
  </r>
  <r>
    <s v="101-0015-9842"/>
    <x v="2"/>
    <x v="349"/>
    <s v="Friday"/>
    <m/>
    <s v="Saturday"/>
    <x v="0"/>
    <n v="24.99"/>
    <n v="1"/>
    <s v="Weekends/Holiday Only"/>
  </r>
  <r>
    <s v="101-0016-0354"/>
    <x v="2"/>
    <x v="350"/>
    <s v="Saturday"/>
    <m/>
    <s v="Saturday"/>
    <x v="0"/>
    <n v="24.99"/>
    <n v="1"/>
    <s v="Weekends/Holiday Only"/>
  </r>
  <r>
    <s v="101-0016-1488"/>
    <x v="2"/>
    <x v="351"/>
    <s v="Saturday"/>
    <m/>
    <s v="Saturday"/>
    <x v="1"/>
    <n v="24.99"/>
    <n v="1"/>
    <s v="Weekends/Holiday Only"/>
  </r>
  <r>
    <s v="101-0016-1787"/>
    <x v="2"/>
    <x v="352"/>
    <s v="Sunday"/>
    <m/>
    <s v="Saturday"/>
    <x v="0"/>
    <n v="24.99"/>
    <n v="1"/>
    <s v="Weekends/Holiday Only"/>
  </r>
  <r>
    <s v="101-0016-2939"/>
    <x v="2"/>
    <x v="353"/>
    <s v="Monday"/>
    <m/>
    <s v="Saturday"/>
    <x v="1"/>
    <n v="24.99"/>
    <n v="1"/>
    <s v="Weekends/Holiday Only"/>
  </r>
  <r>
    <s v="101-0016-2941"/>
    <x v="2"/>
    <x v="354"/>
    <s v="Monday"/>
    <m/>
    <s v="Saturday"/>
    <x v="1"/>
    <n v="24.99"/>
    <n v="1"/>
    <s v="Weekends/Holiday Only"/>
  </r>
  <r>
    <s v="101-0016-3492"/>
    <x v="2"/>
    <x v="355"/>
    <s v="Monday"/>
    <m/>
    <s v="Saturday"/>
    <x v="0"/>
    <n v="49.98"/>
    <n v="2"/>
    <s v="Weekends/Holiday Only"/>
  </r>
  <r>
    <s v="101-0016-6307"/>
    <x v="2"/>
    <x v="356"/>
    <s v="Wednesday"/>
    <m/>
    <s v="Saturday"/>
    <x v="0"/>
    <n v="24.99"/>
    <n v="1"/>
    <s v="Weekends/Holiday Only"/>
  </r>
  <r>
    <s v="101-0016-8766"/>
    <x v="2"/>
    <x v="357"/>
    <s v="Friday"/>
    <m/>
    <s v="Saturday"/>
    <x v="1"/>
    <n v="24.99"/>
    <n v="1"/>
    <s v="Weekends/Holiday Only"/>
  </r>
  <r>
    <s v="101-0017-0729"/>
    <x v="2"/>
    <x v="358"/>
    <s v="Saturday"/>
    <m/>
    <s v="Saturday"/>
    <x v="0"/>
    <n v="24.99"/>
    <n v="1"/>
    <s v="Weekends/Holiday Only"/>
  </r>
  <r>
    <s v="101-0017-5945"/>
    <x v="2"/>
    <x v="359"/>
    <s v="Thursday"/>
    <m/>
    <s v="Saturday"/>
    <x v="1"/>
    <n v="24.99"/>
    <n v="1"/>
    <s v="Weekends/Holiday Only"/>
  </r>
  <r>
    <s v="101-0017-6272"/>
    <x v="2"/>
    <x v="360"/>
    <s v="Friday"/>
    <m/>
    <s v="Saturday"/>
    <x v="1"/>
    <n v="24.99"/>
    <n v="1"/>
    <s v="Weekends/Holiday Only"/>
  </r>
  <r>
    <s v="101-0017-6412"/>
    <x v="2"/>
    <x v="361"/>
    <s v="Friday"/>
    <m/>
    <s v="Saturday"/>
    <x v="0"/>
    <n v="24.99"/>
    <n v="1"/>
    <s v="Weekends/Holiday Only"/>
  </r>
  <r>
    <s v="101-0017-6681"/>
    <x v="2"/>
    <x v="362"/>
    <s v="Friday"/>
    <m/>
    <s v="Saturday"/>
    <x v="0"/>
    <n v="24.99"/>
    <n v="1"/>
    <s v="Weekends/Holiday Only"/>
  </r>
  <r>
    <s v="101-0017-7394"/>
    <x v="2"/>
    <x v="363"/>
    <s v="Friday"/>
    <m/>
    <s v="Saturday"/>
    <x v="0"/>
    <n v="24.99"/>
    <n v="1"/>
    <s v="Weekends/Holiday Only"/>
  </r>
  <r>
    <s v="101-0017-7817"/>
    <x v="2"/>
    <x v="364"/>
    <s v="Saturday"/>
    <m/>
    <s v="Saturday"/>
    <x v="0"/>
    <n v="24.99"/>
    <n v="1"/>
    <s v="Weekends/Holiday Only"/>
  </r>
  <r>
    <s v="101-0017-7818"/>
    <x v="2"/>
    <x v="365"/>
    <s v="Saturday"/>
    <m/>
    <s v="Saturday"/>
    <x v="0"/>
    <n v="24.99"/>
    <n v="1"/>
    <s v="Weekends/Holiday Only"/>
  </r>
  <r>
    <s v="101-0017-8047"/>
    <x v="2"/>
    <x v="366"/>
    <s v="Saturday"/>
    <m/>
    <s v="Saturday"/>
    <x v="1"/>
    <n v="24.99"/>
    <n v="1"/>
    <s v="Weekends/Holiday Only"/>
  </r>
  <r>
    <s v="101-0017-8607"/>
    <x v="2"/>
    <x v="367"/>
    <s v="Saturday"/>
    <m/>
    <s v="Saturday"/>
    <x v="0"/>
    <n v="24.99"/>
    <n v="1"/>
    <s v="Weekends/Holiday Only"/>
  </r>
  <r>
    <s v="101-0017-9051"/>
    <x v="2"/>
    <x v="368"/>
    <s v="Saturday"/>
    <m/>
    <s v="Saturday"/>
    <x v="1"/>
    <n v="24.99"/>
    <n v="1"/>
    <s v="Weekends/Holiday Only"/>
  </r>
  <r>
    <s v="101-0017-9216"/>
    <x v="2"/>
    <x v="369"/>
    <s v="Sunday"/>
    <m/>
    <s v="Saturday"/>
    <x v="0"/>
    <n v="24.99"/>
    <n v="1"/>
    <s v="Weekends/Holiday Only"/>
  </r>
  <r>
    <s v="101-0017-9217"/>
    <x v="2"/>
    <x v="370"/>
    <s v="Sunday"/>
    <m/>
    <s v="Saturday"/>
    <x v="1"/>
    <n v="24.99"/>
    <n v="1"/>
    <s v="Weekends/Holiday Only"/>
  </r>
  <r>
    <s v="101-0017-9218"/>
    <x v="2"/>
    <x v="371"/>
    <s v="Sunday"/>
    <m/>
    <s v="Saturday"/>
    <x v="0"/>
    <n v="24.99"/>
    <n v="1"/>
    <s v="Weekends/Holiday Only"/>
  </r>
  <r>
    <s v="101-0017-9220"/>
    <x v="2"/>
    <x v="372"/>
    <s v="Sunday"/>
    <m/>
    <s v="Saturday"/>
    <x v="1"/>
    <n v="24.99"/>
    <n v="1"/>
    <s v="Weekends/Holiday Only"/>
  </r>
  <r>
    <s v="101-0018-1285"/>
    <x v="2"/>
    <x v="373"/>
    <s v="Tuesday"/>
    <m/>
    <s v="Saturday"/>
    <x v="1"/>
    <n v="24.99"/>
    <n v="1"/>
    <s v="Weekends/Holiday Only"/>
  </r>
  <r>
    <s v="101-0018-1286"/>
    <x v="2"/>
    <x v="374"/>
    <s v="Tuesday"/>
    <m/>
    <s v="Saturday"/>
    <x v="0"/>
    <n v="24.99"/>
    <n v="1"/>
    <s v="Weekends/Holiday Only"/>
  </r>
  <r>
    <s v="101-0018-1287"/>
    <x v="2"/>
    <x v="375"/>
    <s v="Tuesday"/>
    <m/>
    <s v="Saturday"/>
    <x v="1"/>
    <n v="24.99"/>
    <n v="1"/>
    <s v="Weekends/Holiday Only"/>
  </r>
  <r>
    <s v="101-0018-4262"/>
    <x v="2"/>
    <x v="376"/>
    <s v="Friday"/>
    <m/>
    <s v="Saturday"/>
    <x v="0"/>
    <n v="24.99"/>
    <n v="1"/>
    <s v="Weekends/Holiday Only"/>
  </r>
  <r>
    <s v="101-0018-4351"/>
    <x v="2"/>
    <x v="377"/>
    <s v="Friday"/>
    <m/>
    <s v="Saturday"/>
    <x v="0"/>
    <n v="24.99"/>
    <n v="1"/>
    <s v="Weekends/Holiday Only"/>
  </r>
  <r>
    <s v="101-0018-4360"/>
    <x v="2"/>
    <x v="378"/>
    <s v="Friday"/>
    <m/>
    <s v="Saturday"/>
    <x v="0"/>
    <n v="24.99"/>
    <n v="1"/>
    <s v="Weekends/Holiday Only"/>
  </r>
  <r>
    <s v="101-0018-4668"/>
    <x v="2"/>
    <x v="379"/>
    <s v="Friday"/>
    <m/>
    <s v="Saturday"/>
    <x v="0"/>
    <n v="24.99"/>
    <n v="1"/>
    <s v="Weekends/Holiday Only"/>
  </r>
  <r>
    <s v="101-0018-5469"/>
    <x v="2"/>
    <x v="380"/>
    <s v="Saturday"/>
    <m/>
    <s v="Saturday"/>
    <x v="0"/>
    <n v="24.99"/>
    <n v="1"/>
    <s v="Weekends/Holiday Only"/>
  </r>
  <r>
    <s v="101-0018-5471"/>
    <x v="2"/>
    <x v="381"/>
    <s v="Saturday"/>
    <m/>
    <s v="Saturday"/>
    <x v="0"/>
    <n v="24.99"/>
    <n v="1"/>
    <s v="Weekends/Holiday Only"/>
  </r>
  <r>
    <s v="101-0018-5782"/>
    <x v="2"/>
    <x v="382"/>
    <s v="Saturday"/>
    <m/>
    <s v="Saturday"/>
    <x v="0"/>
    <n v="24.99"/>
    <n v="1"/>
    <s v="Weekends/Holiday Only"/>
  </r>
  <r>
    <s v="101-0018-5905"/>
    <x v="2"/>
    <x v="383"/>
    <s v="Saturday"/>
    <m/>
    <s v="Saturday"/>
    <x v="0"/>
    <n v="0"/>
    <n v="1"/>
    <s v="Weekends/Holiday Only"/>
  </r>
  <r>
    <s v="101-0018-5916"/>
    <x v="2"/>
    <x v="384"/>
    <s v="Saturday"/>
    <m/>
    <s v="Saturday"/>
    <x v="1"/>
    <n v="0"/>
    <n v="1"/>
    <s v="Weekends/Holiday Only"/>
  </r>
  <r>
    <s v="101-0018-6970"/>
    <x v="2"/>
    <x v="385"/>
    <s v="Sunday"/>
    <m/>
    <s v="Saturday"/>
    <x v="0"/>
    <n v="24.99"/>
    <n v="1"/>
    <s v="Weekends/Holiday Only"/>
  </r>
  <r>
    <s v="101-0018-7341"/>
    <x v="2"/>
    <x v="386"/>
    <s v="Sunday"/>
    <m/>
    <s v="Saturday"/>
    <x v="0"/>
    <n v="24.99"/>
    <n v="1"/>
    <s v="Weekends/Holiday Only"/>
  </r>
  <r>
    <s v="101-0018-7425"/>
    <x v="2"/>
    <x v="387"/>
    <s v="Sunday"/>
    <m/>
    <s v="Saturday"/>
    <x v="0"/>
    <n v="24.99"/>
    <n v="1"/>
    <s v="Weekends/Holiday Only"/>
  </r>
  <r>
    <s v="101-0018-8056"/>
    <x v="2"/>
    <x v="388"/>
    <s v="Monday"/>
    <m/>
    <s v="Saturday"/>
    <x v="0"/>
    <n v="24.99"/>
    <n v="1"/>
    <s v="Weekends/Holiday Only"/>
  </r>
  <r>
    <s v="101-0019-0685"/>
    <x v="2"/>
    <x v="389"/>
    <s v="Thursday"/>
    <m/>
    <s v="Saturday"/>
    <x v="0"/>
    <n v="24.99"/>
    <n v="1"/>
    <s v="Weekends/Holiday Only"/>
  </r>
  <r>
    <s v="101-0019-0693"/>
    <x v="2"/>
    <x v="390"/>
    <s v="Thursday"/>
    <m/>
    <s v="Saturday"/>
    <x v="1"/>
    <n v="24.99"/>
    <n v="1"/>
    <s v="Weekends/Holiday Only"/>
  </r>
  <r>
    <s v="101-0019-0732"/>
    <x v="2"/>
    <x v="391"/>
    <s v="Thursday"/>
    <m/>
    <s v="Saturday"/>
    <x v="0"/>
    <n v="24.99"/>
    <n v="1"/>
    <s v="Weekends/Holiday Only"/>
  </r>
  <r>
    <s v="101-0019-0742"/>
    <x v="2"/>
    <x v="392"/>
    <s v="Thursday"/>
    <m/>
    <s v="Saturday"/>
    <x v="1"/>
    <n v="24.99"/>
    <n v="1"/>
    <s v="Weekends/Holiday Only"/>
  </r>
  <r>
    <s v="101-0019-0817"/>
    <x v="2"/>
    <x v="393"/>
    <s v="Thursday"/>
    <m/>
    <s v="Saturday"/>
    <x v="1"/>
    <n v="24.99"/>
    <n v="1"/>
    <s v="Weekends/Holiday Only"/>
  </r>
  <r>
    <s v="101-0019-1039"/>
    <x v="2"/>
    <x v="394"/>
    <s v="Thursday"/>
    <m/>
    <s v="Saturday"/>
    <x v="1"/>
    <n v="24.99"/>
    <n v="1"/>
    <s v="Weekends/Holiday Only"/>
  </r>
  <r>
    <s v="101-0019-1053"/>
    <x v="2"/>
    <x v="395"/>
    <s v="Thursday"/>
    <m/>
    <s v="Saturday"/>
    <x v="1"/>
    <n v="24.99"/>
    <n v="1"/>
    <s v="Weekends/Holiday Only"/>
  </r>
  <r>
    <s v="101-0019-1428"/>
    <x v="2"/>
    <x v="396"/>
    <s v="Friday"/>
    <m/>
    <s v="Saturday"/>
    <x v="0"/>
    <n v="24.99"/>
    <n v="1"/>
    <s v="Weekends/Holiday Only"/>
  </r>
  <r>
    <s v="101-0019-1429"/>
    <x v="2"/>
    <x v="397"/>
    <s v="Friday"/>
    <m/>
    <s v="Saturday"/>
    <x v="0"/>
    <n v="24.99"/>
    <n v="1"/>
    <s v="Weekends/Holiday Only"/>
  </r>
  <r>
    <s v="101-0019-1430"/>
    <x v="2"/>
    <x v="398"/>
    <s v="Friday"/>
    <m/>
    <s v="Saturday"/>
    <x v="1"/>
    <n v="24.99"/>
    <n v="1"/>
    <s v="Weekends/Holiday Only"/>
  </r>
  <r>
    <s v="101-0019-1431"/>
    <x v="2"/>
    <x v="399"/>
    <s v="Friday"/>
    <m/>
    <s v="Saturday"/>
    <x v="0"/>
    <n v="24.99"/>
    <n v="1"/>
    <s v="Weekends/Holiday Only"/>
  </r>
  <r>
    <s v="101-0019-1447"/>
    <x v="2"/>
    <x v="400"/>
    <s v="Friday"/>
    <m/>
    <s v="Saturday"/>
    <x v="1"/>
    <n v="24.99"/>
    <n v="1"/>
    <s v="Weekends/Holiday Only"/>
  </r>
  <r>
    <s v="101-0019-2022"/>
    <x v="2"/>
    <x v="401"/>
    <s v="Friday"/>
    <m/>
    <s v="Saturday"/>
    <x v="1"/>
    <n v="24.99"/>
    <n v="1"/>
    <s v="Weekends/Holiday Only"/>
  </r>
  <r>
    <s v="101-0019-2281"/>
    <x v="2"/>
    <x v="402"/>
    <s v="Friday"/>
    <m/>
    <s v="Saturday"/>
    <x v="0"/>
    <n v="24.99"/>
    <n v="1"/>
    <s v="Weekends/Holiday Only"/>
  </r>
  <r>
    <s v="101-0019-2929"/>
    <x v="2"/>
    <x v="403"/>
    <s v="Saturday"/>
    <m/>
    <s v="Saturday"/>
    <x v="1"/>
    <n v="24.99"/>
    <n v="1"/>
    <s v="Weekends/Holiday Only"/>
  </r>
  <r>
    <s v="101-0019-2930"/>
    <x v="2"/>
    <x v="404"/>
    <s v="Saturday"/>
    <m/>
    <s v="Saturday"/>
    <x v="0"/>
    <n v="24.99"/>
    <n v="1"/>
    <s v="Weekends/Holiday Only"/>
  </r>
  <r>
    <s v="101-0019-2932"/>
    <x v="2"/>
    <x v="405"/>
    <s v="Saturday"/>
    <m/>
    <s v="Saturday"/>
    <x v="0"/>
    <n v="24.99"/>
    <n v="1"/>
    <s v="Weekends/Holiday Only"/>
  </r>
  <r>
    <s v="101-0019-2933"/>
    <x v="2"/>
    <x v="406"/>
    <s v="Saturday"/>
    <m/>
    <s v="Saturday"/>
    <x v="0"/>
    <n v="24.99"/>
    <n v="1"/>
    <s v="Weekends/Holiday Only"/>
  </r>
  <r>
    <s v="101-0019-4465"/>
    <x v="2"/>
    <x v="407"/>
    <s v="Sunday"/>
    <m/>
    <s v="Saturday"/>
    <x v="1"/>
    <n v="24.99"/>
    <n v="1"/>
    <s v="Weekends/Holiday Only"/>
  </r>
  <r>
    <s v="101-0019-4468"/>
    <x v="2"/>
    <x v="408"/>
    <s v="Sunday"/>
    <m/>
    <s v="Saturday"/>
    <x v="1"/>
    <n v="24.99"/>
    <n v="1"/>
    <s v="Weekends/Holiday Only"/>
  </r>
  <r>
    <s v="101-0019-4470"/>
    <x v="2"/>
    <x v="409"/>
    <s v="Sunday"/>
    <m/>
    <s v="Saturday"/>
    <x v="1"/>
    <n v="24.99"/>
    <n v="1"/>
    <s v="Weekends/Holiday Only"/>
  </r>
  <r>
    <s v="101-0019-4471"/>
    <x v="2"/>
    <x v="410"/>
    <s v="Sunday"/>
    <m/>
    <s v="Saturday"/>
    <x v="1"/>
    <n v="24.99"/>
    <n v="1"/>
    <s v="Weekends/Holiday Only"/>
  </r>
  <r>
    <s v="101-0019-4621"/>
    <x v="2"/>
    <x v="411"/>
    <s v="Sunday"/>
    <m/>
    <s v="Saturday"/>
    <x v="1"/>
    <n v="24.99"/>
    <n v="1"/>
    <s v="Weekends/Holiday Only"/>
  </r>
  <r>
    <s v="101-0019-4622"/>
    <x v="2"/>
    <x v="412"/>
    <s v="Sunday"/>
    <m/>
    <s v="Saturday"/>
    <x v="1"/>
    <n v="24.99"/>
    <n v="1"/>
    <s v="Weekends/Holiday Only"/>
  </r>
  <r>
    <s v="101-0019-5284"/>
    <x v="2"/>
    <x v="413"/>
    <s v="Monday"/>
    <m/>
    <s v="Saturday"/>
    <x v="0"/>
    <n v="24.99"/>
    <n v="1"/>
    <s v="Weekends/Holiday Only"/>
  </r>
  <r>
    <s v="101-0019-5657"/>
    <x v="2"/>
    <x v="414"/>
    <s v="Monday"/>
    <m/>
    <s v="Saturday"/>
    <x v="0"/>
    <n v="24.99"/>
    <n v="1"/>
    <s v="Weekends/Holiday Only"/>
  </r>
  <r>
    <s v="101-0019-9684"/>
    <x v="2"/>
    <x v="415"/>
    <s v="Friday"/>
    <m/>
    <s v="Saturday"/>
    <x v="0"/>
    <n v="24.99"/>
    <n v="1"/>
    <s v="Weekends/Holiday Only"/>
  </r>
  <r>
    <s v="101-0020-0183"/>
    <x v="2"/>
    <x v="416"/>
    <s v="Friday"/>
    <m/>
    <s v="Saturday"/>
    <x v="0"/>
    <n v="24.99"/>
    <n v="1"/>
    <s v="Weekends/Holiday Only"/>
  </r>
  <r>
    <s v="101-0020-0315"/>
    <x v="2"/>
    <x v="417"/>
    <s v="Friday"/>
    <m/>
    <s v="Saturday"/>
    <x v="0"/>
    <n v="24.99"/>
    <n v="1"/>
    <s v="Weekends/Holiday Only"/>
  </r>
  <r>
    <s v="101-0020-1209"/>
    <x v="2"/>
    <x v="418"/>
    <s v="Saturday"/>
    <m/>
    <s v="Saturday"/>
    <x v="0"/>
    <n v="24.99"/>
    <n v="1"/>
    <s v="Weekends/Holiday Only"/>
  </r>
  <r>
    <s v="101-0020-1212"/>
    <x v="2"/>
    <x v="419"/>
    <s v="Saturday"/>
    <m/>
    <s v="Saturday"/>
    <x v="0"/>
    <n v="24.99"/>
    <n v="1"/>
    <s v="Weekends/Holiday Only"/>
  </r>
  <r>
    <s v="101-0020-1213"/>
    <x v="2"/>
    <x v="420"/>
    <s v="Saturday"/>
    <m/>
    <s v="Saturday"/>
    <x v="0"/>
    <n v="24.99"/>
    <n v="1"/>
    <s v="Weekends/Holiday Only"/>
  </r>
  <r>
    <s v="101-0020-1902"/>
    <x v="2"/>
    <x v="421"/>
    <s v="Saturday"/>
    <m/>
    <s v="Saturday"/>
    <x v="0"/>
    <n v="24.99"/>
    <n v="1"/>
    <s v="Weekends/Holiday Only"/>
  </r>
  <r>
    <s v="101-0020-2662"/>
    <x v="2"/>
    <x v="422"/>
    <s v="Sunday"/>
    <m/>
    <s v="Saturday"/>
    <x v="1"/>
    <n v="24.99"/>
    <n v="1"/>
    <s v="Weekends/Holiday Only"/>
  </r>
  <r>
    <s v="101-0020-2705"/>
    <x v="2"/>
    <x v="423"/>
    <s v="Sunday"/>
    <m/>
    <s v="Saturday"/>
    <x v="0"/>
    <n v="24.99"/>
    <n v="1"/>
    <s v="Weekends/Holiday Only"/>
  </r>
  <r>
    <s v="101-0020-2706"/>
    <x v="2"/>
    <x v="424"/>
    <s v="Sunday"/>
    <m/>
    <s v="Saturday"/>
    <x v="1"/>
    <n v="24.99"/>
    <n v="1"/>
    <s v="Weekends/Holiday Only"/>
  </r>
  <r>
    <s v="101-0020-5792"/>
    <x v="2"/>
    <x v="425"/>
    <s v="Tuesday"/>
    <m/>
    <s v="Saturday"/>
    <x v="0"/>
    <n v="24.99"/>
    <n v="1"/>
    <s v="Weekends/Holiday Only"/>
  </r>
  <r>
    <s v="101-0020-9368"/>
    <x v="2"/>
    <x v="426"/>
    <s v="Friday"/>
    <m/>
    <s v="Saturday"/>
    <x v="0"/>
    <n v="24.99"/>
    <n v="1"/>
    <s v="Weekends/Holiday Only"/>
  </r>
  <r>
    <s v="101-0020-9370"/>
    <x v="2"/>
    <x v="427"/>
    <s v="Friday"/>
    <m/>
    <s v="Saturday"/>
    <x v="0"/>
    <n v="24.99"/>
    <n v="1"/>
    <s v="Weekends/Holiday Only"/>
  </r>
  <r>
    <s v="101-0020-9680"/>
    <x v="2"/>
    <x v="428"/>
    <s v="Friday"/>
    <m/>
    <s v="Saturday"/>
    <x v="0"/>
    <n v="24.99"/>
    <n v="1"/>
    <s v="Weekends/Holiday Only"/>
  </r>
  <r>
    <s v="101-0020-9686"/>
    <x v="2"/>
    <x v="429"/>
    <s v="Friday"/>
    <m/>
    <s v="Saturday"/>
    <x v="1"/>
    <n v="24.99"/>
    <n v="1"/>
    <s v="Weekends/Holiday Only"/>
  </r>
  <r>
    <s v="101-0021-0127"/>
    <x v="2"/>
    <x v="430"/>
    <s v="Friday"/>
    <m/>
    <s v="Saturday"/>
    <x v="1"/>
    <n v="24.99"/>
    <n v="1"/>
    <s v="Weekends/Holiday Only"/>
  </r>
  <r>
    <s v="101-0021-0132"/>
    <x v="2"/>
    <x v="431"/>
    <s v="Friday"/>
    <m/>
    <s v="Saturday"/>
    <x v="1"/>
    <n v="24.99"/>
    <n v="1"/>
    <s v="Weekends/Holiday Only"/>
  </r>
  <r>
    <s v="101-0021-0860"/>
    <x v="2"/>
    <x v="432"/>
    <s v="Saturday"/>
    <m/>
    <s v="Saturday"/>
    <x v="1"/>
    <n v="24.99"/>
    <n v="1"/>
    <s v="Weekends/Holiday Only"/>
  </r>
  <r>
    <s v="101-0021-0861"/>
    <x v="2"/>
    <x v="433"/>
    <s v="Saturday"/>
    <m/>
    <s v="Saturday"/>
    <x v="0"/>
    <n v="24.99"/>
    <n v="1"/>
    <s v="Weekends/Holiday Only"/>
  </r>
  <r>
    <s v="101-0021-0866"/>
    <x v="2"/>
    <x v="434"/>
    <s v="Saturday"/>
    <m/>
    <s v="Saturday"/>
    <x v="1"/>
    <n v="24.99"/>
    <n v="1"/>
    <s v="Weekends/Holiday Only"/>
  </r>
  <r>
    <s v="101-0021-0867"/>
    <x v="2"/>
    <x v="435"/>
    <s v="Saturday"/>
    <m/>
    <s v="Saturday"/>
    <x v="0"/>
    <n v="24.99"/>
    <n v="1"/>
    <s v="Weekends/Holiday Only"/>
  </r>
  <r>
    <s v="101-0021-4697"/>
    <x v="2"/>
    <x v="436"/>
    <s v="Tuesday"/>
    <m/>
    <s v="Saturday"/>
    <x v="0"/>
    <n v="24.99"/>
    <n v="1"/>
    <s v="Weekends/Holiday Only"/>
  </r>
  <r>
    <s v="101-0021-5095"/>
    <x v="2"/>
    <x v="437"/>
    <s v="Tuesday"/>
    <m/>
    <s v="Saturday"/>
    <x v="0"/>
    <n v="24.99"/>
    <n v="1"/>
    <s v="Weekends/Holiday Only"/>
  </r>
  <r>
    <s v="101-0021-6716"/>
    <x v="2"/>
    <x v="438"/>
    <s v="Thursday"/>
    <m/>
    <s v="Saturday"/>
    <x v="0"/>
    <n v="24.99"/>
    <n v="1"/>
    <s v="Weekends/Holiday Only"/>
  </r>
  <r>
    <s v="101-0021-6717"/>
    <x v="2"/>
    <x v="439"/>
    <s v="Thursday"/>
    <m/>
    <s v="Saturday"/>
    <x v="1"/>
    <n v="24.99"/>
    <n v="1"/>
    <s v="Weekends/Holiday Only"/>
  </r>
  <r>
    <s v="101-0021-7348"/>
    <x v="2"/>
    <x v="440"/>
    <s v="Thursday"/>
    <m/>
    <s v="Saturday"/>
    <x v="1"/>
    <n v="24.99"/>
    <n v="1"/>
    <s v="Weekends/Holiday Only"/>
  </r>
  <r>
    <s v="101-0021-7396"/>
    <x v="2"/>
    <x v="441"/>
    <s v="Thursday"/>
    <m/>
    <s v="Saturday"/>
    <x v="1"/>
    <n v="24.99"/>
    <n v="1"/>
    <s v="Weekends/Holiday Only"/>
  </r>
  <r>
    <s v="101-0021-7532"/>
    <x v="2"/>
    <x v="442"/>
    <s v="Thursday"/>
    <m/>
    <s v="Saturday"/>
    <x v="0"/>
    <n v="24.99"/>
    <n v="1"/>
    <s v="Weekends/Holiday Only"/>
  </r>
  <r>
    <s v="101-0021-8055"/>
    <x v="2"/>
    <x v="443"/>
    <s v="Friday"/>
    <m/>
    <s v="Saturday"/>
    <x v="1"/>
    <n v="24.99"/>
    <n v="1"/>
    <s v="Weekends/Holiday Only"/>
  </r>
  <r>
    <s v="101-0021-8505"/>
    <x v="2"/>
    <x v="444"/>
    <s v="Friday"/>
    <m/>
    <s v="Saturday"/>
    <x v="1"/>
    <n v="24.99"/>
    <n v="1"/>
    <s v="Weekends/Holiday Only"/>
  </r>
  <r>
    <s v="101-0021-9520"/>
    <x v="2"/>
    <x v="445"/>
    <s v="Saturday"/>
    <m/>
    <s v="Saturday"/>
    <x v="0"/>
    <n v="24.99"/>
    <n v="1"/>
    <s v="Weekends/Holiday Only"/>
  </r>
  <r>
    <s v="101-0021-9524"/>
    <x v="2"/>
    <x v="446"/>
    <s v="Saturday"/>
    <m/>
    <s v="Saturday"/>
    <x v="1"/>
    <n v="24.99"/>
    <n v="1"/>
    <s v="Weekends/Holiday Only"/>
  </r>
  <r>
    <s v="101-0021-9526"/>
    <x v="2"/>
    <x v="447"/>
    <s v="Saturday"/>
    <m/>
    <s v="Saturday"/>
    <x v="0"/>
    <n v="24.99"/>
    <n v="1"/>
    <s v="Weekends/Holiday Only"/>
  </r>
  <r>
    <s v="101-0022-1010"/>
    <x v="2"/>
    <x v="448"/>
    <s v="Sunday"/>
    <m/>
    <s v="Saturday"/>
    <x v="1"/>
    <n v="24.99"/>
    <n v="1"/>
    <s v="Weekends/Holiday Only"/>
  </r>
  <r>
    <s v="101-0022-3387"/>
    <x v="2"/>
    <x v="449"/>
    <s v="Tuesday"/>
    <m/>
    <s v="Saturday"/>
    <x v="0"/>
    <n v="24.99"/>
    <n v="1"/>
    <s v="Weekends/Holiday Only"/>
  </r>
  <r>
    <s v="101-0022-5930"/>
    <x v="2"/>
    <x v="450"/>
    <s v="Thursday"/>
    <m/>
    <s v="Saturday"/>
    <x v="0"/>
    <n v="24.99"/>
    <n v="1"/>
    <s v="Weekends/Holiday Only"/>
  </r>
  <r>
    <s v="101-0022-6084"/>
    <x v="2"/>
    <x v="451"/>
    <s v="Thursday"/>
    <m/>
    <s v="Saturday"/>
    <x v="0"/>
    <n v="24.99"/>
    <n v="1"/>
    <s v="Weekends/Holiday Only"/>
  </r>
  <r>
    <s v="101-0022-6117"/>
    <x v="2"/>
    <x v="452"/>
    <s v="Thursday"/>
    <m/>
    <s v="Saturday"/>
    <x v="0"/>
    <n v="24.99"/>
    <n v="1"/>
    <s v="Weekends/Holiday Only"/>
  </r>
  <r>
    <s v="101-0022-7122"/>
    <x v="2"/>
    <x v="453"/>
    <s v="Friday"/>
    <m/>
    <s v="Saturday"/>
    <x v="1"/>
    <n v="24.99"/>
    <n v="1"/>
    <s v="Weekends/Holiday Only"/>
  </r>
  <r>
    <s v="101-0022-7125"/>
    <x v="2"/>
    <x v="454"/>
    <s v="Friday"/>
    <m/>
    <s v="Saturday"/>
    <x v="0"/>
    <n v="24.99"/>
    <n v="1"/>
    <s v="Weekends/Holiday Only"/>
  </r>
  <r>
    <s v="101-0022-7854"/>
    <x v="2"/>
    <x v="455"/>
    <s v="Friday"/>
    <m/>
    <s v="Saturday"/>
    <x v="0"/>
    <n v="24.99"/>
    <n v="1"/>
    <s v="Weekends/Holiday Only"/>
  </r>
  <r>
    <s v="101-0022-7974"/>
    <x v="2"/>
    <x v="456"/>
    <s v="Friday"/>
    <m/>
    <s v="Saturday"/>
    <x v="0"/>
    <n v="24.99"/>
    <n v="1"/>
    <s v="Weekends/Holiday Only"/>
  </r>
  <r>
    <s v="101-0022-7977"/>
    <x v="2"/>
    <x v="457"/>
    <s v="Friday"/>
    <m/>
    <s v="Saturday"/>
    <x v="0"/>
    <n v="24.99"/>
    <n v="1"/>
    <s v="Weekends/Holiday Only"/>
  </r>
  <r>
    <s v="101-0022-8205"/>
    <x v="2"/>
    <x v="458"/>
    <s v="Friday"/>
    <m/>
    <s v="Saturday"/>
    <x v="1"/>
    <n v="24.99"/>
    <n v="1"/>
    <s v="Weekends/Holiday Only"/>
  </r>
  <r>
    <s v="101-0022-8636"/>
    <x v="2"/>
    <x v="459"/>
    <s v="Saturday"/>
    <m/>
    <s v="Saturday"/>
    <x v="0"/>
    <n v="24.99"/>
    <n v="1"/>
    <s v="Weekends/Holiday Only"/>
  </r>
  <r>
    <s v="101-0022-8647"/>
    <x v="2"/>
    <x v="460"/>
    <s v="Saturday"/>
    <m/>
    <s v="Saturday"/>
    <x v="0"/>
    <n v="24.99"/>
    <n v="1"/>
    <s v="Weekends/Holiday Only"/>
  </r>
  <r>
    <s v="101-0022-8648"/>
    <x v="2"/>
    <x v="461"/>
    <s v="Saturday"/>
    <m/>
    <s v="Saturday"/>
    <x v="0"/>
    <n v="24.99"/>
    <n v="1"/>
    <s v="Weekends/Holiday Only"/>
  </r>
  <r>
    <s v="101-0022-8649"/>
    <x v="2"/>
    <x v="462"/>
    <s v="Saturday"/>
    <m/>
    <s v="Saturday"/>
    <x v="0"/>
    <n v="24.99"/>
    <n v="1"/>
    <s v="Weekends/Holiday Only"/>
  </r>
  <r>
    <s v="101-0022-8654"/>
    <x v="2"/>
    <x v="463"/>
    <s v="Saturday"/>
    <m/>
    <s v="Saturday"/>
    <x v="0"/>
    <n v="24.99"/>
    <n v="1"/>
    <s v="Weekends/Holiday Only"/>
  </r>
  <r>
    <s v="101-0022-8773"/>
    <x v="2"/>
    <x v="464"/>
    <s v="Saturday"/>
    <m/>
    <s v="Saturday"/>
    <x v="0"/>
    <n v="24.99"/>
    <n v="1"/>
    <s v="Weekends/Holiday Only"/>
  </r>
  <r>
    <s v="101-0022-8957"/>
    <x v="2"/>
    <x v="465"/>
    <s v="Saturday"/>
    <m/>
    <s v="Saturday"/>
    <x v="1"/>
    <n v="24.99"/>
    <n v="1"/>
    <s v="Weekends/Holiday Only"/>
  </r>
  <r>
    <s v="101-0023-0117"/>
    <x v="2"/>
    <x v="466"/>
    <s v="Sunday"/>
    <m/>
    <s v="Saturday"/>
    <x v="1"/>
    <n v="24.99"/>
    <n v="1"/>
    <s v="Weekends/Holiday Only"/>
  </r>
  <r>
    <s v="101-0023-0119"/>
    <x v="2"/>
    <x v="467"/>
    <s v="Sunday"/>
    <m/>
    <s v="Saturday"/>
    <x v="0"/>
    <n v="24.99"/>
    <n v="1"/>
    <s v="Weekends/Holiday Only"/>
  </r>
  <r>
    <s v="101-0023-0121"/>
    <x v="2"/>
    <x v="468"/>
    <s v="Sunday"/>
    <m/>
    <s v="Saturday"/>
    <x v="1"/>
    <n v="24.99"/>
    <n v="1"/>
    <s v="Weekends/Holiday Only"/>
  </r>
  <r>
    <s v="101-0023-0122"/>
    <x v="2"/>
    <x v="469"/>
    <s v="Sunday"/>
    <m/>
    <s v="Saturday"/>
    <x v="1"/>
    <n v="24.99"/>
    <n v="1"/>
    <s v="Weekends/Holiday Only"/>
  </r>
  <r>
    <s v="101-0023-1805"/>
    <x v="2"/>
    <x v="470"/>
    <s v="Monday"/>
    <m/>
    <s v="Saturday"/>
    <x v="0"/>
    <n v="24.99"/>
    <n v="1"/>
    <s v="Weekends/Holiday Only"/>
  </r>
  <r>
    <s v="101-0023-2783"/>
    <x v="2"/>
    <x v="471"/>
    <s v="Tuesday"/>
    <m/>
    <s v="Saturday"/>
    <x v="1"/>
    <n v="24.99"/>
    <n v="1"/>
    <s v="Weekends/Holiday Only"/>
  </r>
  <r>
    <s v="101-0023-2812"/>
    <x v="2"/>
    <x v="472"/>
    <s v="Tuesday"/>
    <m/>
    <s v="Saturday"/>
    <x v="0"/>
    <n v="24.99"/>
    <n v="1"/>
    <s v="Weekends/Holiday Only"/>
  </r>
  <r>
    <s v="101-0023-2813"/>
    <x v="2"/>
    <x v="473"/>
    <s v="Tuesday"/>
    <m/>
    <s v="Saturday"/>
    <x v="1"/>
    <n v="24.99"/>
    <n v="1"/>
    <s v="Weekends/Holiday Only"/>
  </r>
  <r>
    <s v="101-0023-4018"/>
    <x v="2"/>
    <x v="474"/>
    <s v="Wednesday"/>
    <m/>
    <s v="Saturday"/>
    <x v="0"/>
    <n v="24.99"/>
    <n v="1"/>
    <s v="Weekends/Holiday Only"/>
  </r>
  <r>
    <s v="101-0023-4554"/>
    <x v="2"/>
    <x v="475"/>
    <s v="Wednesday"/>
    <m/>
    <s v="Saturday"/>
    <x v="1"/>
    <n v="24.99"/>
    <n v="1"/>
    <s v="Weekends/Holiday Only"/>
  </r>
  <r>
    <s v="101-0023-5328"/>
    <x v="2"/>
    <x v="476"/>
    <s v="Thursday"/>
    <m/>
    <s v="Saturday"/>
    <x v="0"/>
    <n v="24.99"/>
    <n v="1"/>
    <s v="Weekends/Holiday Only"/>
  </r>
  <r>
    <s v="101-0023-5332"/>
    <x v="2"/>
    <x v="477"/>
    <s v="Thursday"/>
    <m/>
    <s v="Saturday"/>
    <x v="0"/>
    <n v="74.97"/>
    <n v="3"/>
    <s v="Weekends/Holiday Only"/>
  </r>
  <r>
    <s v="101-0023-6786"/>
    <x v="2"/>
    <x v="478"/>
    <s v="Friday"/>
    <m/>
    <s v="Saturday"/>
    <x v="0"/>
    <n v="24.99"/>
    <n v="1"/>
    <s v="Weekends/Holiday Only"/>
  </r>
  <r>
    <s v="101-0023-6788"/>
    <x v="2"/>
    <x v="479"/>
    <s v="Friday"/>
    <m/>
    <s v="Saturday"/>
    <x v="0"/>
    <n v="24.99"/>
    <n v="1"/>
    <s v="Weekends/Holiday Only"/>
  </r>
  <r>
    <s v="101-0023-6791"/>
    <x v="2"/>
    <x v="480"/>
    <s v="Friday"/>
    <m/>
    <s v="Saturday"/>
    <x v="0"/>
    <n v="24.99"/>
    <n v="1"/>
    <s v="Weekends/Holiday Only"/>
  </r>
  <r>
    <s v="101-0023-7480"/>
    <x v="2"/>
    <x v="481"/>
    <s v="Friday"/>
    <m/>
    <s v="Saturday"/>
    <x v="1"/>
    <n v="24.99"/>
    <n v="1"/>
    <s v="Weekends/Holiday Only"/>
  </r>
  <r>
    <s v="101-0023-8274"/>
    <x v="2"/>
    <x v="482"/>
    <s v="Saturday"/>
    <m/>
    <s v="Saturday"/>
    <x v="1"/>
    <n v="24.99"/>
    <n v="1"/>
    <s v="Weekends/Holiday Only"/>
  </r>
  <r>
    <s v="101-0023-8390"/>
    <x v="2"/>
    <x v="483"/>
    <s v="Saturday"/>
    <m/>
    <s v="Saturday"/>
    <x v="0"/>
    <n v="24.99"/>
    <n v="1"/>
    <s v="Weekends/Holiday Only"/>
  </r>
  <r>
    <s v="101-0023-8398"/>
    <x v="2"/>
    <x v="484"/>
    <s v="Saturday"/>
    <m/>
    <s v="Saturday"/>
    <x v="0"/>
    <n v="24.99"/>
    <n v="1"/>
    <s v="Weekends/Holiday Only"/>
  </r>
  <r>
    <s v="101-0023-8399"/>
    <x v="2"/>
    <x v="485"/>
    <s v="Saturday"/>
    <m/>
    <s v="Saturday"/>
    <x v="0"/>
    <n v="24.99"/>
    <n v="1"/>
    <s v="Weekends/Holiday Only"/>
  </r>
  <r>
    <s v="101-0023-8400"/>
    <x v="2"/>
    <x v="486"/>
    <s v="Saturday"/>
    <m/>
    <s v="Saturday"/>
    <x v="1"/>
    <n v="24.99"/>
    <n v="1"/>
    <s v="Weekends/Holiday Only"/>
  </r>
  <r>
    <s v="101-0023-8405"/>
    <x v="2"/>
    <x v="487"/>
    <s v="Saturday"/>
    <m/>
    <s v="Saturday"/>
    <x v="0"/>
    <n v="24.99"/>
    <n v="1"/>
    <s v="Weekends/Holiday Only"/>
  </r>
  <r>
    <s v="101-0023-8406"/>
    <x v="2"/>
    <x v="488"/>
    <s v="Saturday"/>
    <m/>
    <s v="Saturday"/>
    <x v="0"/>
    <n v="24.99"/>
    <n v="1"/>
    <s v="Weekends/Holiday Only"/>
  </r>
  <r>
    <s v="101-0023-8408"/>
    <x v="2"/>
    <x v="489"/>
    <s v="Saturday"/>
    <m/>
    <s v="Saturday"/>
    <x v="0"/>
    <n v="24.99"/>
    <n v="1"/>
    <s v="Weekends/Holiday Only"/>
  </r>
  <r>
    <s v="101-0023-9990"/>
    <x v="2"/>
    <x v="490"/>
    <s v="Sunday"/>
    <m/>
    <s v="Saturday"/>
    <x v="1"/>
    <n v="24.99"/>
    <n v="1"/>
    <s v="Weekends/Holiday Only"/>
  </r>
  <r>
    <s v="101-0024-3254"/>
    <x v="2"/>
    <x v="491"/>
    <s v="Tuesday"/>
    <m/>
    <s v="Saturday"/>
    <x v="1"/>
    <n v="24.99"/>
    <n v="1"/>
    <s v="Weekends/Holiday Only"/>
  </r>
  <r>
    <s v="101-0024-3258"/>
    <x v="2"/>
    <x v="492"/>
    <s v="Tuesday"/>
    <m/>
    <s v="Saturday"/>
    <x v="1"/>
    <n v="24.99"/>
    <n v="1"/>
    <s v="Weekends/Holiday Only"/>
  </r>
  <r>
    <s v="101-0024-6476"/>
    <x v="2"/>
    <x v="493"/>
    <s v="Thursday"/>
    <m/>
    <s v="Saturday"/>
    <x v="0"/>
    <n v="49.98"/>
    <n v="2"/>
    <s v="Weekends/Holiday Only"/>
  </r>
  <r>
    <s v="101-0024-7214"/>
    <x v="2"/>
    <x v="494"/>
    <s v="Thursday"/>
    <m/>
    <s v="Saturday"/>
    <x v="0"/>
    <n v="24.99"/>
    <n v="1"/>
    <s v="Weekends/Holiday Only"/>
  </r>
  <r>
    <s v="101-0024-7585"/>
    <x v="2"/>
    <x v="495"/>
    <s v="Friday"/>
    <m/>
    <s v="Saturday"/>
    <x v="0"/>
    <n v="49.98"/>
    <n v="2"/>
    <s v="Weekends/Holiday Only"/>
  </r>
  <r>
    <s v="101-0024-7617"/>
    <x v="2"/>
    <x v="496"/>
    <s v="Friday"/>
    <m/>
    <s v="Saturday"/>
    <x v="0"/>
    <n v="24.99"/>
    <n v="1"/>
    <s v="Weekends/Holiday Only"/>
  </r>
  <r>
    <s v="101-0024-7622"/>
    <x v="2"/>
    <x v="497"/>
    <s v="Friday"/>
    <m/>
    <s v="Saturday"/>
    <x v="0"/>
    <n v="24.99"/>
    <n v="1"/>
    <s v="Weekends/Holiday Only"/>
  </r>
  <r>
    <s v="101-0024-7626"/>
    <x v="2"/>
    <x v="498"/>
    <s v="Friday"/>
    <m/>
    <s v="Saturday"/>
    <x v="1"/>
    <n v="49.98"/>
    <n v="2"/>
    <s v="Weekends/Holiday Only"/>
  </r>
  <r>
    <s v="101-0024-7634"/>
    <x v="2"/>
    <x v="499"/>
    <s v="Friday"/>
    <m/>
    <s v="Saturday"/>
    <x v="1"/>
    <n v="24.99"/>
    <n v="1"/>
    <s v="Weekends/Holiday Only"/>
  </r>
  <r>
    <s v="101-0024-7681"/>
    <x v="2"/>
    <x v="500"/>
    <s v="Friday"/>
    <m/>
    <s v="Saturday"/>
    <x v="0"/>
    <n v="49.98"/>
    <n v="2"/>
    <s v="Weekends/Holiday Only"/>
  </r>
  <r>
    <s v="101-0024-7688"/>
    <x v="2"/>
    <x v="501"/>
    <s v="Friday"/>
    <m/>
    <s v="Saturday"/>
    <x v="1"/>
    <n v="49.98"/>
    <n v="2"/>
    <s v="Weekends/Holiday Only"/>
  </r>
  <r>
    <s v="101-0024-7693"/>
    <x v="2"/>
    <x v="502"/>
    <s v="Friday"/>
    <m/>
    <s v="Saturday"/>
    <x v="1"/>
    <n v="24.99"/>
    <n v="1"/>
    <s v="Weekends/Holiday Only"/>
  </r>
  <r>
    <s v="101-0024-7718"/>
    <x v="2"/>
    <x v="503"/>
    <s v="Friday"/>
    <m/>
    <s v="Saturday"/>
    <x v="0"/>
    <n v="24.99"/>
    <n v="1"/>
    <s v="Weekends/Holiday Only"/>
  </r>
  <r>
    <s v="101-0024-7748"/>
    <x v="2"/>
    <x v="504"/>
    <s v="Friday"/>
    <m/>
    <s v="Saturday"/>
    <x v="1"/>
    <n v="24.99"/>
    <n v="1"/>
    <s v="Weekends/Holiday Only"/>
  </r>
  <r>
    <s v="101-0024-7946"/>
    <x v="2"/>
    <x v="505"/>
    <s v="Friday"/>
    <m/>
    <s v="Saturday"/>
    <x v="0"/>
    <n v="24.99"/>
    <n v="1"/>
    <s v="Weekends/Holiday Only"/>
  </r>
  <r>
    <s v="101-0024-8096"/>
    <x v="2"/>
    <x v="506"/>
    <s v="Friday"/>
    <m/>
    <s v="Saturday"/>
    <x v="1"/>
    <n v="24.99"/>
    <n v="1"/>
    <s v="Weekends/Holiday Only"/>
  </r>
  <r>
    <s v="101-0024-8434"/>
    <x v="2"/>
    <x v="507"/>
    <s v="Friday"/>
    <m/>
    <s v="Saturday"/>
    <x v="1"/>
    <n v="24.99"/>
    <n v="1"/>
    <s v="Weekends/Holiday Only"/>
  </r>
  <r>
    <s v="101-0024-8571"/>
    <x v="2"/>
    <x v="508"/>
    <s v="Friday"/>
    <m/>
    <s v="Saturday"/>
    <x v="1"/>
    <n v="24.99"/>
    <n v="1"/>
    <s v="Weekends/Holiday Only"/>
  </r>
  <r>
    <s v="101-0024-8590"/>
    <x v="2"/>
    <x v="509"/>
    <s v="Friday"/>
    <m/>
    <s v="Saturday"/>
    <x v="0"/>
    <n v="24.99"/>
    <n v="1"/>
    <s v="Weekends/Holiday Only"/>
  </r>
  <r>
    <s v="101-0024-8920"/>
    <x v="2"/>
    <x v="510"/>
    <s v="Saturday"/>
    <m/>
    <s v="Saturday"/>
    <x v="0"/>
    <n v="24.99"/>
    <n v="1"/>
    <s v="Weekends/Holiday Only"/>
  </r>
  <r>
    <s v="101-0024-9174"/>
    <x v="2"/>
    <x v="511"/>
    <s v="Saturday"/>
    <m/>
    <s v="Saturday"/>
    <x v="0"/>
    <n v="24.99"/>
    <n v="1"/>
    <s v="Weekends/Holiday Only"/>
  </r>
  <r>
    <s v="101-0024-9175"/>
    <x v="2"/>
    <x v="512"/>
    <s v="Saturday"/>
    <m/>
    <s v="Saturday"/>
    <x v="0"/>
    <n v="24.99"/>
    <n v="1"/>
    <s v="Weekends/Holiday Only"/>
  </r>
  <r>
    <s v="101-0024-9177"/>
    <x v="2"/>
    <x v="513"/>
    <s v="Saturday"/>
    <m/>
    <s v="Saturday"/>
    <x v="0"/>
    <n v="24.99"/>
    <n v="1"/>
    <s v="Weekends/Holiday Only"/>
  </r>
  <r>
    <s v="101-0024-9179"/>
    <x v="2"/>
    <x v="514"/>
    <s v="Saturday"/>
    <m/>
    <s v="Saturday"/>
    <x v="0"/>
    <n v="24.99"/>
    <n v="1"/>
    <s v="Weekends/Holiday Only"/>
  </r>
  <r>
    <s v="101-0024-9457"/>
    <x v="2"/>
    <x v="515"/>
    <s v="Saturday"/>
    <m/>
    <s v="Saturday"/>
    <x v="0"/>
    <n v="24.99"/>
    <n v="1"/>
    <s v="Weekends/Holiday Only"/>
  </r>
  <r>
    <s v="101-0024-9572"/>
    <x v="2"/>
    <x v="516"/>
    <s v="Saturday"/>
    <m/>
    <s v="Saturday"/>
    <x v="0"/>
    <n v="24.99"/>
    <n v="1"/>
    <s v="Weekends/Holiday Only"/>
  </r>
  <r>
    <s v="101-0025-2475"/>
    <x v="2"/>
    <x v="517"/>
    <s v="Monday"/>
    <m/>
    <s v="Saturday"/>
    <x v="0"/>
    <n v="24.99"/>
    <n v="1"/>
    <s v="Weekends/Holiday Only"/>
  </r>
  <r>
    <s v="101-0025-2484"/>
    <x v="2"/>
    <x v="518"/>
    <s v="Monday"/>
    <m/>
    <s v="Saturday"/>
    <x v="1"/>
    <n v="24.99"/>
    <n v="1"/>
    <s v="Weekends/Holiday Only"/>
  </r>
  <r>
    <s v="101-0025-3500"/>
    <x v="2"/>
    <x v="519"/>
    <s v="Tuesday"/>
    <m/>
    <s v="Saturday"/>
    <x v="1"/>
    <n v="24.99"/>
    <n v="1"/>
    <s v="Weekends/Holiday Only"/>
  </r>
  <r>
    <s v="101-0025-3502"/>
    <x v="2"/>
    <x v="520"/>
    <s v="Tuesday"/>
    <m/>
    <s v="Saturday"/>
    <x v="1"/>
    <n v="24.99"/>
    <n v="1"/>
    <s v="Weekends/Holiday Only"/>
  </r>
  <r>
    <s v="101-0025-3693"/>
    <x v="2"/>
    <x v="521"/>
    <s v="Tuesday"/>
    <m/>
    <s v="Saturday"/>
    <x v="0"/>
    <n v="24.99"/>
    <n v="1"/>
    <s v="Weekends/Holiday Only"/>
  </r>
  <r>
    <s v="101-0025-3698"/>
    <x v="2"/>
    <x v="522"/>
    <s v="Tuesday"/>
    <m/>
    <s v="Saturday"/>
    <x v="1"/>
    <n v="24.99"/>
    <n v="1"/>
    <s v="Weekends/Holiday Only"/>
  </r>
  <r>
    <s v="101-0025-4541"/>
    <x v="2"/>
    <x v="523"/>
    <s v="Wednesday"/>
    <m/>
    <s v="Saturday"/>
    <x v="0"/>
    <n v="24.99"/>
    <n v="1"/>
    <s v="Weekends/Holiday Only"/>
  </r>
  <r>
    <s v="101-0025-4543"/>
    <x v="2"/>
    <x v="524"/>
    <s v="Wednesday"/>
    <m/>
    <s v="Saturday"/>
    <x v="1"/>
    <n v="24.99"/>
    <n v="1"/>
    <s v="Weekends/Holiday Only"/>
  </r>
  <r>
    <s v="101-0025-5351"/>
    <x v="2"/>
    <x v="525"/>
    <s v="Thursday"/>
    <m/>
    <s v="Saturday"/>
    <x v="0"/>
    <n v="24.99"/>
    <n v="1"/>
    <s v="Weekends/Holiday Only"/>
  </r>
  <r>
    <s v="101-0025-5774"/>
    <x v="2"/>
    <x v="526"/>
    <s v="Thursday"/>
    <m/>
    <s v="Saturday"/>
    <x v="0"/>
    <n v="24.99"/>
    <n v="1"/>
    <s v="Weekends/Holiday Only"/>
  </r>
  <r>
    <s v="101-0025-6723"/>
    <x v="2"/>
    <x v="527"/>
    <s v="Friday"/>
    <m/>
    <s v="Saturday"/>
    <x v="1"/>
    <n v="24.99"/>
    <n v="1"/>
    <s v="Weekends/Holiday Only"/>
  </r>
  <r>
    <s v="101-0025-6724"/>
    <x v="2"/>
    <x v="528"/>
    <s v="Friday"/>
    <m/>
    <s v="Saturday"/>
    <x v="1"/>
    <n v="24.99"/>
    <n v="1"/>
    <s v="Weekends/Holiday Only"/>
  </r>
  <r>
    <s v="101-0025-7973"/>
    <x v="2"/>
    <x v="529"/>
    <s v="Friday"/>
    <m/>
    <s v="Saturday"/>
    <x v="0"/>
    <n v="24.99"/>
    <n v="1"/>
    <s v="Weekends/Holiday Only"/>
  </r>
  <r>
    <s v="101-0025-8279"/>
    <x v="2"/>
    <x v="530"/>
    <s v="Saturday"/>
    <m/>
    <s v="Saturday"/>
    <x v="0"/>
    <n v="24.99"/>
    <n v="1"/>
    <s v="Weekends/Holiday Only"/>
  </r>
  <r>
    <s v="101-0025-8280"/>
    <x v="2"/>
    <x v="531"/>
    <s v="Saturday"/>
    <m/>
    <s v="Saturday"/>
    <x v="1"/>
    <n v="24.99"/>
    <n v="1"/>
    <s v="Weekends/Holiday Only"/>
  </r>
  <r>
    <s v="101-0025-8281"/>
    <x v="2"/>
    <x v="532"/>
    <s v="Saturday"/>
    <m/>
    <s v="Saturday"/>
    <x v="0"/>
    <n v="24.99"/>
    <n v="1"/>
    <s v="Weekends/Holiday Only"/>
  </r>
  <r>
    <s v="101-0025-8287"/>
    <x v="2"/>
    <x v="533"/>
    <s v="Saturday"/>
    <m/>
    <s v="Saturday"/>
    <x v="0"/>
    <n v="24.99"/>
    <n v="1"/>
    <s v="Weekends/Holiday Only"/>
  </r>
  <r>
    <s v="101-0025-8288"/>
    <x v="2"/>
    <x v="534"/>
    <s v="Saturday"/>
    <m/>
    <s v="Saturday"/>
    <x v="1"/>
    <n v="24.99"/>
    <n v="1"/>
    <s v="Weekends/Holiday Only"/>
  </r>
  <r>
    <s v="101-0025-8290"/>
    <x v="2"/>
    <x v="535"/>
    <s v="Saturday"/>
    <m/>
    <s v="Saturday"/>
    <x v="0"/>
    <n v="24.99"/>
    <n v="1"/>
    <s v="Weekends/Holiday Only"/>
  </r>
  <r>
    <s v="101-0025-9221"/>
    <x v="2"/>
    <x v="536"/>
    <s v="Saturday"/>
    <m/>
    <s v="Saturday"/>
    <x v="0"/>
    <n v="24.99"/>
    <n v="1"/>
    <s v="Weekends/Holiday Only"/>
  </r>
  <r>
    <s v="101-0025-9324"/>
    <x v="2"/>
    <x v="537"/>
    <s v="Saturday"/>
    <m/>
    <s v="Saturday"/>
    <x v="1"/>
    <n v="24.99"/>
    <n v="1"/>
    <s v="Weekends/Holiday Only"/>
  </r>
  <r>
    <s v="101-0025-9815"/>
    <x v="2"/>
    <x v="538"/>
    <s v="Sunday"/>
    <m/>
    <s v="Saturday"/>
    <x v="0"/>
    <n v="24.99"/>
    <n v="1"/>
    <s v="Weekends/Holiday Only"/>
  </r>
  <r>
    <s v="101-0025-9818"/>
    <x v="2"/>
    <x v="539"/>
    <s v="Sunday"/>
    <m/>
    <s v="Saturday"/>
    <x v="1"/>
    <n v="24.99"/>
    <n v="1"/>
    <s v="Weekends/Holiday Only"/>
  </r>
  <r>
    <s v="101-0025-9819"/>
    <x v="2"/>
    <x v="540"/>
    <s v="Sunday"/>
    <m/>
    <s v="Saturday"/>
    <x v="0"/>
    <n v="24.99"/>
    <n v="1"/>
    <s v="Weekends/Holiday Only"/>
  </r>
  <r>
    <s v="101-0025-9821"/>
    <x v="2"/>
    <x v="541"/>
    <s v="Sunday"/>
    <m/>
    <s v="Saturday"/>
    <x v="0"/>
    <n v="24.99"/>
    <n v="1"/>
    <s v="Weekends/Holiday Only"/>
  </r>
  <r>
    <s v="101-0025-9822"/>
    <x v="2"/>
    <x v="542"/>
    <s v="Sunday"/>
    <m/>
    <s v="Saturday"/>
    <x v="1"/>
    <n v="24.99"/>
    <n v="1"/>
    <s v="Weekends/Holiday Only"/>
  </r>
  <r>
    <s v="101-0025-9823"/>
    <x v="2"/>
    <x v="543"/>
    <s v="Sunday"/>
    <m/>
    <s v="Saturday"/>
    <x v="1"/>
    <n v="24.99"/>
    <n v="1"/>
    <s v="Weekends/Holiday Only"/>
  </r>
  <r>
    <s v="101-0025-9824"/>
    <x v="2"/>
    <x v="544"/>
    <s v="Sunday"/>
    <m/>
    <s v="Saturday"/>
    <x v="0"/>
    <n v="24.99"/>
    <n v="1"/>
    <s v="Weekends/Holiday Only"/>
  </r>
  <r>
    <s v="101-0025-9866"/>
    <x v="2"/>
    <x v="545"/>
    <s v="Sunday"/>
    <m/>
    <s v="Saturday"/>
    <x v="0"/>
    <n v="24.99"/>
    <n v="1"/>
    <s v="Weekends/Holiday Only"/>
  </r>
  <r>
    <s v="101-0025-9979"/>
    <x v="2"/>
    <x v="546"/>
    <s v="Sunday"/>
    <m/>
    <s v="Saturday"/>
    <x v="1"/>
    <n v="24.99"/>
    <n v="1"/>
    <s v="Weekends/Holiday Only"/>
  </r>
  <r>
    <s v="101-0026-0184"/>
    <x v="2"/>
    <x v="547"/>
    <s v="Sunday"/>
    <m/>
    <s v="Saturday"/>
    <x v="1"/>
    <n v="24.99"/>
    <n v="1"/>
    <s v="Weekends/Holiday Only"/>
  </r>
  <r>
    <s v="101-0026-0854"/>
    <x v="2"/>
    <x v="548"/>
    <s v="Monday"/>
    <m/>
    <s v="Saturday"/>
    <x v="1"/>
    <n v="24.99"/>
    <n v="1"/>
    <s v="Weekends/Holiday Only"/>
  </r>
  <r>
    <s v="101-0026-0856"/>
    <x v="2"/>
    <x v="549"/>
    <s v="Monday"/>
    <m/>
    <s v="Saturday"/>
    <x v="0"/>
    <n v="24.99"/>
    <n v="1"/>
    <s v="Weekends/Holiday Only"/>
  </r>
  <r>
    <s v="101-0026-0857"/>
    <x v="2"/>
    <x v="550"/>
    <s v="Monday"/>
    <m/>
    <s v="Saturday"/>
    <x v="1"/>
    <n v="24.99"/>
    <n v="1"/>
    <s v="Weekends/Holiday Only"/>
  </r>
  <r>
    <s v="101-0026-0865"/>
    <x v="2"/>
    <x v="551"/>
    <s v="Monday"/>
    <m/>
    <s v="Saturday"/>
    <x v="0"/>
    <n v="24.99"/>
    <n v="1"/>
    <s v="Weekends/Holiday Only"/>
  </r>
  <r>
    <s v="101-0026-1383"/>
    <x v="2"/>
    <x v="552"/>
    <s v="Monday"/>
    <m/>
    <s v="Saturday"/>
    <x v="0"/>
    <n v="24.99"/>
    <n v="1"/>
    <s v="Weekends/Holiday Only"/>
  </r>
  <r>
    <s v="101-0026-1399"/>
    <x v="2"/>
    <x v="553"/>
    <s v="Monday"/>
    <m/>
    <s v="Saturday"/>
    <x v="0"/>
    <n v="24.99"/>
    <n v="1"/>
    <s v="Weekends/Holiday Only"/>
  </r>
  <r>
    <s v="101-0026-1589"/>
    <x v="2"/>
    <x v="554"/>
    <s v="Monday"/>
    <m/>
    <s v="Saturday"/>
    <x v="0"/>
    <n v="24.99"/>
    <n v="1"/>
    <s v="Weekends/Holiday Only"/>
  </r>
  <r>
    <s v="101-0026-1768"/>
    <x v="2"/>
    <x v="555"/>
    <s v="Monday"/>
    <m/>
    <s v="Saturday"/>
    <x v="0"/>
    <n v="24.99"/>
    <n v="1"/>
    <s v="Weekends/Holiday Only"/>
  </r>
  <r>
    <s v="101-0026-2215"/>
    <x v="2"/>
    <x v="556"/>
    <s v="Tuesday"/>
    <m/>
    <s v="Saturday"/>
    <x v="1"/>
    <n v="24.99"/>
    <n v="1"/>
    <s v="Weekends/Holiday Only"/>
  </r>
  <r>
    <s v="101-0026-2221"/>
    <x v="2"/>
    <x v="557"/>
    <s v="Tuesday"/>
    <m/>
    <s v="Saturday"/>
    <x v="1"/>
    <n v="24.99"/>
    <n v="1"/>
    <s v="Weekends/Holiday Only"/>
  </r>
  <r>
    <s v="101-0026-2222"/>
    <x v="2"/>
    <x v="558"/>
    <s v="Tuesday"/>
    <m/>
    <s v="Saturday"/>
    <x v="0"/>
    <n v="24.99"/>
    <n v="1"/>
    <s v="Weekends/Holiday Only"/>
  </r>
  <r>
    <s v="101-0026-2240"/>
    <x v="2"/>
    <x v="559"/>
    <s v="Tuesday"/>
    <m/>
    <s v="Saturday"/>
    <x v="0"/>
    <n v="24.99"/>
    <n v="1"/>
    <s v="Weekends/Holiday Only"/>
  </r>
  <r>
    <s v="101-0026-2310"/>
    <x v="2"/>
    <x v="560"/>
    <s v="Tuesday"/>
    <m/>
    <s v="Saturday"/>
    <x v="0"/>
    <n v="24.99"/>
    <n v="1"/>
    <s v="Weekends/Holiday Only"/>
  </r>
  <r>
    <s v="101-0026-2460"/>
    <x v="2"/>
    <x v="561"/>
    <s v="Tuesday"/>
    <m/>
    <s v="Saturday"/>
    <x v="0"/>
    <n v="24.99"/>
    <n v="1"/>
    <s v="Weekends/Holiday Only"/>
  </r>
  <r>
    <s v="101-0026-2461"/>
    <x v="2"/>
    <x v="562"/>
    <s v="Tuesday"/>
    <m/>
    <s v="Saturday"/>
    <x v="1"/>
    <n v="24.99"/>
    <n v="1"/>
    <s v="Weekends/Holiday Only"/>
  </r>
  <r>
    <s v="101-0026-2670"/>
    <x v="2"/>
    <x v="563"/>
    <s v="Tuesday"/>
    <m/>
    <s v="Saturday"/>
    <x v="0"/>
    <n v="24.99"/>
    <n v="1"/>
    <s v="Weekends/Holiday Only"/>
  </r>
  <r>
    <s v="101-0026-3299"/>
    <x v="2"/>
    <x v="564"/>
    <s v="Wednesday"/>
    <m/>
    <s v="Saturday"/>
    <x v="1"/>
    <n v="24.99"/>
    <n v="1"/>
    <s v="Weekends/Holiday Only"/>
  </r>
  <r>
    <s v="101-0026-3306"/>
    <x v="2"/>
    <x v="565"/>
    <s v="Wednesday"/>
    <m/>
    <s v="Saturday"/>
    <x v="1"/>
    <n v="24.99"/>
    <n v="1"/>
    <s v="Weekends/Holiday Only"/>
  </r>
  <r>
    <s v="101-0026-3308"/>
    <x v="2"/>
    <x v="566"/>
    <s v="Wednesday"/>
    <m/>
    <s v="Saturday"/>
    <x v="0"/>
    <n v="24.99"/>
    <n v="1"/>
    <s v="Weekends/Holiday Only"/>
  </r>
  <r>
    <s v="101-0026-3430"/>
    <x v="2"/>
    <x v="567"/>
    <s v="Wednesday"/>
    <m/>
    <s v="Saturday"/>
    <x v="0"/>
    <n v="24.99"/>
    <n v="1"/>
    <s v="Weekends/Holiday Only"/>
  </r>
  <r>
    <s v="101-0026-3927"/>
    <x v="2"/>
    <x v="568"/>
    <s v="Wednesday"/>
    <m/>
    <s v="Saturday"/>
    <x v="1"/>
    <n v="24.99"/>
    <n v="1"/>
    <s v="Weekends/Holiday Only"/>
  </r>
  <r>
    <s v="101-0026-3934"/>
    <x v="2"/>
    <x v="569"/>
    <s v="Wednesday"/>
    <m/>
    <s v="Saturday"/>
    <x v="1"/>
    <n v="24.99"/>
    <n v="1"/>
    <s v="Weekends/Holiday Only"/>
  </r>
  <r>
    <s v="101-0026-4739"/>
    <x v="2"/>
    <x v="570"/>
    <s v="Thursday"/>
    <m/>
    <s v="Saturday"/>
    <x v="0"/>
    <n v="24.99"/>
    <n v="1"/>
    <s v="Weekends/Holiday Only"/>
  </r>
  <r>
    <s v="101-0026-4740"/>
    <x v="2"/>
    <x v="571"/>
    <s v="Thursday"/>
    <m/>
    <s v="Saturday"/>
    <x v="0"/>
    <n v="24.99"/>
    <n v="1"/>
    <s v="Weekends/Holiday Only"/>
  </r>
  <r>
    <s v="101-0026-4826"/>
    <x v="2"/>
    <x v="572"/>
    <s v="Thursday"/>
    <m/>
    <s v="Saturday"/>
    <x v="0"/>
    <n v="24.99"/>
    <n v="1"/>
    <s v="Weekends/Holiday Only"/>
  </r>
  <r>
    <s v="101-0026-4857"/>
    <x v="2"/>
    <x v="573"/>
    <s v="Thursday"/>
    <m/>
    <s v="Saturday"/>
    <x v="1"/>
    <n v="24.99"/>
    <n v="1"/>
    <s v="Weekends/Holiday Only"/>
  </r>
  <r>
    <s v="101-0026-5307"/>
    <x v="2"/>
    <x v="574"/>
    <s v="Thursday"/>
    <m/>
    <s v="Saturday"/>
    <x v="1"/>
    <n v="24.99"/>
    <n v="1"/>
    <s v="Weekends/Holiday Only"/>
  </r>
  <r>
    <s v="101-0026-5333"/>
    <x v="2"/>
    <x v="575"/>
    <s v="Thursday"/>
    <m/>
    <s v="Saturday"/>
    <x v="0"/>
    <n v="24.99"/>
    <n v="1"/>
    <s v="Weekends/Holiday Only"/>
  </r>
  <r>
    <s v="101-0026-5480"/>
    <x v="2"/>
    <x v="576"/>
    <s v="Thursday"/>
    <m/>
    <s v="Saturday"/>
    <x v="0"/>
    <n v="24.99"/>
    <n v="1"/>
    <s v="Weekends/Holiday Only"/>
  </r>
  <r>
    <s v="101-0026-6341"/>
    <x v="2"/>
    <x v="577"/>
    <s v="Friday"/>
    <m/>
    <s v="Saturday"/>
    <x v="0"/>
    <n v="24.99"/>
    <n v="1"/>
    <s v="Weekends/Holiday Only"/>
  </r>
  <r>
    <s v="101-0026-6342"/>
    <x v="2"/>
    <x v="578"/>
    <s v="Friday"/>
    <m/>
    <s v="Saturday"/>
    <x v="1"/>
    <n v="24.99"/>
    <n v="1"/>
    <s v="Weekends/Holiday Only"/>
  </r>
  <r>
    <s v="101-0026-6345"/>
    <x v="2"/>
    <x v="579"/>
    <s v="Friday"/>
    <m/>
    <s v="Saturday"/>
    <x v="0"/>
    <n v="24.99"/>
    <n v="1"/>
    <s v="Weekends/Holiday Only"/>
  </r>
  <r>
    <s v="101-0026-6346"/>
    <x v="2"/>
    <x v="580"/>
    <s v="Friday"/>
    <m/>
    <s v="Saturday"/>
    <x v="0"/>
    <n v="24.99"/>
    <n v="1"/>
    <s v="Weekends/Holiday Only"/>
  </r>
  <r>
    <s v="101-0026-6349"/>
    <x v="2"/>
    <x v="581"/>
    <s v="Friday"/>
    <m/>
    <s v="Saturday"/>
    <x v="0"/>
    <n v="24.99"/>
    <n v="1"/>
    <s v="Weekends/Holiday Only"/>
  </r>
  <r>
    <s v="101-0026-6708"/>
    <x v="2"/>
    <x v="582"/>
    <s v="Friday"/>
    <m/>
    <s v="Saturday"/>
    <x v="0"/>
    <n v="24.99"/>
    <n v="1"/>
    <s v="Weekends/Holiday Only"/>
  </r>
  <r>
    <s v="101-0026-6881"/>
    <x v="2"/>
    <x v="583"/>
    <s v="Friday"/>
    <m/>
    <s v="Saturday"/>
    <x v="1"/>
    <n v="24.99"/>
    <n v="1"/>
    <s v="Weekends/Holiday Only"/>
  </r>
  <r>
    <s v="101-0026-7166"/>
    <x v="2"/>
    <x v="584"/>
    <s v="Friday"/>
    <m/>
    <s v="Saturday"/>
    <x v="0"/>
    <n v="24.99"/>
    <n v="1"/>
    <s v="Weekends/Holiday Only"/>
  </r>
  <r>
    <s v="101-0026-7195"/>
    <x v="2"/>
    <x v="585"/>
    <s v="Friday"/>
    <m/>
    <s v="Saturday"/>
    <x v="0"/>
    <n v="24.99"/>
    <n v="1"/>
    <s v="Weekends/Holiday Only"/>
  </r>
  <r>
    <s v="101-0026-7291"/>
    <x v="2"/>
    <x v="586"/>
    <s v="Friday"/>
    <m/>
    <s v="Saturday"/>
    <x v="0"/>
    <n v="24.99"/>
    <n v="1"/>
    <s v="Weekends/Holiday Only"/>
  </r>
  <r>
    <s v="101-0026-7858"/>
    <x v="2"/>
    <x v="587"/>
    <s v="Saturday"/>
    <m/>
    <s v="Saturday"/>
    <x v="0"/>
    <n v="24.99"/>
    <n v="1"/>
    <s v="Weekends/Holiday Only"/>
  </r>
  <r>
    <s v="101-0026-7859"/>
    <x v="2"/>
    <x v="588"/>
    <s v="Saturday"/>
    <m/>
    <s v="Saturday"/>
    <x v="1"/>
    <n v="24.99"/>
    <n v="1"/>
    <s v="Weekends/Holiday Only"/>
  </r>
  <r>
    <s v="101-0026-7860"/>
    <x v="2"/>
    <x v="589"/>
    <s v="Saturday"/>
    <m/>
    <s v="Saturday"/>
    <x v="1"/>
    <n v="24.99"/>
    <n v="1"/>
    <s v="Weekends/Holiday Only"/>
  </r>
  <r>
    <s v="101-0026-7861"/>
    <x v="2"/>
    <x v="590"/>
    <s v="Saturday"/>
    <m/>
    <s v="Saturday"/>
    <x v="0"/>
    <n v="24.99"/>
    <n v="1"/>
    <s v="Weekends/Holiday Only"/>
  </r>
  <r>
    <s v="101-0026-7862"/>
    <x v="2"/>
    <x v="591"/>
    <s v="Saturday"/>
    <m/>
    <s v="Saturday"/>
    <x v="0"/>
    <n v="24.99"/>
    <n v="1"/>
    <s v="Weekends/Holiday Only"/>
  </r>
  <r>
    <s v="101-0026-8970"/>
    <x v="2"/>
    <x v="592"/>
    <s v="Saturday"/>
    <m/>
    <s v="Saturday"/>
    <x v="1"/>
    <n v="24.99"/>
    <n v="1"/>
    <s v="Weekends/Holiday Only"/>
  </r>
  <r>
    <s v="101-0026-9296"/>
    <x v="2"/>
    <x v="593"/>
    <s v="Sunday"/>
    <m/>
    <s v="Saturday"/>
    <x v="0"/>
    <n v="24.99"/>
    <n v="1"/>
    <s v="Weekends/Holiday Only"/>
  </r>
  <r>
    <s v="101-0026-9297"/>
    <x v="2"/>
    <x v="594"/>
    <s v="Sunday"/>
    <m/>
    <s v="Saturday"/>
    <x v="0"/>
    <n v="24.99"/>
    <n v="1"/>
    <s v="Weekends/Holiday Only"/>
  </r>
  <r>
    <s v="101-0026-9300"/>
    <x v="2"/>
    <x v="595"/>
    <s v="Sunday"/>
    <m/>
    <s v="Saturday"/>
    <x v="0"/>
    <n v="24.99"/>
    <n v="1"/>
    <s v="Weekends/Holiday Only"/>
  </r>
  <r>
    <s v="101-0026-9303"/>
    <x v="2"/>
    <x v="596"/>
    <s v="Sunday"/>
    <m/>
    <s v="Saturday"/>
    <x v="0"/>
    <n v="24.99"/>
    <n v="1"/>
    <s v="Weekends/Holiday Only"/>
  </r>
  <r>
    <s v="101-0026-9308"/>
    <x v="2"/>
    <x v="597"/>
    <s v="Sunday"/>
    <m/>
    <s v="Saturday"/>
    <x v="0"/>
    <n v="24.99"/>
    <n v="1"/>
    <s v="Weekends/Holiday Only"/>
  </r>
  <r>
    <s v="101-0026-9342"/>
    <x v="2"/>
    <x v="598"/>
    <s v="Sunday"/>
    <m/>
    <s v="Saturday"/>
    <x v="0"/>
    <n v="24.99"/>
    <n v="1"/>
    <s v="Weekends/Holiday Only"/>
  </r>
  <r>
    <s v="101-0027-0434"/>
    <x v="2"/>
    <x v="599"/>
    <s v="Monday"/>
    <m/>
    <s v="Saturday"/>
    <x v="1"/>
    <n v="24.99"/>
    <n v="1"/>
    <s v="Weekends/Holiday Only"/>
  </r>
  <r>
    <s v="101-0027-0437"/>
    <x v="2"/>
    <x v="600"/>
    <s v="Monday"/>
    <m/>
    <s v="Saturday"/>
    <x v="0"/>
    <n v="24.99"/>
    <n v="1"/>
    <s v="Weekends/Holiday Only"/>
  </r>
  <r>
    <s v="101-0027-1747"/>
    <x v="2"/>
    <x v="601"/>
    <s v="Tuesday"/>
    <m/>
    <s v="Saturday"/>
    <x v="0"/>
    <n v="24.99"/>
    <n v="1"/>
    <s v="Weekends/Holiday Only"/>
  </r>
  <r>
    <s v="101-0027-1748"/>
    <x v="2"/>
    <x v="602"/>
    <s v="Tuesday"/>
    <m/>
    <s v="Saturday"/>
    <x v="1"/>
    <n v="24.99"/>
    <n v="1"/>
    <s v="Weekends/Holiday Only"/>
  </r>
  <r>
    <s v="101-0027-5900"/>
    <x v="2"/>
    <x v="603"/>
    <s v="Friday"/>
    <m/>
    <s v="Saturday"/>
    <x v="0"/>
    <n v="49.98"/>
    <n v="2"/>
    <s v="Weekends/Holiday Only"/>
  </r>
  <r>
    <s v="101-0027-6579"/>
    <x v="2"/>
    <x v="604"/>
    <s v="Saturday"/>
    <m/>
    <s v="Saturday"/>
    <x v="0"/>
    <n v="24.99"/>
    <n v="1"/>
    <s v="Weekends/Holiday Only"/>
  </r>
  <r>
    <s v="101-0027-8082"/>
    <x v="2"/>
    <x v="605"/>
    <s v="Sunday"/>
    <m/>
    <s v="Saturday"/>
    <x v="0"/>
    <n v="24.99"/>
    <n v="1"/>
    <s v="Weekends/Holiday Only"/>
  </r>
  <r>
    <s v="101-0027-8084"/>
    <x v="2"/>
    <x v="606"/>
    <s v="Sunday"/>
    <m/>
    <s v="Saturday"/>
    <x v="0"/>
    <n v="24.99"/>
    <n v="1"/>
    <s v="Weekends/Holiday Only"/>
  </r>
  <r>
    <s v="101-0028-0254"/>
    <x v="2"/>
    <x v="607"/>
    <s v="Tuesday"/>
    <m/>
    <s v="Saturday"/>
    <x v="0"/>
    <n v="24.99"/>
    <n v="1"/>
    <s v="Weekends/Holiday Only"/>
  </r>
  <r>
    <s v="101-0028-3225"/>
    <x v="2"/>
    <x v="608"/>
    <s v="Friday"/>
    <m/>
    <s v="Saturday"/>
    <x v="0"/>
    <n v="24.99"/>
    <n v="1"/>
    <s v="Weekends/Holiday Only"/>
  </r>
  <r>
    <s v="101-0028-4494"/>
    <x v="2"/>
    <x v="609"/>
    <s v="Saturday"/>
    <m/>
    <s v="Saturday"/>
    <x v="1"/>
    <n v="24.99"/>
    <n v="1"/>
    <s v="Weekends/Holiday Only"/>
  </r>
  <r>
    <s v="101-0028-4495"/>
    <x v="2"/>
    <x v="610"/>
    <s v="Saturday"/>
    <m/>
    <s v="Saturday"/>
    <x v="0"/>
    <n v="24.99"/>
    <n v="1"/>
    <s v="Weekends/Holiday Only"/>
  </r>
  <r>
    <s v="101-0028-4497"/>
    <x v="2"/>
    <x v="611"/>
    <s v="Saturday"/>
    <m/>
    <s v="Saturday"/>
    <x v="1"/>
    <n v="24.99"/>
    <n v="1"/>
    <s v="Weekends/Holiday Only"/>
  </r>
  <r>
    <s v="101-0028-4498"/>
    <x v="2"/>
    <x v="612"/>
    <s v="Saturday"/>
    <m/>
    <s v="Saturday"/>
    <x v="1"/>
    <n v="24.99"/>
    <n v="1"/>
    <s v="Weekends/Holiday Only"/>
  </r>
  <r>
    <s v="101-0028-5914"/>
    <x v="2"/>
    <x v="613"/>
    <s v="Sunday"/>
    <m/>
    <s v="Saturday"/>
    <x v="1"/>
    <n v="24.99"/>
    <n v="1"/>
    <s v="Weekends/Holiday Only"/>
  </r>
  <r>
    <s v="101-0028-5915"/>
    <x v="2"/>
    <x v="614"/>
    <s v="Sunday"/>
    <m/>
    <s v="Saturday"/>
    <x v="1"/>
    <n v="24.99"/>
    <n v="1"/>
    <s v="Weekends/Holiday Only"/>
  </r>
  <r>
    <s v="101-0028-9431"/>
    <x v="2"/>
    <x v="615"/>
    <s v="Thursday"/>
    <m/>
    <s v="Saturday"/>
    <x v="0"/>
    <n v="24.99"/>
    <n v="1"/>
    <s v="Weekends/Holiday Only"/>
  </r>
  <r>
    <s v="101-0028-9432"/>
    <x v="2"/>
    <x v="616"/>
    <s v="Thursday"/>
    <m/>
    <s v="Saturday"/>
    <x v="1"/>
    <n v="24.99"/>
    <n v="1"/>
    <s v="Weekends/Holiday Only"/>
  </r>
  <r>
    <s v="101-0029-0655"/>
    <x v="2"/>
    <x v="617"/>
    <s v="Friday"/>
    <m/>
    <s v="Saturday"/>
    <x v="0"/>
    <n v="24.99"/>
    <n v="1"/>
    <s v="Weekends/Holiday Only"/>
  </r>
  <r>
    <s v="101-0029-0665"/>
    <x v="2"/>
    <x v="618"/>
    <s v="Friday"/>
    <m/>
    <s v="Saturday"/>
    <x v="0"/>
    <n v="24.99"/>
    <n v="1"/>
    <s v="Weekends/Holiday Only"/>
  </r>
  <r>
    <s v="101-0029-0680"/>
    <x v="2"/>
    <x v="619"/>
    <s v="Friday"/>
    <m/>
    <s v="Saturday"/>
    <x v="0"/>
    <n v="24.99"/>
    <n v="1"/>
    <s v="Weekends/Holiday Only"/>
  </r>
  <r>
    <s v="101-0029-9612"/>
    <x v="2"/>
    <x v="620"/>
    <s v="Friday"/>
    <m/>
    <s v="Saturday"/>
    <x v="0"/>
    <n v="24.99"/>
    <n v="1"/>
    <s v="Weekends/Holiday Only"/>
  </r>
  <r>
    <s v="101-0029-9794"/>
    <x v="2"/>
    <x v="621"/>
    <s v="Saturday"/>
    <m/>
    <s v="Saturday"/>
    <x v="0"/>
    <n v="24.99"/>
    <n v="1"/>
    <s v="Weekends/Holiday Only"/>
  </r>
  <r>
    <s v="101-0029-9819"/>
    <x v="2"/>
    <x v="622"/>
    <s v="Saturday"/>
    <m/>
    <s v="Saturday"/>
    <x v="0"/>
    <n v="24.99"/>
    <n v="1"/>
    <s v="Weekends/Holiday On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F4B83-A261-472D-B399-319EEECB26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31" firstHeaderRow="0" firstDataRow="1" firstDataCol="1"/>
  <pivotFields count="13">
    <pivotField dataField="1" showAll="0"/>
    <pivotField axis="axisRow" showAll="0">
      <items count="4">
        <item x="0"/>
        <item x="1"/>
        <item x="2"/>
        <item t="default"/>
      </items>
    </pivotField>
    <pivotField axis="axisRow" numFmtId="164" showAll="0">
      <items count="6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t="default"/>
      </items>
    </pivotField>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4">
    <field x="1"/>
    <field x="12"/>
    <field x="10"/>
    <field x="2"/>
  </rowFields>
  <rowItems count="30">
    <i>
      <x/>
    </i>
    <i r="1">
      <x v="1"/>
    </i>
    <i r="2">
      <x v="11"/>
    </i>
    <i r="2">
      <x v="12"/>
    </i>
    <i r="1">
      <x v="2"/>
    </i>
    <i r="2">
      <x v="1"/>
    </i>
    <i r="2">
      <x v="2"/>
    </i>
    <i r="2">
      <x v="3"/>
    </i>
    <i r="2">
      <x v="4"/>
    </i>
    <i r="2">
      <x v="5"/>
    </i>
    <i>
      <x v="1"/>
    </i>
    <i r="1">
      <x v="2"/>
    </i>
    <i r="2">
      <x v="11"/>
    </i>
    <i r="2">
      <x v="12"/>
    </i>
    <i r="1">
      <x v="3"/>
    </i>
    <i r="2">
      <x v="1"/>
    </i>
    <i r="2">
      <x v="2"/>
    </i>
    <i r="2">
      <x v="3"/>
    </i>
    <i r="2">
      <x v="4"/>
    </i>
    <i>
      <x v="2"/>
    </i>
    <i r="1">
      <x v="3"/>
    </i>
    <i r="2">
      <x v="11"/>
    </i>
    <i r="2">
      <x v="12"/>
    </i>
    <i r="1">
      <x v="4"/>
    </i>
    <i r="2">
      <x v="1"/>
    </i>
    <i r="2">
      <x v="2"/>
    </i>
    <i r="2">
      <x v="3"/>
    </i>
    <i r="2">
      <x v="4"/>
    </i>
    <i r="2">
      <x v="5"/>
    </i>
    <i t="grand">
      <x/>
    </i>
  </rowItems>
  <colFields count="1">
    <field x="-2"/>
  </colFields>
  <colItems count="2">
    <i>
      <x/>
    </i>
    <i i="1">
      <x v="1"/>
    </i>
  </colItems>
  <dataFields count="2">
    <dataField name="Revenue" fld="7" baseField="0" baseItem="0" numFmtId="165"/>
    <dataField name="Parking Sessions" fld="0" subtotal="count" baseField="0" baseItem="0"/>
  </dataFields>
  <formats count="1">
    <format dxfId="11">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4">
          <reference field="4294967294" count="1" selected="0">
            <x v="0"/>
          </reference>
          <reference field="1" count="1" selected="0">
            <x v="1"/>
          </reference>
          <reference field="10" count="1" selected="0">
            <x v="1"/>
          </reference>
          <reference field="12"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4">
          <reference field="4294967294" count="1" selected="0">
            <x v="0"/>
          </reference>
          <reference field="1" count="1" selected="0">
            <x v="1"/>
          </reference>
          <reference field="10" count="1" selected="0">
            <x v="1"/>
          </reference>
          <reference field="12" count="1" selected="0">
            <x v="3"/>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567F0F-0CCD-42CD-9C99-1C713B52E7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E5" firstHeaderRow="1" firstDataRow="2" firstDataCol="1"/>
  <pivotFields count="13">
    <pivotField showAll="0"/>
    <pivotField axis="axisCol" showAll="0">
      <items count="4">
        <item x="0"/>
        <item x="1"/>
        <item x="2"/>
        <item t="default"/>
      </items>
    </pivotField>
    <pivotField numFmtId="164" showAll="0">
      <items count="6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t="default"/>
      </items>
    </pivotField>
    <pivotField showAll="0"/>
    <pivotField showAll="0"/>
    <pivotField showAll="0"/>
    <pivotField axis="axisRow" dataField="1" showAll="0">
      <items count="3">
        <item x="0"/>
        <item x="1"/>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6"/>
  </rowFields>
  <rowItems count="3">
    <i>
      <x/>
    </i>
    <i>
      <x v="1"/>
    </i>
    <i t="grand">
      <x/>
    </i>
  </rowItems>
  <colFields count="1">
    <field x="1"/>
  </colFields>
  <colItems count="4">
    <i>
      <x/>
    </i>
    <i>
      <x v="1"/>
    </i>
    <i>
      <x v="2"/>
    </i>
    <i t="grand">
      <x/>
    </i>
  </colItems>
  <dataFields count="1">
    <dataField name="Count of New or Returning Parker" fld="6" subtotal="count" baseField="0" baseItem="0"/>
  </dataFields>
  <chartFormats count="9">
    <chartFormat chart="4" format="6" series="1">
      <pivotArea type="data" outline="0" fieldPosition="0">
        <references count="1">
          <reference field="1" count="1" selected="0">
            <x v="0"/>
          </reference>
        </references>
      </pivotArea>
    </chartFormat>
    <chartFormat chart="4" format="7" series="1">
      <pivotArea type="data" outline="0" fieldPosition="0">
        <references count="1">
          <reference field="1" count="1" selected="0">
            <x v="1"/>
          </reference>
        </references>
      </pivotArea>
    </chartFormat>
    <chartFormat chart="4" format="8" series="1">
      <pivotArea type="data" outline="0" fieldPosition="0">
        <references count="1">
          <reference field="1" count="1" selected="0">
            <x v="2"/>
          </reference>
        </references>
      </pivotArea>
    </chartFormat>
    <chartFormat chart="4" format="9" series="1">
      <pivotArea type="data" outline="0" fieldPosition="0">
        <references count="2">
          <reference field="4294967294" count="1" selected="0">
            <x v="0"/>
          </reference>
          <reference field="1" count="1" selected="0">
            <x v="0"/>
          </reference>
        </references>
      </pivotArea>
    </chartFormat>
    <chartFormat chart="4" format="10" series="1">
      <pivotArea type="data" outline="0" fieldPosition="0">
        <references count="2">
          <reference field="4294967294" count="1" selected="0">
            <x v="0"/>
          </reference>
          <reference field="1" count="1" selected="0">
            <x v="1"/>
          </reference>
        </references>
      </pivotArea>
    </chartFormat>
    <chartFormat chart="4" format="11" series="1">
      <pivotArea type="data" outline="0" fieldPosition="0">
        <references count="2">
          <reference field="4294967294" count="1" selected="0">
            <x v="0"/>
          </reference>
          <reference field="1" count="1" selected="0">
            <x v="2"/>
          </reference>
        </references>
      </pivotArea>
    </chartFormat>
    <chartFormat chart="9" format="15" series="1">
      <pivotArea type="data" outline="0" fieldPosition="0">
        <references count="2">
          <reference field="4294967294" count="1" selected="0">
            <x v="0"/>
          </reference>
          <reference field="1" count="1" selected="0">
            <x v="0"/>
          </reference>
        </references>
      </pivotArea>
    </chartFormat>
    <chartFormat chart="9" format="16" series="1">
      <pivotArea type="data" outline="0" fieldPosition="0">
        <references count="2">
          <reference field="4294967294" count="1" selected="0">
            <x v="0"/>
          </reference>
          <reference field="1" count="1" selected="0">
            <x v="1"/>
          </reference>
        </references>
      </pivotArea>
    </chartFormat>
    <chartFormat chart="9" format="17"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F569A3-5B0C-4CD6-951F-B4D35BEB49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1:H2" firstHeaderRow="1" firstDataRow="1" firstDataCol="0"/>
  <pivotFields count="13">
    <pivotField showAll="0"/>
    <pivotField showAll="0">
      <items count="4">
        <item x="0"/>
        <item x="1"/>
        <item x="2"/>
        <item t="default"/>
      </items>
    </pivotField>
    <pivotField numFmtId="164" showAll="0">
      <items count="6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t="default"/>
      </items>
    </pivotField>
    <pivotField showAll="0"/>
    <pivotField showAll="0"/>
    <pivotField showAll="0"/>
    <pivotField showAll="0">
      <items count="3">
        <item x="0"/>
        <item x="1"/>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Items count="1">
    <i/>
  </rowItems>
  <colItems count="1">
    <i/>
  </colItems>
  <dataFields count="1">
    <dataField name="Average Revenue Per Parker" fld="7" subtotal="average"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19F2F-C04E-4B82-A7B2-A234605C02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D2" firstHeaderRow="1" firstDataRow="1" firstDataCol="0"/>
  <pivotFields count="13">
    <pivotField dataField="1" showAll="0"/>
    <pivotField showAll="0">
      <items count="4">
        <item x="0"/>
        <item x="1"/>
        <item x="2"/>
        <item t="default"/>
      </items>
    </pivotField>
    <pivotField numFmtId="164" showAll="0">
      <items count="6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t="default"/>
      </items>
    </pivotField>
    <pivotField showAll="0"/>
    <pivotField showAll="0"/>
    <pivotField showAll="0"/>
    <pivotField showAll="0">
      <items count="3">
        <item x="0"/>
        <item x="1"/>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Items count="1">
    <i/>
  </rowItems>
  <colItems count="1">
    <i/>
  </colItems>
  <dataFields count="1">
    <dataField name="Number of Parking Sessions" fld="0" subtotal="count" baseField="0" baseItem="0" numFmtId="1"/>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32E1E7-7FBE-4846-8E2D-2381FFA150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A2" firstHeaderRow="1" firstDataRow="1" firstDataCol="0"/>
  <pivotFields count="13">
    <pivotField showAll="0"/>
    <pivotField showAll="0">
      <items count="4">
        <item x="0"/>
        <item x="1"/>
        <item x="2"/>
        <item t="default"/>
      </items>
    </pivotField>
    <pivotField numFmtId="164" showAll="0">
      <items count="6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t="default"/>
      </items>
    </pivotField>
    <pivotField showAll="0"/>
    <pivotField showAll="0"/>
    <pivotField showAll="0"/>
    <pivotField showAll="0">
      <items count="3">
        <item x="0"/>
        <item x="1"/>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Items count="1">
    <i/>
  </rowItems>
  <colItems count="1">
    <i/>
  </colItems>
  <dataFields count="1">
    <dataField name="Average Parking Duration" fld="8"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6C864A1D-3BDC-4A6E-AA34-41FACE3055FF}" autoFormatId="16" applyNumberFormats="0" applyBorderFormats="0" applyFontFormats="0" applyPatternFormats="0" applyAlignmentFormats="0" applyWidthHeightFormats="0">
  <queryTableRefresh nextId="41">
    <queryTableFields count="35">
      <queryTableField id="2" name="Session Id" tableColumnId="2"/>
      <queryTableField id="3" name="Parking type" tableColumnId="3"/>
      <queryTableField id="4" name="Name" tableColumnId="4"/>
      <queryTableField id="5" name="Email" tableColumnId="5"/>
      <queryTableField id="6" name="Phone" tableColumnId="6"/>
      <queryTableField id="7" name="License Plate" tableColumnId="7"/>
      <queryTableField id="8" name="Vehicle Type" tableColumnId="8"/>
      <queryTableField id="9" name="Location" tableColumnId="9"/>
      <queryTableField id="10" name="Zone" tableColumnId="10"/>
      <queryTableField id="11" name="User Category" tableColumnId="11"/>
      <queryTableField id="12" name="Product Name" tableColumnId="12"/>
      <queryTableField id="13" name="Time Zone" tableColumnId="13"/>
      <queryTableField id="14" name="Session Date/Time" tableColumnId="14"/>
      <queryTableField id="37" name="Day of Week (Session Start)" tableColumnId="37"/>
      <queryTableField id="17" name="Enter Date/Time" tableColumnId="17"/>
      <queryTableField id="18" name="Pay Date/Time" tableColumnId="18"/>
      <queryTableField id="38" name="Day of Week (Session End)" tableColumnId="38"/>
      <queryTableField id="19" name="Exit Date/Time" tableColumnId="19"/>
      <queryTableField id="20" name="Currency" tableColumnId="20"/>
      <queryTableField id="21" name="Parking Fee" tableColumnId="21"/>
      <queryTableField id="22" name="Overstay Penalty" tableColumnId="22"/>
      <queryTableField id="23" name="Subtotal" tableColumnId="23"/>
      <queryTableField id="24" name="Taxes" tableColumnId="24"/>
      <queryTableField id="25" name="Previous Paid Amount" tableColumnId="25"/>
      <queryTableField id="26" name="Refund" tableColumnId="26"/>
      <queryTableField id="27" name="Total Fee" tableColumnId="27"/>
      <queryTableField id="28" name="Tax mode" tableColumnId="28"/>
      <queryTableField id="29" name="Session Status" tableColumnId="29"/>
      <queryTableField id="30" name="Payment Status" tableColumnId="30"/>
      <queryTableField id="31" name="Payment Gateway" tableColumnId="31"/>
      <queryTableField id="32" name="Payment Type" tableColumnId="32"/>
      <queryTableField id="33" name="Transaction ID" tableColumnId="33"/>
      <queryTableField id="34" name="Payment Gateway Payment Status" tableColumnId="34"/>
      <queryTableField id="35" name="Session created by" tableColumnId="35"/>
      <queryTableField id="36" name="Notes" tableColumnId="36"/>
    </queryTableFields>
    <queryTableDeletedFields count="2">
      <deletedField name="Session End Date/Time"/>
      <deletedField name="Source.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_Season" xr10:uid="{0C5FE962-1636-489B-B721-7C7E8BA76847}" sourceName="Ski Season">
  <pivotTables>
    <pivotTable tabId="14" name="PivotTable1"/>
    <pivotTable tabId="17" name="PivotTable1"/>
    <pivotTable tabId="17" name="PivotTable2"/>
    <pivotTable tabId="17" name="PivotTable3"/>
    <pivotTable tabId="15" name="PivotTable1"/>
  </pivotTables>
  <data>
    <tabular pivotCacheId="210067408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i Season" xr10:uid="{9D3AE372-5F59-4F72-A624-75217C77176E}" cache="Slicer_Ski_Season" caption="Ski Season"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CDB511-F0BF-4DAC-8D25-3FC42EBC5406}" name="SkiResort_ParkingRevenue_Raw" displayName="SkiResort_ParkingRevenue_Raw" ref="A1:AI1046" tableType="queryTable" totalsRowShown="0">
  <autoFilter ref="A1:AI1046" xr:uid="{1ECDB511-F0BF-4DAC-8D25-3FC42EBC5406}"/>
  <sortState xmlns:xlrd2="http://schemas.microsoft.com/office/spreadsheetml/2017/richdata2" ref="A2:AI1046">
    <sortCondition ref="M1:M1046"/>
  </sortState>
  <tableColumns count="35">
    <tableColumn id="2" xr3:uid="{DDABEA80-09C8-4942-BF02-40431592BD4B}" uniqueName="2" name="Session Id" queryTableFieldId="2" dataDxfId="35"/>
    <tableColumn id="3" xr3:uid="{42F559B5-AACF-43F5-AB67-C3C7DBA34A18}" uniqueName="3" name="Parking type" queryTableFieldId="3" dataDxfId="34"/>
    <tableColumn id="4" xr3:uid="{66DA6673-2C57-46EF-999E-D74BB092F14C}" uniqueName="4" name="Name" queryTableFieldId="4" dataDxfId="33"/>
    <tableColumn id="5" xr3:uid="{10D1D4DE-7F2C-4EE1-908E-1C2891558DE7}" uniqueName="5" name="Email" queryTableFieldId="5" dataDxfId="32"/>
    <tableColumn id="6" xr3:uid="{6886E310-FF29-46A3-84D8-8902814BA96B}" uniqueName="6" name="Phone" queryTableFieldId="6"/>
    <tableColumn id="7" xr3:uid="{427D85B6-E5F2-4821-A17A-2447FBFF6AE0}" uniqueName="7" name="License Plate" queryTableFieldId="7" dataDxfId="31"/>
    <tableColumn id="8" xr3:uid="{CAFFA3AD-8349-4535-B96E-2226403A2CB0}" uniqueName="8" name="Vehicle Type" queryTableFieldId="8" dataDxfId="30"/>
    <tableColumn id="9" xr3:uid="{890D690D-0372-4220-8FD6-ED23C3E140F6}" uniqueName="9" name="Location" queryTableFieldId="9" dataDxfId="29"/>
    <tableColumn id="10" xr3:uid="{480095AB-142F-497A-9B73-D319A495A85D}" uniqueName="10" name="Zone" queryTableFieldId="10" dataDxfId="28"/>
    <tableColumn id="11" xr3:uid="{90D3EB1E-0803-4116-8849-2E743D164079}" uniqueName="11" name="User Category" queryTableFieldId="11"/>
    <tableColumn id="12" xr3:uid="{4F5C493A-6E9A-4B96-A2D1-61EE33D426FE}" uniqueName="12" name="Product Name" queryTableFieldId="12"/>
    <tableColumn id="13" xr3:uid="{D51DC0BB-6021-4634-B2B0-426B53D46D01}" uniqueName="13" name="Time Zone" queryTableFieldId="13" dataDxfId="27"/>
    <tableColumn id="14" xr3:uid="{E9C2AFF8-BB34-45B6-8807-AE36EB086B3C}" uniqueName="14" name="Session Date/Time" queryTableFieldId="14" dataDxfId="26"/>
    <tableColumn id="37" xr3:uid="{35DDF7A6-F7C3-453D-B87B-D7B1D9D3DECF}" uniqueName="37" name="Day of Week (Session Start)" queryTableFieldId="37" dataDxfId="25"/>
    <tableColumn id="17" xr3:uid="{4B986D1E-B634-478C-AD22-C6C8BD7F8D81}" uniqueName="17" name="Enter Date/Time" queryTableFieldId="17" dataDxfId="24"/>
    <tableColumn id="18" xr3:uid="{4C95CBD1-AF4F-4A6A-8056-F32D7DE483E7}" uniqueName="18" name="Pay Date/Time" queryTableFieldId="18" dataDxfId="23"/>
    <tableColumn id="38" xr3:uid="{B5E43472-F9AC-495C-8B77-5B4FE1D846E8}" uniqueName="38" name="Day of Week (Session End)" queryTableFieldId="38" dataDxfId="22"/>
    <tableColumn id="19" xr3:uid="{0EEB3601-988A-4575-9D3B-3F28BE156393}" uniqueName="19" name="Exit Date/Time" queryTableFieldId="19" dataDxfId="21"/>
    <tableColumn id="20" xr3:uid="{EE9C1720-718D-45B6-BFA1-2CD023AEF005}" uniqueName="20" name="Currency" queryTableFieldId="20" dataDxfId="20"/>
    <tableColumn id="21" xr3:uid="{54FCA224-6E85-4926-BE73-8E442C19C91B}" uniqueName="21" name="Parking Fee" queryTableFieldId="21"/>
    <tableColumn id="22" xr3:uid="{045C0CA7-9C99-4A60-80B2-0B77BCC914B8}" uniqueName="22" name="Overstay Penalty" queryTableFieldId="22"/>
    <tableColumn id="23" xr3:uid="{EDB58168-4AD6-4CB9-9280-A3CB75E0553E}" uniqueName="23" name="Subtotal" queryTableFieldId="23"/>
    <tableColumn id="24" xr3:uid="{CE4F0631-CCE7-4A74-8EC9-3C81BB32E3C6}" uniqueName="24" name="Taxes" queryTableFieldId="24"/>
    <tableColumn id="25" xr3:uid="{CC041AB7-7B41-4F01-A8DC-86DF70632DC7}" uniqueName="25" name="Previous Paid Amount" queryTableFieldId="25"/>
    <tableColumn id="26" xr3:uid="{877B690F-6BCF-4125-92D9-A1A290F6E924}" uniqueName="26" name="Refund" queryTableFieldId="26"/>
    <tableColumn id="27" xr3:uid="{45533C45-6C08-4147-AE88-E5DA1C2529AA}" uniqueName="27" name="Total Fee" queryTableFieldId="27"/>
    <tableColumn id="28" xr3:uid="{9CA77D2C-AB0E-4752-8DE6-137A59B10621}" uniqueName="28" name="Tax mode" queryTableFieldId="28" dataDxfId="19"/>
    <tableColumn id="29" xr3:uid="{23CDC5CF-6327-4687-9448-06488C2A4E43}" uniqueName="29" name="Session Status" queryTableFieldId="29" dataDxfId="18"/>
    <tableColumn id="30" xr3:uid="{7283F99F-310F-4BD8-8139-3FD0DD462C6D}" uniqueName="30" name="Payment Status" queryTableFieldId="30" dataDxfId="17"/>
    <tableColumn id="31" xr3:uid="{378A2228-A24E-48A0-8B11-08F58885F356}" uniqueName="31" name="Payment Gateway" queryTableFieldId="31"/>
    <tableColumn id="32" xr3:uid="{830BD500-5AA2-411D-BE47-19C2DB9D79BC}" uniqueName="32" name="Payment Type" queryTableFieldId="32"/>
    <tableColumn id="33" xr3:uid="{28A4E4D6-483A-4AB7-9BD3-2022C73EF4EC}" uniqueName="33" name="Transaction ID" queryTableFieldId="33" dataDxfId="16"/>
    <tableColumn id="34" xr3:uid="{3C588169-F555-4660-8FB9-4F6D1F35DD7A}" uniqueName="34" name="Payment Gateway Payment Status" queryTableFieldId="34"/>
    <tableColumn id="35" xr3:uid="{0B6C14C4-1B87-4B9C-AE20-49E3E2E3E173}" uniqueName="35" name="Session created by" queryTableFieldId="35" dataDxfId="15"/>
    <tableColumn id="36" xr3:uid="{AAF00ACA-29B2-438F-A763-E24B3832AF78}" uniqueName="36" name="Notes" queryTableFieldId="36"/>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677137-2386-49DB-A88F-7927EAC1C9F7}" name="skiresort_parkingrevenue_clean" displayName="skiresort_parkingrevenue_clean" ref="A1:J1046" totalsRowShown="0" headerRowDxfId="14">
  <autoFilter ref="A1:J1046" xr:uid="{F7677137-2386-49DB-A88F-7927EAC1C9F7}"/>
  <tableColumns count="10">
    <tableColumn id="1" xr3:uid="{B14B1D85-DAAD-41C9-AB85-1867D903269F}" name="Booking ID"/>
    <tableColumn id="2" xr3:uid="{64AD02C3-D1D3-45BB-9C19-61AA1F3B23BF}" name="Ski Season">
      <calculatedColumnFormula array="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calculatedColumnFormula>
    </tableColumn>
    <tableColumn id="3" xr3:uid="{D27C2F2D-BC6F-4FEA-B9D4-9D43EBFF261F}" name="Session Start Date" dataDxfId="13"/>
    <tableColumn id="4" xr3:uid="{13BFA34B-EFB3-4294-B551-FDDEEEC594A2}" name="Day of the Week (Start)">
      <calculatedColumnFormula>_xlfn.TEXTBEFORE(TEXT(C2, "dddd, mmmm dd, yyyy"), ",")</calculatedColumnFormula>
    </tableColumn>
    <tableColumn id="5" xr3:uid="{032FAA44-87CD-4D4C-80A7-57DEC9A4436C}" name="Session End Date"/>
    <tableColumn id="6" xr3:uid="{FD403773-C275-4D16-9CA4-5436B167CF3A}" name="Day of the Week (End)" dataDxfId="12">
      <calculatedColumnFormula>_xlfn.TEXTBEFORE(TEXT(E2,"dddd, mmmm dd, yyyy"), ",")</calculatedColumnFormula>
    </tableColumn>
    <tableColumn id="7" xr3:uid="{6C2CC153-C1E8-430C-8899-5553467864A6}" name="New or Returning Parker">
      <calculatedColumnFormula>IF(COUNTIF(INDEX(SkiResort_ParkingRevenue_Raw[License Plate],1):SkiResort_ParkingRevenue_Raw[[#This Row],[License Plate]],SkiResort_ParkingRevenue_Raw[[#This Row],[License Plate]])=1,"New","Returning")</calculatedColumnFormula>
    </tableColumn>
    <tableColumn id="8" xr3:uid="{69E4D137-C01B-4572-8471-F3E77F2C03F9}" name="Session Revenue"/>
    <tableColumn id="9" xr3:uid="{E5AD90D1-0AB1-4DA4-96ED-B913BCFDFB23}" name="Total Parking Duration"/>
    <tableColumn id="10" xr3:uid="{749B168F-950B-41D0-BB84-C977D077DC26}" name="Pricing Policy">
      <calculatedColumnFormula>IF(C2&lt;DATE(2025,1,17), "All Season", "Weekends/Holiday Only")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A20B2-2513-45D9-987F-03F615A8986B}">
  <sheetPr codeName="Sheet1"/>
  <dimension ref="A1:AI1046"/>
  <sheetViews>
    <sheetView workbookViewId="0">
      <selection activeCell="AJ1" sqref="AJ1:AK1048576"/>
    </sheetView>
  </sheetViews>
  <sheetFormatPr defaultRowHeight="15" x14ac:dyDescent="0.25"/>
  <cols>
    <col min="1" max="1" width="36.85546875" bestFit="1" customWidth="1"/>
    <col min="2" max="2" width="13.5703125" bestFit="1" customWidth="1"/>
    <col min="3" max="3" width="16.85546875" bestFit="1" customWidth="1"/>
    <col min="4" max="4" width="34.42578125" bestFit="1" customWidth="1"/>
    <col min="5" max="5" width="36.85546875" bestFit="1" customWidth="1"/>
    <col min="6" max="7" width="15.42578125" bestFit="1" customWidth="1"/>
    <col min="8" max="8" width="14.7109375" bestFit="1" customWidth="1"/>
    <col min="9" max="9" width="20.7109375" bestFit="1" customWidth="1"/>
    <col min="10" max="10" width="12.5703125" bestFit="1" customWidth="1"/>
    <col min="11" max="12" width="16.140625" bestFit="1" customWidth="1"/>
    <col min="13" max="13" width="30.28515625" customWidth="1"/>
    <col min="14" max="14" width="29.140625" bestFit="1" customWidth="1"/>
    <col min="15" max="15" width="28.85546875" bestFit="1" customWidth="1"/>
    <col min="16" max="16" width="18.140625" bestFit="1" customWidth="1"/>
    <col min="17" max="17" width="16.42578125" bestFit="1" customWidth="1"/>
    <col min="18" max="18" width="29.140625" style="6" bestFit="1" customWidth="1"/>
    <col min="19" max="19" width="16.7109375" bestFit="1" customWidth="1"/>
    <col min="20" max="20" width="11.5703125" bestFit="1" customWidth="1"/>
    <col min="21" max="21" width="13.5703125" bestFit="1" customWidth="1"/>
    <col min="22" max="22" width="18.5703125" bestFit="1" customWidth="1"/>
    <col min="23" max="23" width="10.85546875" bestFit="1" customWidth="1"/>
    <col min="24" max="24" width="8.42578125" bestFit="1" customWidth="1"/>
    <col min="25" max="25" width="23.140625" bestFit="1" customWidth="1"/>
    <col min="26" max="26" width="19.42578125" customWidth="1"/>
    <col min="27" max="27" width="11.42578125" bestFit="1" customWidth="1"/>
    <col min="28" max="28" width="11.85546875" bestFit="1" customWidth="1"/>
    <col min="29" max="29" width="16.7109375" bestFit="1" customWidth="1"/>
    <col min="30" max="30" width="17.42578125" bestFit="1" customWidth="1"/>
    <col min="31" max="31" width="19.5703125" bestFit="1" customWidth="1"/>
    <col min="32" max="32" width="16" bestFit="1" customWidth="1"/>
    <col min="33" max="33" width="32.7109375" bestFit="1" customWidth="1"/>
    <col min="34" max="34" width="34.42578125" bestFit="1" customWidth="1"/>
    <col min="35" max="35" width="34.42578125" customWidth="1"/>
    <col min="36" max="37" width="8.71093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4260</v>
      </c>
      <c r="O1" t="s">
        <v>13</v>
      </c>
      <c r="P1" t="s">
        <v>14</v>
      </c>
      <c r="Q1" t="s">
        <v>4261</v>
      </c>
      <c r="R1" s="6"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row>
    <row r="2" spans="1:35" x14ac:dyDescent="0.25">
      <c r="A2" t="s">
        <v>33</v>
      </c>
      <c r="B2" t="s">
        <v>34</v>
      </c>
      <c r="C2" t="s">
        <v>35</v>
      </c>
      <c r="D2" t="s">
        <v>36</v>
      </c>
      <c r="E2" t="s">
        <v>37</v>
      </c>
      <c r="F2" t="s">
        <v>38</v>
      </c>
      <c r="G2" t="s">
        <v>39</v>
      </c>
      <c r="H2" t="s">
        <v>40</v>
      </c>
      <c r="I2" t="s">
        <v>41</v>
      </c>
      <c r="J2" t="s">
        <v>37</v>
      </c>
      <c r="K2" t="s">
        <v>37</v>
      </c>
      <c r="L2" t="s">
        <v>42</v>
      </c>
      <c r="M2" s="6">
        <v>45257.610451388886</v>
      </c>
      <c r="N2" t="s">
        <v>4262</v>
      </c>
      <c r="O2" s="1">
        <v>45257.318784722222</v>
      </c>
      <c r="P2" s="1">
        <v>45257.610509259262</v>
      </c>
      <c r="Q2" t="s">
        <v>4262</v>
      </c>
      <c r="R2" s="6">
        <v>45257.416666666664</v>
      </c>
      <c r="S2" t="s">
        <v>43</v>
      </c>
      <c r="T2">
        <v>19.04</v>
      </c>
      <c r="U2">
        <v>0</v>
      </c>
      <c r="V2">
        <v>19.04</v>
      </c>
      <c r="W2">
        <v>0.95</v>
      </c>
      <c r="X2">
        <v>0</v>
      </c>
      <c r="Y2">
        <v>0</v>
      </c>
      <c r="Z2">
        <v>19.989999999999998</v>
      </c>
      <c r="AA2" t="s">
        <v>44</v>
      </c>
      <c r="AB2" t="s">
        <v>45</v>
      </c>
      <c r="AC2" t="s">
        <v>46</v>
      </c>
      <c r="AD2" t="s">
        <v>37</v>
      </c>
      <c r="AE2" t="s">
        <v>37</v>
      </c>
      <c r="AF2" t="s">
        <v>47</v>
      </c>
      <c r="AG2" t="s">
        <v>37</v>
      </c>
      <c r="AH2" t="s">
        <v>35</v>
      </c>
      <c r="AI2" t="s">
        <v>37</v>
      </c>
    </row>
    <row r="3" spans="1:35" x14ac:dyDescent="0.25">
      <c r="A3" t="s">
        <v>162</v>
      </c>
      <c r="B3" t="s">
        <v>34</v>
      </c>
      <c r="C3" t="s">
        <v>163</v>
      </c>
      <c r="D3" t="s">
        <v>164</v>
      </c>
      <c r="E3" t="s">
        <v>37</v>
      </c>
      <c r="F3" t="s">
        <v>165</v>
      </c>
      <c r="G3" t="s">
        <v>39</v>
      </c>
      <c r="H3" t="s">
        <v>40</v>
      </c>
      <c r="I3" t="s">
        <v>41</v>
      </c>
      <c r="J3" t="s">
        <v>37</v>
      </c>
      <c r="K3" t="s">
        <v>37</v>
      </c>
      <c r="L3" t="s">
        <v>42</v>
      </c>
      <c r="M3" s="6">
        <v>45262.291666666664</v>
      </c>
      <c r="N3" t="s">
        <v>4265</v>
      </c>
      <c r="O3" s="1">
        <v>45262</v>
      </c>
      <c r="P3" s="1">
        <v>45262.52065972222</v>
      </c>
      <c r="Q3" t="s">
        <v>4265</v>
      </c>
      <c r="R3" s="6">
        <v>45262.416666666664</v>
      </c>
      <c r="S3" t="s">
        <v>43</v>
      </c>
      <c r="T3">
        <v>23.8</v>
      </c>
      <c r="U3">
        <v>0</v>
      </c>
      <c r="V3">
        <v>23.8</v>
      </c>
      <c r="W3">
        <v>1.19</v>
      </c>
      <c r="X3">
        <v>0</v>
      </c>
      <c r="Y3">
        <v>0</v>
      </c>
      <c r="Z3">
        <v>24.99</v>
      </c>
      <c r="AA3" t="s">
        <v>44</v>
      </c>
      <c r="AB3" t="s">
        <v>45</v>
      </c>
      <c r="AC3" t="s">
        <v>46</v>
      </c>
      <c r="AD3" t="s">
        <v>37</v>
      </c>
      <c r="AE3" t="s">
        <v>37</v>
      </c>
      <c r="AF3" t="s">
        <v>166</v>
      </c>
      <c r="AG3" t="s">
        <v>37</v>
      </c>
      <c r="AH3" t="s">
        <v>163</v>
      </c>
      <c r="AI3" t="s">
        <v>37</v>
      </c>
    </row>
    <row r="4" spans="1:35" x14ac:dyDescent="0.25">
      <c r="A4" t="s">
        <v>177</v>
      </c>
      <c r="B4" t="s">
        <v>34</v>
      </c>
      <c r="C4" t="s">
        <v>75</v>
      </c>
      <c r="D4" t="s">
        <v>76</v>
      </c>
      <c r="E4" t="s">
        <v>37</v>
      </c>
      <c r="F4" t="s">
        <v>77</v>
      </c>
      <c r="G4" t="s">
        <v>39</v>
      </c>
      <c r="H4" t="s">
        <v>40</v>
      </c>
      <c r="I4" t="s">
        <v>41</v>
      </c>
      <c r="J4" t="s">
        <v>37</v>
      </c>
      <c r="K4" t="s">
        <v>37</v>
      </c>
      <c r="L4" t="s">
        <v>42</v>
      </c>
      <c r="M4" s="6">
        <v>45266.468807870369</v>
      </c>
      <c r="N4" t="s">
        <v>4263</v>
      </c>
      <c r="O4" s="1">
        <v>45266.177141203705</v>
      </c>
      <c r="P4" s="1">
        <v>45266.468865740739</v>
      </c>
      <c r="Q4" t="s">
        <v>4263</v>
      </c>
      <c r="R4" s="6">
        <v>45266.416666666664</v>
      </c>
      <c r="S4" t="s">
        <v>43</v>
      </c>
      <c r="T4">
        <v>19.04</v>
      </c>
      <c r="U4">
        <v>0</v>
      </c>
      <c r="V4">
        <v>19.04</v>
      </c>
      <c r="W4">
        <v>0.95</v>
      </c>
      <c r="X4">
        <v>0</v>
      </c>
      <c r="Y4">
        <v>0</v>
      </c>
      <c r="Z4">
        <v>19.989999999999998</v>
      </c>
      <c r="AA4" t="s">
        <v>44</v>
      </c>
      <c r="AB4" t="s">
        <v>45</v>
      </c>
      <c r="AC4" t="s">
        <v>46</v>
      </c>
      <c r="AD4" t="s">
        <v>37</v>
      </c>
      <c r="AE4" t="s">
        <v>37</v>
      </c>
      <c r="AF4" t="s">
        <v>178</v>
      </c>
      <c r="AG4" t="s">
        <v>37</v>
      </c>
      <c r="AH4" t="s">
        <v>75</v>
      </c>
      <c r="AI4" t="s">
        <v>37</v>
      </c>
    </row>
    <row r="5" spans="1:35" x14ac:dyDescent="0.25">
      <c r="A5" t="s">
        <v>122</v>
      </c>
      <c r="B5" t="s">
        <v>34</v>
      </c>
      <c r="C5" t="s">
        <v>123</v>
      </c>
      <c r="D5" t="s">
        <v>124</v>
      </c>
      <c r="E5" t="s">
        <v>37</v>
      </c>
      <c r="F5" t="s">
        <v>125</v>
      </c>
      <c r="G5" t="s">
        <v>39</v>
      </c>
      <c r="H5" t="s">
        <v>40</v>
      </c>
      <c r="I5" t="s">
        <v>41</v>
      </c>
      <c r="J5" t="s">
        <v>37</v>
      </c>
      <c r="K5" t="s">
        <v>37</v>
      </c>
      <c r="L5" t="s">
        <v>42</v>
      </c>
      <c r="M5" s="6">
        <v>45269.291666666664</v>
      </c>
      <c r="N5" t="s">
        <v>4265</v>
      </c>
      <c r="O5" s="1">
        <v>45269</v>
      </c>
      <c r="P5" s="1">
        <v>45268.624965277777</v>
      </c>
      <c r="Q5" t="s">
        <v>4265</v>
      </c>
      <c r="R5" s="6">
        <v>45269.416666666664</v>
      </c>
      <c r="S5" t="s">
        <v>43</v>
      </c>
      <c r="T5">
        <v>23.8</v>
      </c>
      <c r="U5">
        <v>0</v>
      </c>
      <c r="V5">
        <v>23.8</v>
      </c>
      <c r="W5">
        <v>1.19</v>
      </c>
      <c r="X5">
        <v>0</v>
      </c>
      <c r="Y5">
        <v>0</v>
      </c>
      <c r="Z5">
        <v>24.99</v>
      </c>
      <c r="AA5" t="s">
        <v>44</v>
      </c>
      <c r="AB5" t="s">
        <v>45</v>
      </c>
      <c r="AC5" t="s">
        <v>46</v>
      </c>
      <c r="AD5" t="s">
        <v>37</v>
      </c>
      <c r="AE5" t="s">
        <v>37</v>
      </c>
      <c r="AF5" t="s">
        <v>126</v>
      </c>
      <c r="AG5" t="s">
        <v>37</v>
      </c>
      <c r="AH5" t="s">
        <v>123</v>
      </c>
      <c r="AI5" t="s">
        <v>37</v>
      </c>
    </row>
    <row r="6" spans="1:35" x14ac:dyDescent="0.25">
      <c r="A6" t="s">
        <v>74</v>
      </c>
      <c r="B6" t="s">
        <v>34</v>
      </c>
      <c r="C6" t="s">
        <v>75</v>
      </c>
      <c r="D6" t="s">
        <v>76</v>
      </c>
      <c r="E6" t="s">
        <v>37</v>
      </c>
      <c r="F6" t="s">
        <v>77</v>
      </c>
      <c r="G6" t="s">
        <v>39</v>
      </c>
      <c r="H6" t="s">
        <v>40</v>
      </c>
      <c r="I6" t="s">
        <v>41</v>
      </c>
      <c r="J6" t="s">
        <v>37</v>
      </c>
      <c r="K6" t="s">
        <v>37</v>
      </c>
      <c r="L6" t="s">
        <v>42</v>
      </c>
      <c r="M6" s="6">
        <v>45272.593287037038</v>
      </c>
      <c r="N6" t="s">
        <v>4267</v>
      </c>
      <c r="O6" s="1">
        <v>45272.301620370374</v>
      </c>
      <c r="P6" s="1">
        <v>45272.593344907407</v>
      </c>
      <c r="Q6" t="s">
        <v>4267</v>
      </c>
      <c r="R6" s="6">
        <v>45272.416666666664</v>
      </c>
      <c r="S6" t="s">
        <v>43</v>
      </c>
      <c r="T6">
        <v>19.04</v>
      </c>
      <c r="U6">
        <v>0</v>
      </c>
      <c r="V6">
        <v>19.04</v>
      </c>
      <c r="W6">
        <v>0.95</v>
      </c>
      <c r="X6">
        <v>0</v>
      </c>
      <c r="Y6">
        <v>0</v>
      </c>
      <c r="Z6">
        <v>19.989999999999998</v>
      </c>
      <c r="AA6" t="s">
        <v>44</v>
      </c>
      <c r="AB6" t="s">
        <v>45</v>
      </c>
      <c r="AC6" t="s">
        <v>46</v>
      </c>
      <c r="AD6" t="s">
        <v>37</v>
      </c>
      <c r="AE6" t="s">
        <v>37</v>
      </c>
      <c r="AF6" t="s">
        <v>78</v>
      </c>
      <c r="AG6" t="s">
        <v>37</v>
      </c>
      <c r="AH6" t="s">
        <v>75</v>
      </c>
      <c r="AI6" t="s">
        <v>37</v>
      </c>
    </row>
    <row r="7" spans="1:35" x14ac:dyDescent="0.25">
      <c r="A7" t="s">
        <v>151</v>
      </c>
      <c r="B7" t="s">
        <v>34</v>
      </c>
      <c r="C7" t="s">
        <v>70</v>
      </c>
      <c r="D7" t="s">
        <v>71</v>
      </c>
      <c r="E7" t="s">
        <v>37</v>
      </c>
      <c r="F7" t="s">
        <v>152</v>
      </c>
      <c r="G7" t="s">
        <v>39</v>
      </c>
      <c r="H7" t="s">
        <v>40</v>
      </c>
      <c r="I7" t="s">
        <v>41</v>
      </c>
      <c r="J7" t="s">
        <v>37</v>
      </c>
      <c r="K7" t="s">
        <v>37</v>
      </c>
      <c r="L7" t="s">
        <v>42</v>
      </c>
      <c r="M7" s="6">
        <v>45275.291666666664</v>
      </c>
      <c r="N7" t="s">
        <v>4268</v>
      </c>
      <c r="O7" s="1">
        <v>45275</v>
      </c>
      <c r="P7" s="1">
        <v>45250.673356481479</v>
      </c>
      <c r="Q7" t="s">
        <v>4268</v>
      </c>
      <c r="R7" s="6">
        <v>45275.416666666664</v>
      </c>
      <c r="S7" t="s">
        <v>43</v>
      </c>
      <c r="T7">
        <v>19.04</v>
      </c>
      <c r="U7">
        <v>0</v>
      </c>
      <c r="V7">
        <v>19.04</v>
      </c>
      <c r="W7">
        <v>0.95</v>
      </c>
      <c r="X7">
        <v>0</v>
      </c>
      <c r="Y7">
        <v>0</v>
      </c>
      <c r="Z7">
        <v>19.989999999999998</v>
      </c>
      <c r="AA7" t="s">
        <v>44</v>
      </c>
      <c r="AB7" t="s">
        <v>45</v>
      </c>
      <c r="AC7" t="s">
        <v>46</v>
      </c>
      <c r="AD7" t="s">
        <v>37</v>
      </c>
      <c r="AE7" t="s">
        <v>37</v>
      </c>
      <c r="AF7" t="s">
        <v>153</v>
      </c>
      <c r="AG7" t="s">
        <v>37</v>
      </c>
      <c r="AH7" t="s">
        <v>70</v>
      </c>
      <c r="AI7" t="s">
        <v>37</v>
      </c>
    </row>
    <row r="8" spans="1:35" x14ac:dyDescent="0.25">
      <c r="A8" t="s">
        <v>54</v>
      </c>
      <c r="B8" t="s">
        <v>34</v>
      </c>
      <c r="C8" t="s">
        <v>55</v>
      </c>
      <c r="D8" t="s">
        <v>56</v>
      </c>
      <c r="E8" t="s">
        <v>37</v>
      </c>
      <c r="F8" t="s">
        <v>57</v>
      </c>
      <c r="G8" t="s">
        <v>39</v>
      </c>
      <c r="H8" t="s">
        <v>40</v>
      </c>
      <c r="I8" t="s">
        <v>41</v>
      </c>
      <c r="J8" t="s">
        <v>37</v>
      </c>
      <c r="K8" t="s">
        <v>37</v>
      </c>
      <c r="L8" t="s">
        <v>42</v>
      </c>
      <c r="M8" s="6">
        <v>45276.291666666664</v>
      </c>
      <c r="N8" t="s">
        <v>4265</v>
      </c>
      <c r="O8" s="1">
        <v>45276</v>
      </c>
      <c r="P8" s="1">
        <v>45276.433263888888</v>
      </c>
      <c r="Q8" t="s">
        <v>4265</v>
      </c>
      <c r="R8" s="6">
        <v>45276.416666666664</v>
      </c>
      <c r="S8" t="s">
        <v>43</v>
      </c>
      <c r="T8">
        <v>23.8</v>
      </c>
      <c r="U8">
        <v>0</v>
      </c>
      <c r="V8">
        <v>23.8</v>
      </c>
      <c r="W8">
        <v>1.19</v>
      </c>
      <c r="X8">
        <v>0</v>
      </c>
      <c r="Y8">
        <v>0</v>
      </c>
      <c r="Z8">
        <v>24.99</v>
      </c>
      <c r="AA8" t="s">
        <v>44</v>
      </c>
      <c r="AB8" t="s">
        <v>45</v>
      </c>
      <c r="AC8" t="s">
        <v>46</v>
      </c>
      <c r="AD8" t="s">
        <v>37</v>
      </c>
      <c r="AE8" t="s">
        <v>37</v>
      </c>
      <c r="AF8" t="s">
        <v>58</v>
      </c>
      <c r="AG8" t="s">
        <v>37</v>
      </c>
      <c r="AH8" t="s">
        <v>55</v>
      </c>
      <c r="AI8" t="s">
        <v>37</v>
      </c>
    </row>
    <row r="9" spans="1:35" x14ac:dyDescent="0.25">
      <c r="A9" t="s">
        <v>154</v>
      </c>
      <c r="B9" t="s">
        <v>34</v>
      </c>
      <c r="C9" t="s">
        <v>70</v>
      </c>
      <c r="D9" t="s">
        <v>71</v>
      </c>
      <c r="E9" t="s">
        <v>37</v>
      </c>
      <c r="F9" t="s">
        <v>152</v>
      </c>
      <c r="G9" t="s">
        <v>39</v>
      </c>
      <c r="H9" t="s">
        <v>40</v>
      </c>
      <c r="I9" t="s">
        <v>41</v>
      </c>
      <c r="J9" t="s">
        <v>37</v>
      </c>
      <c r="K9" t="s">
        <v>37</v>
      </c>
      <c r="L9" t="s">
        <v>42</v>
      </c>
      <c r="M9" s="6">
        <v>45276.291666666664</v>
      </c>
      <c r="N9" t="s">
        <v>4265</v>
      </c>
      <c r="O9" s="1">
        <v>45276</v>
      </c>
      <c r="P9" s="1">
        <v>45250.674016203702</v>
      </c>
      <c r="Q9" t="s">
        <v>4265</v>
      </c>
      <c r="R9" s="6">
        <v>45276.416666666664</v>
      </c>
      <c r="S9" t="s">
        <v>43</v>
      </c>
      <c r="T9">
        <v>47.6</v>
      </c>
      <c r="U9">
        <v>0</v>
      </c>
      <c r="V9">
        <v>47.6</v>
      </c>
      <c r="W9">
        <v>2.38</v>
      </c>
      <c r="X9">
        <v>0</v>
      </c>
      <c r="Y9">
        <v>0</v>
      </c>
      <c r="Z9">
        <v>49.98</v>
      </c>
      <c r="AA9" t="s">
        <v>44</v>
      </c>
      <c r="AB9" t="s">
        <v>45</v>
      </c>
      <c r="AC9" t="s">
        <v>46</v>
      </c>
      <c r="AD9" t="s">
        <v>37</v>
      </c>
      <c r="AE9" t="s">
        <v>37</v>
      </c>
      <c r="AF9" t="s">
        <v>155</v>
      </c>
      <c r="AG9" t="s">
        <v>37</v>
      </c>
      <c r="AH9" t="s">
        <v>70</v>
      </c>
      <c r="AI9" t="s">
        <v>37</v>
      </c>
    </row>
    <row r="10" spans="1:35" x14ac:dyDescent="0.25">
      <c r="A10" t="s">
        <v>69</v>
      </c>
      <c r="B10" t="s">
        <v>34</v>
      </c>
      <c r="C10" t="s">
        <v>70</v>
      </c>
      <c r="D10" t="s">
        <v>71</v>
      </c>
      <c r="E10" t="s">
        <v>37</v>
      </c>
      <c r="F10" t="s">
        <v>72</v>
      </c>
      <c r="G10" t="s">
        <v>39</v>
      </c>
      <c r="H10" t="s">
        <v>40</v>
      </c>
      <c r="I10" t="s">
        <v>41</v>
      </c>
      <c r="J10" t="s">
        <v>37</v>
      </c>
      <c r="K10" t="s">
        <v>37</v>
      </c>
      <c r="L10" t="s">
        <v>42</v>
      </c>
      <c r="M10" s="6">
        <v>45277.291666666664</v>
      </c>
      <c r="N10" t="s">
        <v>4266</v>
      </c>
      <c r="O10" s="1">
        <v>45277</v>
      </c>
      <c r="P10" s="1">
        <v>45277.492685185185</v>
      </c>
      <c r="Q10" t="s">
        <v>4266</v>
      </c>
      <c r="R10" s="6">
        <v>45277.416666666664</v>
      </c>
      <c r="S10" t="s">
        <v>43</v>
      </c>
      <c r="T10">
        <v>23.8</v>
      </c>
      <c r="U10">
        <v>0</v>
      </c>
      <c r="V10">
        <v>23.8</v>
      </c>
      <c r="W10">
        <v>1.19</v>
      </c>
      <c r="X10">
        <v>0</v>
      </c>
      <c r="Y10">
        <v>0</v>
      </c>
      <c r="Z10">
        <v>24.99</v>
      </c>
      <c r="AA10" t="s">
        <v>44</v>
      </c>
      <c r="AB10" t="s">
        <v>45</v>
      </c>
      <c r="AC10" t="s">
        <v>46</v>
      </c>
      <c r="AD10" t="s">
        <v>37</v>
      </c>
      <c r="AE10" t="s">
        <v>37</v>
      </c>
      <c r="AF10" t="s">
        <v>73</v>
      </c>
      <c r="AG10" t="s">
        <v>37</v>
      </c>
      <c r="AH10" t="s">
        <v>70</v>
      </c>
      <c r="AI10" t="s">
        <v>37</v>
      </c>
    </row>
    <row r="11" spans="1:35" x14ac:dyDescent="0.25">
      <c r="A11" t="s">
        <v>156</v>
      </c>
      <c r="B11" t="s">
        <v>34</v>
      </c>
      <c r="C11" t="s">
        <v>70</v>
      </c>
      <c r="D11" t="s">
        <v>71</v>
      </c>
      <c r="E11" t="s">
        <v>37</v>
      </c>
      <c r="F11" t="s">
        <v>152</v>
      </c>
      <c r="G11" t="s">
        <v>39</v>
      </c>
      <c r="H11" t="s">
        <v>40</v>
      </c>
      <c r="I11" t="s">
        <v>41</v>
      </c>
      <c r="J11" t="s">
        <v>37</v>
      </c>
      <c r="K11" t="s">
        <v>37</v>
      </c>
      <c r="L11" t="s">
        <v>42</v>
      </c>
      <c r="M11" s="6">
        <v>45277.291666666664</v>
      </c>
      <c r="N11" t="s">
        <v>4266</v>
      </c>
      <c r="O11" s="1">
        <v>45277</v>
      </c>
      <c r="P11" s="1">
        <v>45250.674016203702</v>
      </c>
      <c r="Q11" t="s">
        <v>4266</v>
      </c>
      <c r="R11" s="6">
        <v>45277.416666666664</v>
      </c>
      <c r="S11" t="s">
        <v>43</v>
      </c>
      <c r="T11">
        <v>47.6</v>
      </c>
      <c r="U11">
        <v>0</v>
      </c>
      <c r="V11">
        <v>47.6</v>
      </c>
      <c r="W11">
        <v>2.38</v>
      </c>
      <c r="X11">
        <v>0</v>
      </c>
      <c r="Y11">
        <v>0</v>
      </c>
      <c r="Z11">
        <v>49.98</v>
      </c>
      <c r="AA11" t="s">
        <v>44</v>
      </c>
      <c r="AB11" t="s">
        <v>45</v>
      </c>
      <c r="AC11" t="s">
        <v>46</v>
      </c>
      <c r="AD11" t="s">
        <v>37</v>
      </c>
      <c r="AE11" t="s">
        <v>37</v>
      </c>
      <c r="AF11" t="s">
        <v>155</v>
      </c>
      <c r="AG11" t="s">
        <v>37</v>
      </c>
      <c r="AH11" t="s">
        <v>70</v>
      </c>
      <c r="AI11" t="s">
        <v>37</v>
      </c>
    </row>
    <row r="12" spans="1:35" x14ac:dyDescent="0.25">
      <c r="A12" t="s">
        <v>64</v>
      </c>
      <c r="B12" t="s">
        <v>34</v>
      </c>
      <c r="C12" t="s">
        <v>65</v>
      </c>
      <c r="D12" t="s">
        <v>66</v>
      </c>
      <c r="E12" t="s">
        <v>37</v>
      </c>
      <c r="F12" t="s">
        <v>67</v>
      </c>
      <c r="G12" t="s">
        <v>39</v>
      </c>
      <c r="H12" t="s">
        <v>40</v>
      </c>
      <c r="I12" t="s">
        <v>41</v>
      </c>
      <c r="J12" t="s">
        <v>37</v>
      </c>
      <c r="K12" t="s">
        <v>37</v>
      </c>
      <c r="L12" t="s">
        <v>42</v>
      </c>
      <c r="M12" s="6">
        <v>45277.406354166669</v>
      </c>
      <c r="N12" t="s">
        <v>4266</v>
      </c>
      <c r="O12" s="1">
        <v>45277.114687499998</v>
      </c>
      <c r="P12" s="1">
        <v>45277.406412037039</v>
      </c>
      <c r="Q12" t="s">
        <v>4266</v>
      </c>
      <c r="R12" s="6">
        <v>45277.416666666664</v>
      </c>
      <c r="S12" t="s">
        <v>43</v>
      </c>
      <c r="T12">
        <v>23.8</v>
      </c>
      <c r="U12">
        <v>0</v>
      </c>
      <c r="V12">
        <v>23.8</v>
      </c>
      <c r="W12">
        <v>1.19</v>
      </c>
      <c r="X12">
        <v>0</v>
      </c>
      <c r="Y12">
        <v>0</v>
      </c>
      <c r="Z12">
        <v>24.99</v>
      </c>
      <c r="AA12" t="s">
        <v>44</v>
      </c>
      <c r="AB12" t="s">
        <v>45</v>
      </c>
      <c r="AC12" t="s">
        <v>46</v>
      </c>
      <c r="AD12" t="s">
        <v>37</v>
      </c>
      <c r="AE12" t="s">
        <v>37</v>
      </c>
      <c r="AF12" t="s">
        <v>68</v>
      </c>
      <c r="AG12" t="s">
        <v>37</v>
      </c>
      <c r="AH12" t="s">
        <v>65</v>
      </c>
      <c r="AI12" t="s">
        <v>37</v>
      </c>
    </row>
    <row r="13" spans="1:35" x14ac:dyDescent="0.25">
      <c r="A13" t="s">
        <v>117</v>
      </c>
      <c r="B13" t="s">
        <v>34</v>
      </c>
      <c r="C13" t="s">
        <v>118</v>
      </c>
      <c r="D13" t="s">
        <v>119</v>
      </c>
      <c r="E13" t="s">
        <v>37</v>
      </c>
      <c r="F13" t="s">
        <v>120</v>
      </c>
      <c r="G13" t="s">
        <v>39</v>
      </c>
      <c r="H13" t="s">
        <v>40</v>
      </c>
      <c r="I13" t="s">
        <v>41</v>
      </c>
      <c r="J13" t="s">
        <v>37</v>
      </c>
      <c r="K13" t="s">
        <v>37</v>
      </c>
      <c r="L13" t="s">
        <v>42</v>
      </c>
      <c r="M13" s="6">
        <v>45278.291666666664</v>
      </c>
      <c r="N13" t="s">
        <v>4262</v>
      </c>
      <c r="O13" s="1">
        <v>45278</v>
      </c>
      <c r="P13" s="1">
        <v>45268.348275462966</v>
      </c>
      <c r="Q13" t="s">
        <v>4262</v>
      </c>
      <c r="R13" s="6">
        <v>45278.416666666664</v>
      </c>
      <c r="S13" t="s">
        <v>43</v>
      </c>
      <c r="T13">
        <v>19.04</v>
      </c>
      <c r="U13">
        <v>0</v>
      </c>
      <c r="V13">
        <v>19.04</v>
      </c>
      <c r="W13">
        <v>0.95</v>
      </c>
      <c r="X13">
        <v>0</v>
      </c>
      <c r="Y13">
        <v>0</v>
      </c>
      <c r="Z13">
        <v>19.989999999999998</v>
      </c>
      <c r="AA13" t="s">
        <v>44</v>
      </c>
      <c r="AB13" t="s">
        <v>45</v>
      </c>
      <c r="AC13" t="s">
        <v>46</v>
      </c>
      <c r="AD13" t="s">
        <v>37</v>
      </c>
      <c r="AE13" t="s">
        <v>37</v>
      </c>
      <c r="AF13" t="s">
        <v>121</v>
      </c>
      <c r="AG13" t="s">
        <v>37</v>
      </c>
      <c r="AH13" t="s">
        <v>118</v>
      </c>
      <c r="AI13" t="s">
        <v>37</v>
      </c>
    </row>
    <row r="14" spans="1:35" x14ac:dyDescent="0.25">
      <c r="A14" t="s">
        <v>132</v>
      </c>
      <c r="B14" t="s">
        <v>34</v>
      </c>
      <c r="C14" t="s">
        <v>128</v>
      </c>
      <c r="D14" t="s">
        <v>129</v>
      </c>
      <c r="E14" t="s">
        <v>37</v>
      </c>
      <c r="F14" t="s">
        <v>130</v>
      </c>
      <c r="G14" t="s">
        <v>39</v>
      </c>
      <c r="H14" t="s">
        <v>40</v>
      </c>
      <c r="I14" t="s">
        <v>41</v>
      </c>
      <c r="J14" t="s">
        <v>37</v>
      </c>
      <c r="K14" t="s">
        <v>37</v>
      </c>
      <c r="L14" t="s">
        <v>42</v>
      </c>
      <c r="M14" s="6">
        <v>45279.291666666664</v>
      </c>
      <c r="N14" t="s">
        <v>4267</v>
      </c>
      <c r="O14" s="1">
        <v>45279</v>
      </c>
      <c r="P14" s="1">
        <v>45278.762025462966</v>
      </c>
      <c r="Q14" t="s">
        <v>4267</v>
      </c>
      <c r="R14" s="6">
        <v>45279.416666666664</v>
      </c>
      <c r="S14" t="s">
        <v>43</v>
      </c>
      <c r="T14">
        <v>57.11</v>
      </c>
      <c r="U14">
        <v>0</v>
      </c>
      <c r="V14">
        <v>57.11</v>
      </c>
      <c r="W14">
        <v>2.86</v>
      </c>
      <c r="X14">
        <v>0</v>
      </c>
      <c r="Y14">
        <v>0</v>
      </c>
      <c r="Z14">
        <v>59.97</v>
      </c>
      <c r="AA14" t="s">
        <v>44</v>
      </c>
      <c r="AB14" t="s">
        <v>45</v>
      </c>
      <c r="AC14" t="s">
        <v>46</v>
      </c>
      <c r="AD14" t="s">
        <v>37</v>
      </c>
      <c r="AE14" t="s">
        <v>37</v>
      </c>
      <c r="AF14" t="s">
        <v>131</v>
      </c>
      <c r="AG14" t="s">
        <v>37</v>
      </c>
      <c r="AH14" t="s">
        <v>128</v>
      </c>
      <c r="AI14" t="s">
        <v>37</v>
      </c>
    </row>
    <row r="15" spans="1:35" x14ac:dyDescent="0.25">
      <c r="A15" t="s">
        <v>133</v>
      </c>
      <c r="B15" t="s">
        <v>34</v>
      </c>
      <c r="C15" t="s">
        <v>128</v>
      </c>
      <c r="D15" t="s">
        <v>129</v>
      </c>
      <c r="E15" t="s">
        <v>37</v>
      </c>
      <c r="F15" t="s">
        <v>130</v>
      </c>
      <c r="G15" t="s">
        <v>39</v>
      </c>
      <c r="H15" t="s">
        <v>40</v>
      </c>
      <c r="I15" t="s">
        <v>41</v>
      </c>
      <c r="J15" t="s">
        <v>37</v>
      </c>
      <c r="K15" t="s">
        <v>37</v>
      </c>
      <c r="L15" t="s">
        <v>42</v>
      </c>
      <c r="M15" s="6">
        <v>45280.291666666664</v>
      </c>
      <c r="N15" t="s">
        <v>4263</v>
      </c>
      <c r="O15" s="1">
        <v>45280</v>
      </c>
      <c r="P15" s="1">
        <v>45278.762025462966</v>
      </c>
      <c r="Q15" t="s">
        <v>4263</v>
      </c>
      <c r="R15" s="6">
        <v>45280.416666666664</v>
      </c>
      <c r="S15" t="s">
        <v>43</v>
      </c>
      <c r="T15">
        <v>57.11</v>
      </c>
      <c r="U15">
        <v>0</v>
      </c>
      <c r="V15">
        <v>57.11</v>
      </c>
      <c r="W15">
        <v>2.86</v>
      </c>
      <c r="X15">
        <v>0</v>
      </c>
      <c r="Y15">
        <v>0</v>
      </c>
      <c r="Z15">
        <v>59.97</v>
      </c>
      <c r="AA15" t="s">
        <v>44</v>
      </c>
      <c r="AB15" t="s">
        <v>45</v>
      </c>
      <c r="AC15" t="s">
        <v>46</v>
      </c>
      <c r="AD15" t="s">
        <v>37</v>
      </c>
      <c r="AE15" t="s">
        <v>37</v>
      </c>
      <c r="AF15" t="s">
        <v>131</v>
      </c>
      <c r="AG15" t="s">
        <v>37</v>
      </c>
      <c r="AH15" t="s">
        <v>128</v>
      </c>
      <c r="AI15" t="s">
        <v>37</v>
      </c>
    </row>
    <row r="16" spans="1:35" x14ac:dyDescent="0.25">
      <c r="A16" t="s">
        <v>127</v>
      </c>
      <c r="B16" t="s">
        <v>34</v>
      </c>
      <c r="C16" t="s">
        <v>128</v>
      </c>
      <c r="D16" t="s">
        <v>129</v>
      </c>
      <c r="E16" t="s">
        <v>37</v>
      </c>
      <c r="F16" t="s">
        <v>130</v>
      </c>
      <c r="G16" t="s">
        <v>39</v>
      </c>
      <c r="H16" t="s">
        <v>40</v>
      </c>
      <c r="I16" t="s">
        <v>41</v>
      </c>
      <c r="J16" t="s">
        <v>37</v>
      </c>
      <c r="K16" t="s">
        <v>37</v>
      </c>
      <c r="L16" t="s">
        <v>42</v>
      </c>
      <c r="M16" s="6">
        <v>45281.291666666664</v>
      </c>
      <c r="N16" t="s">
        <v>4264</v>
      </c>
      <c r="O16" s="1">
        <v>45281</v>
      </c>
      <c r="P16" s="1">
        <v>45278.762025462966</v>
      </c>
      <c r="Q16" t="s">
        <v>4264</v>
      </c>
      <c r="R16" s="6">
        <v>45281.416666666664</v>
      </c>
      <c r="S16" t="s">
        <v>43</v>
      </c>
      <c r="T16">
        <v>57.11</v>
      </c>
      <c r="U16">
        <v>0</v>
      </c>
      <c r="V16">
        <v>57.11</v>
      </c>
      <c r="W16">
        <v>2.86</v>
      </c>
      <c r="X16">
        <v>0</v>
      </c>
      <c r="Y16">
        <v>0</v>
      </c>
      <c r="Z16">
        <v>59.97</v>
      </c>
      <c r="AA16" t="s">
        <v>44</v>
      </c>
      <c r="AB16" t="s">
        <v>45</v>
      </c>
      <c r="AC16" t="s">
        <v>46</v>
      </c>
      <c r="AD16" t="s">
        <v>37</v>
      </c>
      <c r="AE16" t="s">
        <v>37</v>
      </c>
      <c r="AF16" t="s">
        <v>131</v>
      </c>
      <c r="AG16" t="s">
        <v>37</v>
      </c>
      <c r="AH16" t="s">
        <v>128</v>
      </c>
      <c r="AI16" t="s">
        <v>37</v>
      </c>
    </row>
    <row r="17" spans="1:35" x14ac:dyDescent="0.25">
      <c r="A17" t="s">
        <v>139</v>
      </c>
      <c r="B17" t="s">
        <v>34</v>
      </c>
      <c r="C17" t="s">
        <v>102</v>
      </c>
      <c r="D17" t="s">
        <v>103</v>
      </c>
      <c r="E17" t="s">
        <v>37</v>
      </c>
      <c r="F17" t="s">
        <v>104</v>
      </c>
      <c r="G17" t="s">
        <v>39</v>
      </c>
      <c r="H17" t="s">
        <v>40</v>
      </c>
      <c r="I17" t="s">
        <v>41</v>
      </c>
      <c r="J17" t="s">
        <v>37</v>
      </c>
      <c r="K17" t="s">
        <v>37</v>
      </c>
      <c r="L17" t="s">
        <v>42</v>
      </c>
      <c r="M17" s="6">
        <v>45282.291666666664</v>
      </c>
      <c r="N17" t="s">
        <v>4268</v>
      </c>
      <c r="O17" s="1">
        <v>45282</v>
      </c>
      <c r="P17" s="1">
        <v>45282.524236111109</v>
      </c>
      <c r="Q17" t="s">
        <v>4268</v>
      </c>
      <c r="R17" s="6">
        <v>45282.416666666664</v>
      </c>
      <c r="S17" t="s">
        <v>43</v>
      </c>
      <c r="T17">
        <v>23.8</v>
      </c>
      <c r="U17">
        <v>0</v>
      </c>
      <c r="V17">
        <v>23.8</v>
      </c>
      <c r="W17">
        <v>1.19</v>
      </c>
      <c r="X17">
        <v>0</v>
      </c>
      <c r="Y17">
        <v>0</v>
      </c>
      <c r="Z17">
        <v>24.99</v>
      </c>
      <c r="AA17" t="s">
        <v>44</v>
      </c>
      <c r="AB17" t="s">
        <v>45</v>
      </c>
      <c r="AC17" t="s">
        <v>46</v>
      </c>
      <c r="AD17" t="s">
        <v>37</v>
      </c>
      <c r="AE17" t="s">
        <v>37</v>
      </c>
      <c r="AF17" t="s">
        <v>140</v>
      </c>
      <c r="AG17" t="s">
        <v>37</v>
      </c>
      <c r="AH17" t="s">
        <v>102</v>
      </c>
      <c r="AI17" t="s">
        <v>37</v>
      </c>
    </row>
    <row r="18" spans="1:35" x14ac:dyDescent="0.25">
      <c r="A18" t="s">
        <v>85</v>
      </c>
      <c r="B18" t="s">
        <v>34</v>
      </c>
      <c r="C18" t="s">
        <v>86</v>
      </c>
      <c r="D18" t="s">
        <v>87</v>
      </c>
      <c r="E18" t="s">
        <v>37</v>
      </c>
      <c r="F18" t="s">
        <v>88</v>
      </c>
      <c r="G18" t="s">
        <v>39</v>
      </c>
      <c r="H18" t="s">
        <v>40</v>
      </c>
      <c r="I18" t="s">
        <v>41</v>
      </c>
      <c r="J18" t="s">
        <v>37</v>
      </c>
      <c r="K18" t="s">
        <v>37</v>
      </c>
      <c r="L18" t="s">
        <v>42</v>
      </c>
      <c r="M18" s="6">
        <v>45283.291666666664</v>
      </c>
      <c r="N18" t="s">
        <v>4265</v>
      </c>
      <c r="O18" s="1">
        <v>45283</v>
      </c>
      <c r="P18" s="1">
        <v>45282.972337962965</v>
      </c>
      <c r="Q18" t="s">
        <v>4265</v>
      </c>
      <c r="R18" s="6">
        <v>45283.416666666664</v>
      </c>
      <c r="S18" t="s">
        <v>43</v>
      </c>
      <c r="T18">
        <v>23.8</v>
      </c>
      <c r="U18">
        <v>0</v>
      </c>
      <c r="V18">
        <v>23.8</v>
      </c>
      <c r="W18">
        <v>1.19</v>
      </c>
      <c r="X18">
        <v>0</v>
      </c>
      <c r="Y18">
        <v>0</v>
      </c>
      <c r="Z18">
        <v>24.99</v>
      </c>
      <c r="AA18" t="s">
        <v>44</v>
      </c>
      <c r="AB18" t="s">
        <v>45</v>
      </c>
      <c r="AC18" t="s">
        <v>46</v>
      </c>
      <c r="AD18" t="s">
        <v>37</v>
      </c>
      <c r="AE18" t="s">
        <v>37</v>
      </c>
      <c r="AF18" t="s">
        <v>89</v>
      </c>
      <c r="AG18" t="s">
        <v>37</v>
      </c>
      <c r="AH18" t="s">
        <v>90</v>
      </c>
      <c r="AI18" t="s">
        <v>37</v>
      </c>
    </row>
    <row r="19" spans="1:35" x14ac:dyDescent="0.25">
      <c r="A19" t="s">
        <v>134</v>
      </c>
      <c r="B19" t="s">
        <v>34</v>
      </c>
      <c r="C19" t="s">
        <v>135</v>
      </c>
      <c r="D19" t="s">
        <v>136</v>
      </c>
      <c r="E19" t="s">
        <v>37</v>
      </c>
      <c r="F19" t="s">
        <v>137</v>
      </c>
      <c r="G19" t="s">
        <v>39</v>
      </c>
      <c r="H19" t="s">
        <v>40</v>
      </c>
      <c r="I19" t="s">
        <v>41</v>
      </c>
      <c r="J19" t="s">
        <v>37</v>
      </c>
      <c r="K19" t="s">
        <v>37</v>
      </c>
      <c r="L19" t="s">
        <v>42</v>
      </c>
      <c r="M19" s="6">
        <v>45283.291666666664</v>
      </c>
      <c r="N19" t="s">
        <v>4265</v>
      </c>
      <c r="O19" s="1">
        <v>45283</v>
      </c>
      <c r="P19" s="1">
        <v>45281.809166666666</v>
      </c>
      <c r="Q19" t="s">
        <v>4265</v>
      </c>
      <c r="R19" s="6">
        <v>45283.416666666664</v>
      </c>
      <c r="S19" t="s">
        <v>43</v>
      </c>
      <c r="T19">
        <v>23.8</v>
      </c>
      <c r="U19">
        <v>0</v>
      </c>
      <c r="V19">
        <v>23.8</v>
      </c>
      <c r="W19">
        <v>1.19</v>
      </c>
      <c r="X19">
        <v>0</v>
      </c>
      <c r="Y19">
        <v>0</v>
      </c>
      <c r="Z19">
        <v>24.99</v>
      </c>
      <c r="AA19" t="s">
        <v>44</v>
      </c>
      <c r="AB19" t="s">
        <v>45</v>
      </c>
      <c r="AC19" t="s">
        <v>46</v>
      </c>
      <c r="AD19" t="s">
        <v>37</v>
      </c>
      <c r="AE19" t="s">
        <v>37</v>
      </c>
      <c r="AF19" t="s">
        <v>138</v>
      </c>
      <c r="AG19" t="s">
        <v>37</v>
      </c>
      <c r="AH19" t="s">
        <v>135</v>
      </c>
      <c r="AI19" t="s">
        <v>37</v>
      </c>
    </row>
    <row r="20" spans="1:35" x14ac:dyDescent="0.25">
      <c r="A20" t="s">
        <v>172</v>
      </c>
      <c r="B20" t="s">
        <v>34</v>
      </c>
      <c r="C20" t="s">
        <v>173</v>
      </c>
      <c r="D20" t="s">
        <v>174</v>
      </c>
      <c r="E20" t="s">
        <v>37</v>
      </c>
      <c r="F20" t="s">
        <v>175</v>
      </c>
      <c r="G20" t="s">
        <v>39</v>
      </c>
      <c r="H20" t="s">
        <v>40</v>
      </c>
      <c r="I20" t="s">
        <v>41</v>
      </c>
      <c r="J20" t="s">
        <v>37</v>
      </c>
      <c r="K20" t="s">
        <v>37</v>
      </c>
      <c r="L20" t="s">
        <v>42</v>
      </c>
      <c r="M20" s="6">
        <v>45283.291666666664</v>
      </c>
      <c r="N20" t="s">
        <v>4265</v>
      </c>
      <c r="O20" s="1">
        <v>45283</v>
      </c>
      <c r="P20" s="1">
        <v>45263.895798611113</v>
      </c>
      <c r="Q20" t="s">
        <v>4265</v>
      </c>
      <c r="R20" s="6">
        <v>45283.416666666664</v>
      </c>
      <c r="S20" t="s">
        <v>43</v>
      </c>
      <c r="T20">
        <v>23.8</v>
      </c>
      <c r="U20">
        <v>0</v>
      </c>
      <c r="V20">
        <v>23.8</v>
      </c>
      <c r="W20">
        <v>1.19</v>
      </c>
      <c r="X20">
        <v>0</v>
      </c>
      <c r="Y20">
        <v>0</v>
      </c>
      <c r="Z20">
        <v>24.99</v>
      </c>
      <c r="AA20" t="s">
        <v>44</v>
      </c>
      <c r="AB20" t="s">
        <v>45</v>
      </c>
      <c r="AC20" t="s">
        <v>46</v>
      </c>
      <c r="AD20" t="s">
        <v>37</v>
      </c>
      <c r="AE20" t="s">
        <v>37</v>
      </c>
      <c r="AF20" t="s">
        <v>176</v>
      </c>
      <c r="AG20" t="s">
        <v>37</v>
      </c>
      <c r="AH20" t="s">
        <v>173</v>
      </c>
      <c r="AI20" t="s">
        <v>37</v>
      </c>
    </row>
    <row r="21" spans="1:35" x14ac:dyDescent="0.25">
      <c r="A21" t="s">
        <v>91</v>
      </c>
      <c r="B21" t="s">
        <v>34</v>
      </c>
      <c r="C21" t="s">
        <v>92</v>
      </c>
      <c r="D21" t="s">
        <v>93</v>
      </c>
      <c r="E21" t="s">
        <v>37</v>
      </c>
      <c r="F21" t="s">
        <v>94</v>
      </c>
      <c r="G21" t="s">
        <v>39</v>
      </c>
      <c r="H21" t="s">
        <v>40</v>
      </c>
      <c r="I21" t="s">
        <v>41</v>
      </c>
      <c r="J21" t="s">
        <v>37</v>
      </c>
      <c r="K21" t="s">
        <v>37</v>
      </c>
      <c r="L21" t="s">
        <v>42</v>
      </c>
      <c r="M21" s="6">
        <v>45283.299988425926</v>
      </c>
      <c r="N21" t="s">
        <v>4265</v>
      </c>
      <c r="O21" s="1">
        <v>45283.008321759262</v>
      </c>
      <c r="P21" s="1">
        <v>45283.300046296295</v>
      </c>
      <c r="Q21" t="s">
        <v>4265</v>
      </c>
      <c r="R21" s="6">
        <v>45283.416666666664</v>
      </c>
      <c r="S21" t="s">
        <v>43</v>
      </c>
      <c r="T21">
        <v>23.8</v>
      </c>
      <c r="U21">
        <v>0</v>
      </c>
      <c r="V21">
        <v>23.8</v>
      </c>
      <c r="W21">
        <v>1.19</v>
      </c>
      <c r="X21">
        <v>0</v>
      </c>
      <c r="Y21">
        <v>0</v>
      </c>
      <c r="Z21">
        <v>24.99</v>
      </c>
      <c r="AA21" t="s">
        <v>44</v>
      </c>
      <c r="AB21" t="s">
        <v>45</v>
      </c>
      <c r="AC21" t="s">
        <v>46</v>
      </c>
      <c r="AD21" t="s">
        <v>37</v>
      </c>
      <c r="AE21" t="s">
        <v>37</v>
      </c>
      <c r="AF21" t="s">
        <v>95</v>
      </c>
      <c r="AG21" t="s">
        <v>37</v>
      </c>
      <c r="AH21" t="s">
        <v>92</v>
      </c>
      <c r="AI21" t="s">
        <v>37</v>
      </c>
    </row>
    <row r="22" spans="1:35" x14ac:dyDescent="0.25">
      <c r="A22" t="s">
        <v>79</v>
      </c>
      <c r="B22" t="s">
        <v>34</v>
      </c>
      <c r="C22" t="s">
        <v>80</v>
      </c>
      <c r="D22" t="s">
        <v>81</v>
      </c>
      <c r="E22" t="s">
        <v>37</v>
      </c>
      <c r="F22" t="s">
        <v>82</v>
      </c>
      <c r="G22" t="s">
        <v>39</v>
      </c>
      <c r="H22" t="s">
        <v>40</v>
      </c>
      <c r="I22" t="s">
        <v>41</v>
      </c>
      <c r="J22" t="s">
        <v>37</v>
      </c>
      <c r="K22" t="s">
        <v>37</v>
      </c>
      <c r="L22" t="s">
        <v>42</v>
      </c>
      <c r="M22" s="6">
        <v>45283.445509259262</v>
      </c>
      <c r="N22" t="s">
        <v>4265</v>
      </c>
      <c r="O22" s="1">
        <v>45283.15384259259</v>
      </c>
      <c r="P22" s="1">
        <v>45283.445567129631</v>
      </c>
      <c r="Q22" t="s">
        <v>4265</v>
      </c>
      <c r="R22" s="6">
        <v>45283.416666666664</v>
      </c>
      <c r="S22" t="s">
        <v>43</v>
      </c>
      <c r="T22">
        <v>23.8</v>
      </c>
      <c r="U22">
        <v>0</v>
      </c>
      <c r="V22">
        <v>23.8</v>
      </c>
      <c r="W22">
        <v>1.19</v>
      </c>
      <c r="X22">
        <v>0</v>
      </c>
      <c r="Y22">
        <v>0</v>
      </c>
      <c r="Z22">
        <v>24.99</v>
      </c>
      <c r="AA22" t="s">
        <v>44</v>
      </c>
      <c r="AB22" t="s">
        <v>45</v>
      </c>
      <c r="AC22" t="s">
        <v>46</v>
      </c>
      <c r="AD22" t="s">
        <v>37</v>
      </c>
      <c r="AE22" t="s">
        <v>37</v>
      </c>
      <c r="AF22" t="s">
        <v>83</v>
      </c>
      <c r="AG22" t="s">
        <v>37</v>
      </c>
      <c r="AH22" t="s">
        <v>84</v>
      </c>
      <c r="AI22" t="s">
        <v>37</v>
      </c>
    </row>
    <row r="23" spans="1:35" x14ac:dyDescent="0.25">
      <c r="A23" t="s">
        <v>59</v>
      </c>
      <c r="B23" t="s">
        <v>34</v>
      </c>
      <c r="C23" t="s">
        <v>60</v>
      </c>
      <c r="D23" t="s">
        <v>61</v>
      </c>
      <c r="E23" t="s">
        <v>37</v>
      </c>
      <c r="F23" t="s">
        <v>62</v>
      </c>
      <c r="G23" t="s">
        <v>39</v>
      </c>
      <c r="H23" t="s">
        <v>40</v>
      </c>
      <c r="I23" t="s">
        <v>41</v>
      </c>
      <c r="J23" t="s">
        <v>37</v>
      </c>
      <c r="K23" t="s">
        <v>37</v>
      </c>
      <c r="L23" t="s">
        <v>42</v>
      </c>
      <c r="M23" s="6">
        <v>45284.291666666664</v>
      </c>
      <c r="N23" t="s">
        <v>4266</v>
      </c>
      <c r="O23" s="1">
        <v>45284</v>
      </c>
      <c r="P23" s="1">
        <v>45276.948194444441</v>
      </c>
      <c r="Q23" t="s">
        <v>4266</v>
      </c>
      <c r="R23" s="6">
        <v>45284.416666666664</v>
      </c>
      <c r="S23" t="s">
        <v>43</v>
      </c>
      <c r="T23">
        <v>23.8</v>
      </c>
      <c r="U23">
        <v>0</v>
      </c>
      <c r="V23">
        <v>23.8</v>
      </c>
      <c r="W23">
        <v>1.19</v>
      </c>
      <c r="X23">
        <v>0</v>
      </c>
      <c r="Y23">
        <v>0</v>
      </c>
      <c r="Z23">
        <v>24.99</v>
      </c>
      <c r="AA23" t="s">
        <v>44</v>
      </c>
      <c r="AB23" t="s">
        <v>45</v>
      </c>
      <c r="AC23" t="s">
        <v>46</v>
      </c>
      <c r="AD23" t="s">
        <v>37</v>
      </c>
      <c r="AE23" t="s">
        <v>37</v>
      </c>
      <c r="AF23" t="s">
        <v>63</v>
      </c>
      <c r="AG23" t="s">
        <v>37</v>
      </c>
      <c r="AH23" t="s">
        <v>60</v>
      </c>
      <c r="AI23" t="s">
        <v>37</v>
      </c>
    </row>
    <row r="24" spans="1:35" x14ac:dyDescent="0.25">
      <c r="A24" t="s">
        <v>96</v>
      </c>
      <c r="B24" t="s">
        <v>34</v>
      </c>
      <c r="C24" t="s">
        <v>97</v>
      </c>
      <c r="D24" t="s">
        <v>98</v>
      </c>
      <c r="E24" t="s">
        <v>37</v>
      </c>
      <c r="F24" t="s">
        <v>99</v>
      </c>
      <c r="G24" t="s">
        <v>39</v>
      </c>
      <c r="H24" t="s">
        <v>40</v>
      </c>
      <c r="I24" t="s">
        <v>41</v>
      </c>
      <c r="J24" t="s">
        <v>37</v>
      </c>
      <c r="K24" t="s">
        <v>37</v>
      </c>
      <c r="L24" t="s">
        <v>42</v>
      </c>
      <c r="M24" s="6">
        <v>45284.291666666664</v>
      </c>
      <c r="N24" t="s">
        <v>4266</v>
      </c>
      <c r="O24" s="1">
        <v>45284</v>
      </c>
      <c r="P24" s="1">
        <v>45284.335925925923</v>
      </c>
      <c r="Q24" t="s">
        <v>4266</v>
      </c>
      <c r="R24" s="6">
        <v>45284.416666666664</v>
      </c>
      <c r="S24" t="s">
        <v>43</v>
      </c>
      <c r="T24">
        <v>23.8</v>
      </c>
      <c r="U24">
        <v>0</v>
      </c>
      <c r="V24">
        <v>23.8</v>
      </c>
      <c r="W24">
        <v>1.19</v>
      </c>
      <c r="X24">
        <v>0</v>
      </c>
      <c r="Y24">
        <v>0</v>
      </c>
      <c r="Z24">
        <v>24.99</v>
      </c>
      <c r="AA24" t="s">
        <v>44</v>
      </c>
      <c r="AB24" t="s">
        <v>45</v>
      </c>
      <c r="AC24" t="s">
        <v>46</v>
      </c>
      <c r="AD24" t="s">
        <v>37</v>
      </c>
      <c r="AE24" t="s">
        <v>37</v>
      </c>
      <c r="AF24" t="s">
        <v>100</v>
      </c>
      <c r="AG24" t="s">
        <v>37</v>
      </c>
      <c r="AH24" t="s">
        <v>97</v>
      </c>
      <c r="AI24" t="s">
        <v>37</v>
      </c>
    </row>
    <row r="25" spans="1:35" x14ac:dyDescent="0.25">
      <c r="A25" t="s">
        <v>101</v>
      </c>
      <c r="B25" t="s">
        <v>34</v>
      </c>
      <c r="C25" t="s">
        <v>102</v>
      </c>
      <c r="D25" t="s">
        <v>103</v>
      </c>
      <c r="E25" t="s">
        <v>37</v>
      </c>
      <c r="F25" t="s">
        <v>104</v>
      </c>
      <c r="G25" t="s">
        <v>39</v>
      </c>
      <c r="H25" t="s">
        <v>40</v>
      </c>
      <c r="I25" t="s">
        <v>41</v>
      </c>
      <c r="J25" t="s">
        <v>37</v>
      </c>
      <c r="K25" t="s">
        <v>37</v>
      </c>
      <c r="L25" t="s">
        <v>42</v>
      </c>
      <c r="M25" s="6">
        <v>45284.291666666664</v>
      </c>
      <c r="N25" t="s">
        <v>4266</v>
      </c>
      <c r="O25" s="1">
        <v>45284</v>
      </c>
      <c r="P25" s="1">
        <v>45284.400983796295</v>
      </c>
      <c r="Q25" t="s">
        <v>4266</v>
      </c>
      <c r="R25" s="6">
        <v>45284.416666666664</v>
      </c>
      <c r="S25" t="s">
        <v>43</v>
      </c>
      <c r="T25">
        <v>23.8</v>
      </c>
      <c r="U25">
        <v>0</v>
      </c>
      <c r="V25">
        <v>23.8</v>
      </c>
      <c r="W25">
        <v>1.19</v>
      </c>
      <c r="X25">
        <v>0</v>
      </c>
      <c r="Y25">
        <v>0</v>
      </c>
      <c r="Z25">
        <v>24.99</v>
      </c>
      <c r="AA25" t="s">
        <v>44</v>
      </c>
      <c r="AB25" t="s">
        <v>45</v>
      </c>
      <c r="AC25" t="s">
        <v>46</v>
      </c>
      <c r="AD25" t="s">
        <v>37</v>
      </c>
      <c r="AE25" t="s">
        <v>37</v>
      </c>
      <c r="AF25" t="s">
        <v>105</v>
      </c>
      <c r="AG25" t="s">
        <v>37</v>
      </c>
      <c r="AH25" t="s">
        <v>102</v>
      </c>
      <c r="AI25" t="s">
        <v>37</v>
      </c>
    </row>
    <row r="26" spans="1:35" x14ac:dyDescent="0.25">
      <c r="A26" t="s">
        <v>111</v>
      </c>
      <c r="B26" t="s">
        <v>34</v>
      </c>
      <c r="C26" t="s">
        <v>112</v>
      </c>
      <c r="D26" t="s">
        <v>113</v>
      </c>
      <c r="E26" t="s">
        <v>37</v>
      </c>
      <c r="F26" t="s">
        <v>114</v>
      </c>
      <c r="G26" t="s">
        <v>39</v>
      </c>
      <c r="H26" t="s">
        <v>40</v>
      </c>
      <c r="I26" t="s">
        <v>41</v>
      </c>
      <c r="J26" t="s">
        <v>37</v>
      </c>
      <c r="K26" t="s">
        <v>37</v>
      </c>
      <c r="L26" t="s">
        <v>42</v>
      </c>
      <c r="M26" s="6">
        <v>45285.291666666664</v>
      </c>
      <c r="N26" t="s">
        <v>4262</v>
      </c>
      <c r="O26" s="1">
        <v>45285</v>
      </c>
      <c r="P26" s="1">
        <v>45284.459247685183</v>
      </c>
      <c r="Q26" t="s">
        <v>4262</v>
      </c>
      <c r="R26" s="6">
        <v>45285.416666666664</v>
      </c>
      <c r="S26" t="s">
        <v>43</v>
      </c>
      <c r="T26">
        <v>23.8</v>
      </c>
      <c r="U26">
        <v>0</v>
      </c>
      <c r="V26">
        <v>0</v>
      </c>
      <c r="W26">
        <v>1.19</v>
      </c>
      <c r="X26">
        <v>0</v>
      </c>
      <c r="Y26">
        <v>0</v>
      </c>
      <c r="Z26">
        <v>24.99</v>
      </c>
      <c r="AA26" t="s">
        <v>44</v>
      </c>
      <c r="AB26" t="s">
        <v>115</v>
      </c>
      <c r="AC26" t="s">
        <v>116</v>
      </c>
      <c r="AD26" t="s">
        <v>37</v>
      </c>
      <c r="AE26" t="s">
        <v>37</v>
      </c>
      <c r="AF26" t="s">
        <v>37</v>
      </c>
      <c r="AG26" t="s">
        <v>37</v>
      </c>
      <c r="AH26" t="s">
        <v>112</v>
      </c>
      <c r="AI26" t="s">
        <v>37</v>
      </c>
    </row>
    <row r="27" spans="1:35" x14ac:dyDescent="0.25">
      <c r="A27" t="s">
        <v>195</v>
      </c>
      <c r="B27" t="s">
        <v>34</v>
      </c>
      <c r="C27" t="s">
        <v>60</v>
      </c>
      <c r="D27" t="s">
        <v>61</v>
      </c>
      <c r="E27" t="s">
        <v>37</v>
      </c>
      <c r="F27" t="s">
        <v>62</v>
      </c>
      <c r="G27" t="s">
        <v>39</v>
      </c>
      <c r="H27" t="s">
        <v>40</v>
      </c>
      <c r="I27" t="s">
        <v>41</v>
      </c>
      <c r="J27" t="s">
        <v>37</v>
      </c>
      <c r="K27" t="s">
        <v>37</v>
      </c>
      <c r="L27" t="s">
        <v>42</v>
      </c>
      <c r="M27" s="6">
        <v>45285.291666666664</v>
      </c>
      <c r="N27" t="s">
        <v>4262</v>
      </c>
      <c r="O27" s="1">
        <v>45285</v>
      </c>
      <c r="P27" s="1">
        <v>45276.949930555558</v>
      </c>
      <c r="Q27" t="s">
        <v>4262</v>
      </c>
      <c r="R27" s="6">
        <v>45285.416666666664</v>
      </c>
      <c r="S27" t="s">
        <v>43</v>
      </c>
      <c r="T27">
        <v>19.04</v>
      </c>
      <c r="U27">
        <v>0</v>
      </c>
      <c r="V27">
        <v>19.04</v>
      </c>
      <c r="W27">
        <v>0.95</v>
      </c>
      <c r="X27">
        <v>0</v>
      </c>
      <c r="Y27">
        <v>0</v>
      </c>
      <c r="Z27">
        <v>19.989999999999998</v>
      </c>
      <c r="AA27" t="s">
        <v>44</v>
      </c>
      <c r="AB27" t="s">
        <v>45</v>
      </c>
      <c r="AC27" t="s">
        <v>46</v>
      </c>
      <c r="AD27" t="s">
        <v>37</v>
      </c>
      <c r="AE27" t="s">
        <v>37</v>
      </c>
      <c r="AF27" t="s">
        <v>196</v>
      </c>
      <c r="AG27" t="s">
        <v>37</v>
      </c>
      <c r="AH27" t="s">
        <v>60</v>
      </c>
      <c r="AI27" t="s">
        <v>37</v>
      </c>
    </row>
    <row r="28" spans="1:35" x14ac:dyDescent="0.25">
      <c r="A28" t="s">
        <v>197</v>
      </c>
      <c r="B28" t="s">
        <v>34</v>
      </c>
      <c r="C28" t="s">
        <v>198</v>
      </c>
      <c r="D28" t="s">
        <v>199</v>
      </c>
      <c r="E28" t="s">
        <v>37</v>
      </c>
      <c r="F28" t="s">
        <v>200</v>
      </c>
      <c r="G28" t="s">
        <v>39</v>
      </c>
      <c r="H28" t="s">
        <v>40</v>
      </c>
      <c r="I28" t="s">
        <v>41</v>
      </c>
      <c r="J28" t="s">
        <v>37</v>
      </c>
      <c r="K28" t="s">
        <v>37</v>
      </c>
      <c r="L28" t="s">
        <v>42</v>
      </c>
      <c r="M28" s="6">
        <v>45285.291666666664</v>
      </c>
      <c r="N28" t="s">
        <v>4262</v>
      </c>
      <c r="O28" s="1">
        <v>45285</v>
      </c>
      <c r="P28" s="1">
        <v>45283.827118055553</v>
      </c>
      <c r="Q28" t="s">
        <v>4262</v>
      </c>
      <c r="R28" s="6">
        <v>45285.416666666664</v>
      </c>
      <c r="S28" t="s">
        <v>43</v>
      </c>
      <c r="T28">
        <v>23.8</v>
      </c>
      <c r="U28">
        <v>0</v>
      </c>
      <c r="V28">
        <v>23.8</v>
      </c>
      <c r="W28">
        <v>1.19</v>
      </c>
      <c r="X28">
        <v>0</v>
      </c>
      <c r="Y28">
        <v>0</v>
      </c>
      <c r="Z28">
        <v>24.99</v>
      </c>
      <c r="AA28" t="s">
        <v>44</v>
      </c>
      <c r="AB28" t="s">
        <v>45</v>
      </c>
      <c r="AC28" t="s">
        <v>46</v>
      </c>
      <c r="AD28" t="s">
        <v>37</v>
      </c>
      <c r="AE28" t="s">
        <v>37</v>
      </c>
      <c r="AF28" t="s">
        <v>201</v>
      </c>
      <c r="AG28" t="s">
        <v>37</v>
      </c>
      <c r="AH28" t="s">
        <v>198</v>
      </c>
      <c r="AI28" t="s">
        <v>37</v>
      </c>
    </row>
    <row r="29" spans="1:35" x14ac:dyDescent="0.25">
      <c r="A29" t="s">
        <v>202</v>
      </c>
      <c r="B29" t="s">
        <v>34</v>
      </c>
      <c r="C29" t="s">
        <v>112</v>
      </c>
      <c r="D29" t="s">
        <v>113</v>
      </c>
      <c r="E29" t="s">
        <v>37</v>
      </c>
      <c r="F29" t="s">
        <v>114</v>
      </c>
      <c r="G29" t="s">
        <v>39</v>
      </c>
      <c r="H29" t="s">
        <v>40</v>
      </c>
      <c r="I29" t="s">
        <v>41</v>
      </c>
      <c r="J29" t="s">
        <v>37</v>
      </c>
      <c r="K29" t="s">
        <v>37</v>
      </c>
      <c r="L29" t="s">
        <v>42</v>
      </c>
      <c r="M29" s="6">
        <v>45285.291666666664</v>
      </c>
      <c r="N29" t="s">
        <v>4262</v>
      </c>
      <c r="O29" s="1">
        <v>45285</v>
      </c>
      <c r="P29" s="1">
        <v>45284.460104166668</v>
      </c>
      <c r="Q29" t="s">
        <v>4262</v>
      </c>
      <c r="R29" s="6">
        <v>45285.416666666664</v>
      </c>
      <c r="S29" t="s">
        <v>43</v>
      </c>
      <c r="T29">
        <v>23.8</v>
      </c>
      <c r="U29">
        <v>0</v>
      </c>
      <c r="V29">
        <v>23.8</v>
      </c>
      <c r="W29">
        <v>1.19</v>
      </c>
      <c r="X29">
        <v>0</v>
      </c>
      <c r="Y29">
        <v>0</v>
      </c>
      <c r="Z29">
        <v>24.99</v>
      </c>
      <c r="AA29" t="s">
        <v>44</v>
      </c>
      <c r="AB29" t="s">
        <v>45</v>
      </c>
      <c r="AC29" t="s">
        <v>46</v>
      </c>
      <c r="AD29" t="s">
        <v>37</v>
      </c>
      <c r="AE29" t="s">
        <v>37</v>
      </c>
      <c r="AF29" t="s">
        <v>203</v>
      </c>
      <c r="AG29" t="s">
        <v>37</v>
      </c>
      <c r="AH29" t="s">
        <v>112</v>
      </c>
      <c r="AI29" t="s">
        <v>37</v>
      </c>
    </row>
    <row r="30" spans="1:35" x14ac:dyDescent="0.25">
      <c r="A30" t="s">
        <v>204</v>
      </c>
      <c r="B30" t="s">
        <v>34</v>
      </c>
      <c r="C30" t="s">
        <v>147</v>
      </c>
      <c r="D30" t="s">
        <v>148</v>
      </c>
      <c r="E30" t="s">
        <v>37</v>
      </c>
      <c r="F30" t="s">
        <v>149</v>
      </c>
      <c r="G30" t="s">
        <v>39</v>
      </c>
      <c r="H30" t="s">
        <v>40</v>
      </c>
      <c r="I30" t="s">
        <v>41</v>
      </c>
      <c r="J30" t="s">
        <v>37</v>
      </c>
      <c r="K30" t="s">
        <v>37</v>
      </c>
      <c r="L30" t="s">
        <v>42</v>
      </c>
      <c r="M30" s="6">
        <v>45285.291666666664</v>
      </c>
      <c r="N30" t="s">
        <v>4262</v>
      </c>
      <c r="O30" s="1">
        <v>45285</v>
      </c>
      <c r="P30" s="1">
        <v>45279.672974537039</v>
      </c>
      <c r="Q30" t="s">
        <v>4262</v>
      </c>
      <c r="R30" s="6">
        <v>45285.416666666664</v>
      </c>
      <c r="S30" t="s">
        <v>43</v>
      </c>
      <c r="T30">
        <v>38.08</v>
      </c>
      <c r="U30">
        <v>0</v>
      </c>
      <c r="V30">
        <v>38.08</v>
      </c>
      <c r="W30">
        <v>1.9</v>
      </c>
      <c r="X30">
        <v>0</v>
      </c>
      <c r="Y30">
        <v>0</v>
      </c>
      <c r="Z30">
        <v>39.979999999999997</v>
      </c>
      <c r="AA30" t="s">
        <v>44</v>
      </c>
      <c r="AB30" t="s">
        <v>45</v>
      </c>
      <c r="AC30" t="s">
        <v>46</v>
      </c>
      <c r="AD30" t="s">
        <v>37</v>
      </c>
      <c r="AE30" t="s">
        <v>37</v>
      </c>
      <c r="AF30" t="s">
        <v>150</v>
      </c>
      <c r="AG30" t="s">
        <v>37</v>
      </c>
      <c r="AH30" t="s">
        <v>147</v>
      </c>
      <c r="AI30" t="s">
        <v>37</v>
      </c>
    </row>
    <row r="31" spans="1:35" x14ac:dyDescent="0.25">
      <c r="A31" t="s">
        <v>179</v>
      </c>
      <c r="B31" t="s">
        <v>34</v>
      </c>
      <c r="C31" t="s">
        <v>180</v>
      </c>
      <c r="D31" t="s">
        <v>181</v>
      </c>
      <c r="E31" t="s">
        <v>37</v>
      </c>
      <c r="F31" t="s">
        <v>182</v>
      </c>
      <c r="G31" t="s">
        <v>39</v>
      </c>
      <c r="H31" t="s">
        <v>40</v>
      </c>
      <c r="I31" t="s">
        <v>41</v>
      </c>
      <c r="J31" t="s">
        <v>37</v>
      </c>
      <c r="K31" t="s">
        <v>37</v>
      </c>
      <c r="L31" t="s">
        <v>42</v>
      </c>
      <c r="M31" s="6">
        <v>45285.415659722225</v>
      </c>
      <c r="N31" t="s">
        <v>4262</v>
      </c>
      <c r="O31" s="1">
        <v>45285.123993055553</v>
      </c>
      <c r="P31" s="1">
        <v>45285.415729166663</v>
      </c>
      <c r="Q31" t="s">
        <v>4262</v>
      </c>
      <c r="R31" s="6">
        <v>45285.416666666664</v>
      </c>
      <c r="S31" t="s">
        <v>43</v>
      </c>
      <c r="T31">
        <v>23.8</v>
      </c>
      <c r="U31">
        <v>0</v>
      </c>
      <c r="V31">
        <v>23.8</v>
      </c>
      <c r="W31">
        <v>1.19</v>
      </c>
      <c r="X31">
        <v>0</v>
      </c>
      <c r="Y31">
        <v>0</v>
      </c>
      <c r="Z31">
        <v>24.99</v>
      </c>
      <c r="AA31" t="s">
        <v>44</v>
      </c>
      <c r="AB31" t="s">
        <v>45</v>
      </c>
      <c r="AC31" t="s">
        <v>46</v>
      </c>
      <c r="AD31" t="s">
        <v>37</v>
      </c>
      <c r="AE31" t="s">
        <v>37</v>
      </c>
      <c r="AF31" t="s">
        <v>183</v>
      </c>
      <c r="AG31" t="s">
        <v>37</v>
      </c>
      <c r="AH31" t="s">
        <v>180</v>
      </c>
      <c r="AI31" t="s">
        <v>37</v>
      </c>
    </row>
    <row r="32" spans="1:35" x14ac:dyDescent="0.25">
      <c r="A32" t="s">
        <v>184</v>
      </c>
      <c r="B32" t="s">
        <v>34</v>
      </c>
      <c r="C32" t="s">
        <v>185</v>
      </c>
      <c r="D32" t="s">
        <v>186</v>
      </c>
      <c r="E32" t="s">
        <v>37</v>
      </c>
      <c r="F32" t="s">
        <v>187</v>
      </c>
      <c r="G32" t="s">
        <v>39</v>
      </c>
      <c r="H32" t="s">
        <v>40</v>
      </c>
      <c r="I32" t="s">
        <v>41</v>
      </c>
      <c r="J32" t="s">
        <v>37</v>
      </c>
      <c r="K32" t="s">
        <v>37</v>
      </c>
      <c r="L32" t="s">
        <v>42</v>
      </c>
      <c r="M32" s="6">
        <v>45286.291666666664</v>
      </c>
      <c r="N32" t="s">
        <v>4267</v>
      </c>
      <c r="O32" s="1">
        <v>45286</v>
      </c>
      <c r="P32" s="1">
        <v>45285.62190972222</v>
      </c>
      <c r="Q32" t="s">
        <v>4267</v>
      </c>
      <c r="R32" s="6">
        <v>45286.416666666664</v>
      </c>
      <c r="S32" t="s">
        <v>43</v>
      </c>
      <c r="T32">
        <v>23.8</v>
      </c>
      <c r="U32">
        <v>0</v>
      </c>
      <c r="V32">
        <v>23.8</v>
      </c>
      <c r="W32">
        <v>1.19</v>
      </c>
      <c r="X32">
        <v>0</v>
      </c>
      <c r="Y32">
        <v>0</v>
      </c>
      <c r="Z32">
        <v>24.99</v>
      </c>
      <c r="AA32" t="s">
        <v>44</v>
      </c>
      <c r="AB32" t="s">
        <v>45</v>
      </c>
      <c r="AC32" t="s">
        <v>46</v>
      </c>
      <c r="AD32" t="s">
        <v>37</v>
      </c>
      <c r="AE32" t="s">
        <v>37</v>
      </c>
      <c r="AF32" t="s">
        <v>188</v>
      </c>
      <c r="AG32" t="s">
        <v>37</v>
      </c>
      <c r="AH32" t="s">
        <v>189</v>
      </c>
      <c r="AI32" t="s">
        <v>37</v>
      </c>
    </row>
    <row r="33" spans="1:35" x14ac:dyDescent="0.25">
      <c r="A33" t="s">
        <v>205</v>
      </c>
      <c r="B33" t="s">
        <v>34</v>
      </c>
      <c r="C33" t="s">
        <v>206</v>
      </c>
      <c r="D33" t="s">
        <v>207</v>
      </c>
      <c r="E33" t="s">
        <v>37</v>
      </c>
      <c r="F33" t="s">
        <v>208</v>
      </c>
      <c r="G33" t="s">
        <v>39</v>
      </c>
      <c r="H33" t="s">
        <v>40</v>
      </c>
      <c r="I33" t="s">
        <v>41</v>
      </c>
      <c r="J33" t="s">
        <v>37</v>
      </c>
      <c r="K33" t="s">
        <v>37</v>
      </c>
      <c r="L33" t="s">
        <v>42</v>
      </c>
      <c r="M33" s="6">
        <v>45286.291666666664</v>
      </c>
      <c r="N33" t="s">
        <v>4267</v>
      </c>
      <c r="O33" s="1">
        <v>45286</v>
      </c>
      <c r="P33" s="1">
        <v>45285.892013888886</v>
      </c>
      <c r="Q33" t="s">
        <v>4267</v>
      </c>
      <c r="R33" s="6">
        <v>45286.416666666664</v>
      </c>
      <c r="S33" t="s">
        <v>43</v>
      </c>
      <c r="T33">
        <v>47.6</v>
      </c>
      <c r="U33">
        <v>0</v>
      </c>
      <c r="V33">
        <v>0</v>
      </c>
      <c r="W33">
        <v>2.38</v>
      </c>
      <c r="X33">
        <v>0</v>
      </c>
      <c r="Y33">
        <v>0</v>
      </c>
      <c r="Z33">
        <v>49.98</v>
      </c>
      <c r="AA33" t="s">
        <v>44</v>
      </c>
      <c r="AB33" t="s">
        <v>115</v>
      </c>
      <c r="AC33" t="s">
        <v>116</v>
      </c>
      <c r="AD33" t="s">
        <v>37</v>
      </c>
      <c r="AE33" t="s">
        <v>37</v>
      </c>
      <c r="AF33" t="s">
        <v>37</v>
      </c>
      <c r="AG33" t="s">
        <v>37</v>
      </c>
      <c r="AH33" t="s">
        <v>206</v>
      </c>
      <c r="AI33" t="s">
        <v>37</v>
      </c>
    </row>
    <row r="34" spans="1:35" x14ac:dyDescent="0.25">
      <c r="A34" t="s">
        <v>210</v>
      </c>
      <c r="B34" t="s">
        <v>34</v>
      </c>
      <c r="C34" t="s">
        <v>206</v>
      </c>
      <c r="D34" t="s">
        <v>207</v>
      </c>
      <c r="E34" t="s">
        <v>37</v>
      </c>
      <c r="F34" t="s">
        <v>208</v>
      </c>
      <c r="G34" t="s">
        <v>39</v>
      </c>
      <c r="H34" t="s">
        <v>40</v>
      </c>
      <c r="I34" t="s">
        <v>41</v>
      </c>
      <c r="J34" t="s">
        <v>37</v>
      </c>
      <c r="K34" t="s">
        <v>37</v>
      </c>
      <c r="L34" t="s">
        <v>42</v>
      </c>
      <c r="M34" s="6">
        <v>45286.291666666664</v>
      </c>
      <c r="N34" t="s">
        <v>4267</v>
      </c>
      <c r="O34" s="1">
        <v>45286</v>
      </c>
      <c r="P34" s="1">
        <v>45285.894050925926</v>
      </c>
      <c r="Q34" t="s">
        <v>4267</v>
      </c>
      <c r="R34" s="6">
        <v>45286.416666666664</v>
      </c>
      <c r="S34" t="s">
        <v>43</v>
      </c>
      <c r="T34">
        <v>47.6</v>
      </c>
      <c r="U34">
        <v>0</v>
      </c>
      <c r="V34">
        <v>0</v>
      </c>
      <c r="W34">
        <v>2.38</v>
      </c>
      <c r="X34">
        <v>0</v>
      </c>
      <c r="Y34">
        <v>0</v>
      </c>
      <c r="Z34">
        <v>49.98</v>
      </c>
      <c r="AA34" t="s">
        <v>44</v>
      </c>
      <c r="AB34" t="s">
        <v>115</v>
      </c>
      <c r="AC34" t="s">
        <v>116</v>
      </c>
      <c r="AD34" t="s">
        <v>37</v>
      </c>
      <c r="AE34" t="s">
        <v>37</v>
      </c>
      <c r="AF34" t="s">
        <v>37</v>
      </c>
      <c r="AG34" t="s">
        <v>37</v>
      </c>
      <c r="AH34" t="s">
        <v>206</v>
      </c>
      <c r="AI34" t="s">
        <v>37</v>
      </c>
    </row>
    <row r="35" spans="1:35" x14ac:dyDescent="0.25">
      <c r="A35" t="s">
        <v>212</v>
      </c>
      <c r="B35" t="s">
        <v>34</v>
      </c>
      <c r="C35" t="s">
        <v>206</v>
      </c>
      <c r="D35" t="s">
        <v>207</v>
      </c>
      <c r="E35" t="s">
        <v>37</v>
      </c>
      <c r="F35" t="s">
        <v>208</v>
      </c>
      <c r="G35" t="s">
        <v>39</v>
      </c>
      <c r="H35" t="s">
        <v>40</v>
      </c>
      <c r="I35" t="s">
        <v>41</v>
      </c>
      <c r="J35" t="s">
        <v>37</v>
      </c>
      <c r="K35" t="s">
        <v>37</v>
      </c>
      <c r="L35" t="s">
        <v>42</v>
      </c>
      <c r="M35" s="6">
        <v>45286.291666666664</v>
      </c>
      <c r="N35" t="s">
        <v>4267</v>
      </c>
      <c r="O35" s="1">
        <v>45286</v>
      </c>
      <c r="P35" s="1">
        <v>45285.896921296298</v>
      </c>
      <c r="Q35" t="s">
        <v>4267</v>
      </c>
      <c r="R35" s="6">
        <v>45286.416666666664</v>
      </c>
      <c r="S35" t="s">
        <v>43</v>
      </c>
      <c r="T35">
        <v>47.6</v>
      </c>
      <c r="U35">
        <v>0</v>
      </c>
      <c r="V35">
        <v>0</v>
      </c>
      <c r="W35">
        <v>2.38</v>
      </c>
      <c r="X35">
        <v>0</v>
      </c>
      <c r="Y35">
        <v>0</v>
      </c>
      <c r="Z35">
        <v>49.98</v>
      </c>
      <c r="AA35" t="s">
        <v>44</v>
      </c>
      <c r="AB35" t="s">
        <v>115</v>
      </c>
      <c r="AC35" t="s">
        <v>116</v>
      </c>
      <c r="AD35" t="s">
        <v>37</v>
      </c>
      <c r="AE35" t="s">
        <v>37</v>
      </c>
      <c r="AF35" t="s">
        <v>37</v>
      </c>
      <c r="AG35" t="s">
        <v>37</v>
      </c>
      <c r="AH35" t="s">
        <v>206</v>
      </c>
      <c r="AI35" t="s">
        <v>37</v>
      </c>
    </row>
    <row r="36" spans="1:35" x14ac:dyDescent="0.25">
      <c r="A36" t="s">
        <v>244</v>
      </c>
      <c r="B36" t="s">
        <v>34</v>
      </c>
      <c r="C36" t="s">
        <v>245</v>
      </c>
      <c r="D36" t="s">
        <v>246</v>
      </c>
      <c r="E36" t="s">
        <v>37</v>
      </c>
      <c r="F36" t="s">
        <v>247</v>
      </c>
      <c r="G36" t="s">
        <v>39</v>
      </c>
      <c r="H36" t="s">
        <v>40</v>
      </c>
      <c r="I36" t="s">
        <v>41</v>
      </c>
      <c r="J36" t="s">
        <v>37</v>
      </c>
      <c r="K36" t="s">
        <v>37</v>
      </c>
      <c r="L36" t="s">
        <v>42</v>
      </c>
      <c r="M36" s="6">
        <v>45286.291666666664</v>
      </c>
      <c r="N36" t="s">
        <v>4267</v>
      </c>
      <c r="O36" s="1">
        <v>45286</v>
      </c>
      <c r="P36" s="1">
        <v>45271.734826388885</v>
      </c>
      <c r="Q36" t="s">
        <v>4267</v>
      </c>
      <c r="R36" s="6">
        <v>45286.416666666664</v>
      </c>
      <c r="S36" t="s">
        <v>43</v>
      </c>
      <c r="T36">
        <v>19.04</v>
      </c>
      <c r="U36">
        <v>0</v>
      </c>
      <c r="V36">
        <v>19.04</v>
      </c>
      <c r="W36">
        <v>0.95</v>
      </c>
      <c r="X36">
        <v>0</v>
      </c>
      <c r="Y36">
        <v>0</v>
      </c>
      <c r="Z36">
        <v>19.989999999999998</v>
      </c>
      <c r="AA36" t="s">
        <v>44</v>
      </c>
      <c r="AB36" t="s">
        <v>45</v>
      </c>
      <c r="AC36" t="s">
        <v>46</v>
      </c>
      <c r="AD36" t="s">
        <v>37</v>
      </c>
      <c r="AE36" t="s">
        <v>37</v>
      </c>
      <c r="AF36" t="s">
        <v>248</v>
      </c>
      <c r="AG36" t="s">
        <v>37</v>
      </c>
      <c r="AH36" t="s">
        <v>245</v>
      </c>
      <c r="AI36" t="s">
        <v>37</v>
      </c>
    </row>
    <row r="37" spans="1:35" x14ac:dyDescent="0.25">
      <c r="A37" t="s">
        <v>48</v>
      </c>
      <c r="B37" t="s">
        <v>34</v>
      </c>
      <c r="C37" t="s">
        <v>49</v>
      </c>
      <c r="D37" t="s">
        <v>50</v>
      </c>
      <c r="E37" t="s">
        <v>37</v>
      </c>
      <c r="F37" t="s">
        <v>51</v>
      </c>
      <c r="G37" t="s">
        <v>39</v>
      </c>
      <c r="H37" t="s">
        <v>40</v>
      </c>
      <c r="I37" t="s">
        <v>41</v>
      </c>
      <c r="J37" t="s">
        <v>37</v>
      </c>
      <c r="K37" t="s">
        <v>37</v>
      </c>
      <c r="L37" t="s">
        <v>42</v>
      </c>
      <c r="M37" s="6">
        <v>45287.291666666664</v>
      </c>
      <c r="N37" t="s">
        <v>4263</v>
      </c>
      <c r="O37" s="1">
        <v>45287</v>
      </c>
      <c r="P37" s="1">
        <v>45276.342766203707</v>
      </c>
      <c r="Q37" t="s">
        <v>4263</v>
      </c>
      <c r="R37" s="6">
        <v>45287.416666666664</v>
      </c>
      <c r="S37" t="s">
        <v>43</v>
      </c>
      <c r="T37">
        <v>38.08</v>
      </c>
      <c r="U37">
        <v>0</v>
      </c>
      <c r="V37">
        <v>38.08</v>
      </c>
      <c r="W37">
        <v>1.9</v>
      </c>
      <c r="X37">
        <v>0</v>
      </c>
      <c r="Y37">
        <v>0</v>
      </c>
      <c r="Z37">
        <v>39.979999999999997</v>
      </c>
      <c r="AA37" t="s">
        <v>44</v>
      </c>
      <c r="AB37" t="s">
        <v>45</v>
      </c>
      <c r="AC37" t="s">
        <v>46</v>
      </c>
      <c r="AD37" t="s">
        <v>37</v>
      </c>
      <c r="AE37" t="s">
        <v>37</v>
      </c>
      <c r="AF37" t="s">
        <v>52</v>
      </c>
      <c r="AG37" t="s">
        <v>37</v>
      </c>
      <c r="AH37" t="s">
        <v>49</v>
      </c>
      <c r="AI37" t="s">
        <v>37</v>
      </c>
    </row>
    <row r="38" spans="1:35" x14ac:dyDescent="0.25">
      <c r="A38" t="s">
        <v>106</v>
      </c>
      <c r="B38" t="s">
        <v>34</v>
      </c>
      <c r="C38" t="s">
        <v>107</v>
      </c>
      <c r="D38" t="s">
        <v>108</v>
      </c>
      <c r="E38" t="s">
        <v>37</v>
      </c>
      <c r="F38" t="s">
        <v>109</v>
      </c>
      <c r="G38" t="s">
        <v>39</v>
      </c>
      <c r="H38" t="s">
        <v>40</v>
      </c>
      <c r="I38" t="s">
        <v>41</v>
      </c>
      <c r="J38" t="s">
        <v>37</v>
      </c>
      <c r="K38" t="s">
        <v>37</v>
      </c>
      <c r="L38" t="s">
        <v>42</v>
      </c>
      <c r="M38" s="6">
        <v>45287.291666666664</v>
      </c>
      <c r="N38" t="s">
        <v>4263</v>
      </c>
      <c r="O38" s="1">
        <v>45287</v>
      </c>
      <c r="P38" s="1">
        <v>45284.410046296296</v>
      </c>
      <c r="Q38" t="s">
        <v>4263</v>
      </c>
      <c r="R38" s="6">
        <v>45287.416666666664</v>
      </c>
      <c r="S38" t="s">
        <v>43</v>
      </c>
      <c r="T38">
        <v>23.8</v>
      </c>
      <c r="U38">
        <v>0</v>
      </c>
      <c r="V38">
        <v>23.8</v>
      </c>
      <c r="W38">
        <v>1.19</v>
      </c>
      <c r="X38">
        <v>0</v>
      </c>
      <c r="Y38">
        <v>0</v>
      </c>
      <c r="Z38">
        <v>24.99</v>
      </c>
      <c r="AA38" t="s">
        <v>44</v>
      </c>
      <c r="AB38" t="s">
        <v>45</v>
      </c>
      <c r="AC38" t="s">
        <v>46</v>
      </c>
      <c r="AD38" t="s">
        <v>37</v>
      </c>
      <c r="AE38" t="s">
        <v>37</v>
      </c>
      <c r="AF38" t="s">
        <v>110</v>
      </c>
      <c r="AG38" t="s">
        <v>37</v>
      </c>
      <c r="AH38" t="s">
        <v>107</v>
      </c>
      <c r="AI38" t="s">
        <v>37</v>
      </c>
    </row>
    <row r="39" spans="1:35" x14ac:dyDescent="0.25">
      <c r="A39" t="s">
        <v>146</v>
      </c>
      <c r="B39" t="s">
        <v>34</v>
      </c>
      <c r="C39" t="s">
        <v>147</v>
      </c>
      <c r="D39" t="s">
        <v>148</v>
      </c>
      <c r="E39" t="s">
        <v>37</v>
      </c>
      <c r="F39" t="s">
        <v>149</v>
      </c>
      <c r="G39" t="s">
        <v>39</v>
      </c>
      <c r="H39" t="s">
        <v>40</v>
      </c>
      <c r="I39" t="s">
        <v>41</v>
      </c>
      <c r="J39" t="s">
        <v>37</v>
      </c>
      <c r="K39" t="s">
        <v>37</v>
      </c>
      <c r="L39" t="s">
        <v>42</v>
      </c>
      <c r="M39" s="6">
        <v>45287.291666666664</v>
      </c>
      <c r="N39" t="s">
        <v>4263</v>
      </c>
      <c r="O39" s="1">
        <v>45287</v>
      </c>
      <c r="P39" s="1">
        <v>45279.672974537039</v>
      </c>
      <c r="Q39" t="s">
        <v>4263</v>
      </c>
      <c r="R39" s="6">
        <v>45287.416666666664</v>
      </c>
      <c r="S39" t="s">
        <v>43</v>
      </c>
      <c r="T39">
        <v>38.08</v>
      </c>
      <c r="U39">
        <v>0</v>
      </c>
      <c r="V39">
        <v>38.08</v>
      </c>
      <c r="W39">
        <v>1.9</v>
      </c>
      <c r="X39">
        <v>0</v>
      </c>
      <c r="Y39">
        <v>0</v>
      </c>
      <c r="Z39">
        <v>39.979999999999997</v>
      </c>
      <c r="AA39" t="s">
        <v>44</v>
      </c>
      <c r="AB39" t="s">
        <v>45</v>
      </c>
      <c r="AC39" t="s">
        <v>46</v>
      </c>
      <c r="AD39" t="s">
        <v>37</v>
      </c>
      <c r="AE39" t="s">
        <v>37</v>
      </c>
      <c r="AF39" t="s">
        <v>150</v>
      </c>
      <c r="AG39" t="s">
        <v>37</v>
      </c>
      <c r="AH39" t="s">
        <v>147</v>
      </c>
      <c r="AI39" t="s">
        <v>37</v>
      </c>
    </row>
    <row r="40" spans="1:35" x14ac:dyDescent="0.25">
      <c r="A40" t="s">
        <v>190</v>
      </c>
      <c r="B40" t="s">
        <v>34</v>
      </c>
      <c r="C40" t="s">
        <v>191</v>
      </c>
      <c r="D40" t="s">
        <v>192</v>
      </c>
      <c r="E40" t="s">
        <v>37</v>
      </c>
      <c r="F40" t="s">
        <v>193</v>
      </c>
      <c r="G40" t="s">
        <v>39</v>
      </c>
      <c r="H40" t="s">
        <v>40</v>
      </c>
      <c r="I40" t="s">
        <v>41</v>
      </c>
      <c r="J40" t="s">
        <v>37</v>
      </c>
      <c r="K40" t="s">
        <v>37</v>
      </c>
      <c r="L40" t="s">
        <v>42</v>
      </c>
      <c r="M40" s="6">
        <v>45287.291666666664</v>
      </c>
      <c r="N40" t="s">
        <v>4263</v>
      </c>
      <c r="O40" s="1">
        <v>45287</v>
      </c>
      <c r="P40" s="1">
        <v>45285.692812499998</v>
      </c>
      <c r="Q40" t="s">
        <v>4263</v>
      </c>
      <c r="R40" s="6">
        <v>45287.416666666664</v>
      </c>
      <c r="S40" t="s">
        <v>43</v>
      </c>
      <c r="T40">
        <v>23.8</v>
      </c>
      <c r="U40">
        <v>0</v>
      </c>
      <c r="V40">
        <v>23.8</v>
      </c>
      <c r="W40">
        <v>1.19</v>
      </c>
      <c r="X40">
        <v>0</v>
      </c>
      <c r="Y40">
        <v>0</v>
      </c>
      <c r="Z40">
        <v>24.99</v>
      </c>
      <c r="AA40" t="s">
        <v>44</v>
      </c>
      <c r="AB40" t="s">
        <v>45</v>
      </c>
      <c r="AC40" t="s">
        <v>46</v>
      </c>
      <c r="AD40" t="s">
        <v>37</v>
      </c>
      <c r="AE40" t="s">
        <v>37</v>
      </c>
      <c r="AF40" t="s">
        <v>194</v>
      </c>
      <c r="AG40" t="s">
        <v>37</v>
      </c>
      <c r="AH40" t="s">
        <v>191</v>
      </c>
      <c r="AI40" t="s">
        <v>37</v>
      </c>
    </row>
    <row r="41" spans="1:35" x14ac:dyDescent="0.25">
      <c r="A41" t="s">
        <v>209</v>
      </c>
      <c r="B41" t="s">
        <v>34</v>
      </c>
      <c r="C41" t="s">
        <v>206</v>
      </c>
      <c r="D41" t="s">
        <v>207</v>
      </c>
      <c r="E41" t="s">
        <v>37</v>
      </c>
      <c r="F41" t="s">
        <v>208</v>
      </c>
      <c r="G41" t="s">
        <v>39</v>
      </c>
      <c r="H41" t="s">
        <v>40</v>
      </c>
      <c r="I41" t="s">
        <v>41</v>
      </c>
      <c r="J41" t="s">
        <v>37</v>
      </c>
      <c r="K41" t="s">
        <v>37</v>
      </c>
      <c r="L41" t="s">
        <v>42</v>
      </c>
      <c r="M41" s="6">
        <v>45287.291666666664</v>
      </c>
      <c r="N41" t="s">
        <v>4263</v>
      </c>
      <c r="O41" s="1">
        <v>45287</v>
      </c>
      <c r="P41" s="1">
        <v>45285.892013888886</v>
      </c>
      <c r="Q41" t="s">
        <v>4263</v>
      </c>
      <c r="R41" s="6">
        <v>45287.416666666664</v>
      </c>
      <c r="S41" t="s">
        <v>43</v>
      </c>
      <c r="T41">
        <v>47.6</v>
      </c>
      <c r="U41">
        <v>0</v>
      </c>
      <c r="V41">
        <v>0</v>
      </c>
      <c r="W41">
        <v>2.38</v>
      </c>
      <c r="X41">
        <v>0</v>
      </c>
      <c r="Y41">
        <v>0</v>
      </c>
      <c r="Z41">
        <v>49.98</v>
      </c>
      <c r="AA41" t="s">
        <v>44</v>
      </c>
      <c r="AB41" t="s">
        <v>115</v>
      </c>
      <c r="AC41" t="s">
        <v>116</v>
      </c>
      <c r="AD41" t="s">
        <v>37</v>
      </c>
      <c r="AE41" t="s">
        <v>37</v>
      </c>
      <c r="AF41" t="s">
        <v>37</v>
      </c>
      <c r="AG41" t="s">
        <v>37</v>
      </c>
      <c r="AH41" t="s">
        <v>206</v>
      </c>
      <c r="AI41" t="s">
        <v>37</v>
      </c>
    </row>
    <row r="42" spans="1:35" x14ac:dyDescent="0.25">
      <c r="A42" t="s">
        <v>211</v>
      </c>
      <c r="B42" t="s">
        <v>34</v>
      </c>
      <c r="C42" t="s">
        <v>206</v>
      </c>
      <c r="D42" t="s">
        <v>207</v>
      </c>
      <c r="E42" t="s">
        <v>37</v>
      </c>
      <c r="F42" t="s">
        <v>208</v>
      </c>
      <c r="G42" t="s">
        <v>39</v>
      </c>
      <c r="H42" t="s">
        <v>40</v>
      </c>
      <c r="I42" t="s">
        <v>41</v>
      </c>
      <c r="J42" t="s">
        <v>37</v>
      </c>
      <c r="K42" t="s">
        <v>37</v>
      </c>
      <c r="L42" t="s">
        <v>42</v>
      </c>
      <c r="M42" s="6">
        <v>45287.291666666664</v>
      </c>
      <c r="N42" t="s">
        <v>4263</v>
      </c>
      <c r="O42" s="1">
        <v>45287</v>
      </c>
      <c r="P42" s="1">
        <v>45285.894050925926</v>
      </c>
      <c r="Q42" t="s">
        <v>4263</v>
      </c>
      <c r="R42" s="6">
        <v>45287.416666666664</v>
      </c>
      <c r="S42" t="s">
        <v>43</v>
      </c>
      <c r="T42">
        <v>47.6</v>
      </c>
      <c r="U42">
        <v>0</v>
      </c>
      <c r="V42">
        <v>0</v>
      </c>
      <c r="W42">
        <v>2.38</v>
      </c>
      <c r="X42">
        <v>0</v>
      </c>
      <c r="Y42">
        <v>0</v>
      </c>
      <c r="Z42">
        <v>49.98</v>
      </c>
      <c r="AA42" t="s">
        <v>44</v>
      </c>
      <c r="AB42" t="s">
        <v>115</v>
      </c>
      <c r="AC42" t="s">
        <v>116</v>
      </c>
      <c r="AD42" t="s">
        <v>37</v>
      </c>
      <c r="AE42" t="s">
        <v>37</v>
      </c>
      <c r="AF42" t="s">
        <v>37</v>
      </c>
      <c r="AG42" t="s">
        <v>37</v>
      </c>
      <c r="AH42" t="s">
        <v>206</v>
      </c>
      <c r="AI42" t="s">
        <v>37</v>
      </c>
    </row>
    <row r="43" spans="1:35" x14ac:dyDescent="0.25">
      <c r="A43" t="s">
        <v>213</v>
      </c>
      <c r="B43" t="s">
        <v>34</v>
      </c>
      <c r="C43" t="s">
        <v>206</v>
      </c>
      <c r="D43" t="s">
        <v>207</v>
      </c>
      <c r="E43" t="s">
        <v>37</v>
      </c>
      <c r="F43" t="s">
        <v>208</v>
      </c>
      <c r="G43" t="s">
        <v>39</v>
      </c>
      <c r="H43" t="s">
        <v>40</v>
      </c>
      <c r="I43" t="s">
        <v>41</v>
      </c>
      <c r="J43" t="s">
        <v>37</v>
      </c>
      <c r="K43" t="s">
        <v>37</v>
      </c>
      <c r="L43" t="s">
        <v>42</v>
      </c>
      <c r="M43" s="6">
        <v>45287.291666666664</v>
      </c>
      <c r="N43" t="s">
        <v>4263</v>
      </c>
      <c r="O43" s="1">
        <v>45287</v>
      </c>
      <c r="P43" s="1">
        <v>45285.896921296298</v>
      </c>
      <c r="Q43" t="s">
        <v>4263</v>
      </c>
      <c r="R43" s="6">
        <v>45287.416666666664</v>
      </c>
      <c r="S43" t="s">
        <v>43</v>
      </c>
      <c r="T43">
        <v>47.6</v>
      </c>
      <c r="U43">
        <v>0</v>
      </c>
      <c r="V43">
        <v>0</v>
      </c>
      <c r="W43">
        <v>2.38</v>
      </c>
      <c r="X43">
        <v>0</v>
      </c>
      <c r="Y43">
        <v>0</v>
      </c>
      <c r="Z43">
        <v>49.98</v>
      </c>
      <c r="AA43" t="s">
        <v>44</v>
      </c>
      <c r="AB43" t="s">
        <v>115</v>
      </c>
      <c r="AC43" t="s">
        <v>116</v>
      </c>
      <c r="AD43" t="s">
        <v>37</v>
      </c>
      <c r="AE43" t="s">
        <v>37</v>
      </c>
      <c r="AF43" t="s">
        <v>37</v>
      </c>
      <c r="AG43" t="s">
        <v>37</v>
      </c>
      <c r="AH43" t="s">
        <v>206</v>
      </c>
      <c r="AI43" t="s">
        <v>37</v>
      </c>
    </row>
    <row r="44" spans="1:35" x14ac:dyDescent="0.25">
      <c r="A44" t="s">
        <v>214</v>
      </c>
      <c r="B44" t="s">
        <v>34</v>
      </c>
      <c r="C44" t="s">
        <v>215</v>
      </c>
      <c r="D44" t="s">
        <v>216</v>
      </c>
      <c r="E44" t="s">
        <v>37</v>
      </c>
      <c r="F44" t="s">
        <v>217</v>
      </c>
      <c r="G44" t="s">
        <v>39</v>
      </c>
      <c r="H44" t="s">
        <v>40</v>
      </c>
      <c r="I44" t="s">
        <v>41</v>
      </c>
      <c r="J44" t="s">
        <v>37</v>
      </c>
      <c r="K44" t="s">
        <v>37</v>
      </c>
      <c r="L44" t="s">
        <v>42</v>
      </c>
      <c r="M44" s="6">
        <v>45287.291666666664</v>
      </c>
      <c r="N44" t="s">
        <v>4263</v>
      </c>
      <c r="O44" s="1">
        <v>45287</v>
      </c>
      <c r="P44" s="1">
        <v>45286.694409722222</v>
      </c>
      <c r="Q44" t="s">
        <v>4263</v>
      </c>
      <c r="R44" s="6">
        <v>45287.416666666664</v>
      </c>
      <c r="S44" t="s">
        <v>43</v>
      </c>
      <c r="T44">
        <v>23.8</v>
      </c>
      <c r="U44">
        <v>0</v>
      </c>
      <c r="V44">
        <v>23.8</v>
      </c>
      <c r="W44">
        <v>1.19</v>
      </c>
      <c r="X44">
        <v>0</v>
      </c>
      <c r="Y44">
        <v>0</v>
      </c>
      <c r="Z44">
        <v>24.99</v>
      </c>
      <c r="AA44" t="s">
        <v>44</v>
      </c>
      <c r="AB44" t="s">
        <v>45</v>
      </c>
      <c r="AC44" t="s">
        <v>46</v>
      </c>
      <c r="AD44" t="s">
        <v>37</v>
      </c>
      <c r="AE44" t="s">
        <v>37</v>
      </c>
      <c r="AF44" t="s">
        <v>218</v>
      </c>
      <c r="AG44" t="s">
        <v>37</v>
      </c>
      <c r="AH44" t="s">
        <v>219</v>
      </c>
      <c r="AI44" t="s">
        <v>37</v>
      </c>
    </row>
    <row r="45" spans="1:35" x14ac:dyDescent="0.25">
      <c r="A45" t="s">
        <v>249</v>
      </c>
      <c r="B45" t="s">
        <v>34</v>
      </c>
      <c r="C45" t="s">
        <v>250</v>
      </c>
      <c r="D45" t="s">
        <v>251</v>
      </c>
      <c r="E45" t="s">
        <v>37</v>
      </c>
      <c r="F45" t="s">
        <v>252</v>
      </c>
      <c r="G45" t="s">
        <v>39</v>
      </c>
      <c r="H45" t="s">
        <v>40</v>
      </c>
      <c r="I45" t="s">
        <v>41</v>
      </c>
      <c r="J45" t="s">
        <v>37</v>
      </c>
      <c r="K45" t="s">
        <v>37</v>
      </c>
      <c r="L45" t="s">
        <v>42</v>
      </c>
      <c r="M45" s="6">
        <v>45287.291666666664</v>
      </c>
      <c r="N45" t="s">
        <v>4263</v>
      </c>
      <c r="O45" s="1">
        <v>45287</v>
      </c>
      <c r="P45" s="1">
        <v>45286.905798611115</v>
      </c>
      <c r="Q45" t="s">
        <v>4263</v>
      </c>
      <c r="R45" s="6">
        <v>45287.416666666664</v>
      </c>
      <c r="S45" t="s">
        <v>43</v>
      </c>
      <c r="T45">
        <v>23.8</v>
      </c>
      <c r="U45">
        <v>0</v>
      </c>
      <c r="V45">
        <v>23.8</v>
      </c>
      <c r="W45">
        <v>1.19</v>
      </c>
      <c r="X45">
        <v>0</v>
      </c>
      <c r="Y45">
        <v>0</v>
      </c>
      <c r="Z45">
        <v>24.99</v>
      </c>
      <c r="AA45" t="s">
        <v>44</v>
      </c>
      <c r="AB45" t="s">
        <v>45</v>
      </c>
      <c r="AC45" t="s">
        <v>46</v>
      </c>
      <c r="AD45" t="s">
        <v>37</v>
      </c>
      <c r="AE45" t="s">
        <v>37</v>
      </c>
      <c r="AF45" t="s">
        <v>253</v>
      </c>
      <c r="AG45" t="s">
        <v>37</v>
      </c>
      <c r="AH45" t="s">
        <v>250</v>
      </c>
      <c r="AI45" t="s">
        <v>37</v>
      </c>
    </row>
    <row r="46" spans="1:35" x14ac:dyDescent="0.25">
      <c r="A46" t="s">
        <v>254</v>
      </c>
      <c r="B46" t="s">
        <v>34</v>
      </c>
      <c r="C46" t="s">
        <v>255</v>
      </c>
      <c r="D46" t="s">
        <v>256</v>
      </c>
      <c r="E46" t="s">
        <v>37</v>
      </c>
      <c r="F46" t="s">
        <v>257</v>
      </c>
      <c r="G46" t="s">
        <v>39</v>
      </c>
      <c r="H46" t="s">
        <v>40</v>
      </c>
      <c r="I46" t="s">
        <v>41</v>
      </c>
      <c r="J46" t="s">
        <v>37</v>
      </c>
      <c r="K46" t="s">
        <v>37</v>
      </c>
      <c r="L46" t="s">
        <v>42</v>
      </c>
      <c r="M46" s="6">
        <v>45287.291666666664</v>
      </c>
      <c r="N46" t="s">
        <v>4263</v>
      </c>
      <c r="O46" s="1">
        <v>45287</v>
      </c>
      <c r="P46" s="1">
        <v>45286.930914351855</v>
      </c>
      <c r="Q46" t="s">
        <v>4263</v>
      </c>
      <c r="R46" s="6">
        <v>45287.416666666664</v>
      </c>
      <c r="S46" t="s">
        <v>43</v>
      </c>
      <c r="T46">
        <v>23.8</v>
      </c>
      <c r="U46">
        <v>0</v>
      </c>
      <c r="V46">
        <v>23.8</v>
      </c>
      <c r="W46">
        <v>1.19</v>
      </c>
      <c r="X46">
        <v>0</v>
      </c>
      <c r="Y46">
        <v>0</v>
      </c>
      <c r="Z46">
        <v>24.99</v>
      </c>
      <c r="AA46" t="s">
        <v>44</v>
      </c>
      <c r="AB46" t="s">
        <v>45</v>
      </c>
      <c r="AC46" t="s">
        <v>46</v>
      </c>
      <c r="AD46" t="s">
        <v>37</v>
      </c>
      <c r="AE46" t="s">
        <v>37</v>
      </c>
      <c r="AF46" t="s">
        <v>258</v>
      </c>
      <c r="AG46" t="s">
        <v>37</v>
      </c>
      <c r="AH46" t="s">
        <v>255</v>
      </c>
      <c r="AI46" t="s">
        <v>37</v>
      </c>
    </row>
    <row r="47" spans="1:35" x14ac:dyDescent="0.25">
      <c r="A47" t="s">
        <v>274</v>
      </c>
      <c r="B47" t="s">
        <v>34</v>
      </c>
      <c r="C47" t="s">
        <v>275</v>
      </c>
      <c r="D47" t="s">
        <v>276</v>
      </c>
      <c r="E47" t="s">
        <v>37</v>
      </c>
      <c r="F47" t="s">
        <v>277</v>
      </c>
      <c r="G47" t="s">
        <v>39</v>
      </c>
      <c r="H47" t="s">
        <v>40</v>
      </c>
      <c r="I47" t="s">
        <v>41</v>
      </c>
      <c r="J47" t="s">
        <v>37</v>
      </c>
      <c r="K47" t="s">
        <v>37</v>
      </c>
      <c r="L47" t="s">
        <v>42</v>
      </c>
      <c r="M47" s="6">
        <v>45287.291666666664</v>
      </c>
      <c r="N47" t="s">
        <v>4263</v>
      </c>
      <c r="O47" s="1">
        <v>45287</v>
      </c>
      <c r="P47" s="1">
        <v>45282.814895833333</v>
      </c>
      <c r="Q47" t="s">
        <v>4263</v>
      </c>
      <c r="R47" s="6">
        <v>45287.416666666664</v>
      </c>
      <c r="S47" t="s">
        <v>43</v>
      </c>
      <c r="T47">
        <v>23.8</v>
      </c>
      <c r="U47">
        <v>0</v>
      </c>
      <c r="V47">
        <v>23.8</v>
      </c>
      <c r="W47">
        <v>1.19</v>
      </c>
      <c r="X47">
        <v>0</v>
      </c>
      <c r="Y47">
        <v>0</v>
      </c>
      <c r="Z47">
        <v>24.99</v>
      </c>
      <c r="AA47" t="s">
        <v>44</v>
      </c>
      <c r="AB47" t="s">
        <v>45</v>
      </c>
      <c r="AC47" t="s">
        <v>46</v>
      </c>
      <c r="AD47" t="s">
        <v>37</v>
      </c>
      <c r="AE47" t="s">
        <v>37</v>
      </c>
      <c r="AF47" t="s">
        <v>278</v>
      </c>
      <c r="AG47" t="s">
        <v>37</v>
      </c>
      <c r="AH47" t="s">
        <v>275</v>
      </c>
      <c r="AI47" t="s">
        <v>37</v>
      </c>
    </row>
    <row r="48" spans="1:35" x14ac:dyDescent="0.25">
      <c r="A48" t="s">
        <v>279</v>
      </c>
      <c r="B48" t="s">
        <v>34</v>
      </c>
      <c r="C48" t="s">
        <v>280</v>
      </c>
      <c r="D48" t="s">
        <v>281</v>
      </c>
      <c r="E48" t="s">
        <v>37</v>
      </c>
      <c r="F48" t="s">
        <v>282</v>
      </c>
      <c r="G48" t="s">
        <v>39</v>
      </c>
      <c r="H48" t="s">
        <v>40</v>
      </c>
      <c r="I48" t="s">
        <v>41</v>
      </c>
      <c r="J48" t="s">
        <v>37</v>
      </c>
      <c r="K48" t="s">
        <v>37</v>
      </c>
      <c r="L48" t="s">
        <v>42</v>
      </c>
      <c r="M48" s="6">
        <v>45287.33394675926</v>
      </c>
      <c r="N48" t="s">
        <v>4263</v>
      </c>
      <c r="O48" s="1">
        <v>45287.042280092595</v>
      </c>
      <c r="P48" s="1">
        <v>45287.333993055552</v>
      </c>
      <c r="Q48" t="s">
        <v>4263</v>
      </c>
      <c r="R48" s="6">
        <v>45287.416666666664</v>
      </c>
      <c r="S48" t="s">
        <v>43</v>
      </c>
      <c r="T48">
        <v>23.8</v>
      </c>
      <c r="U48">
        <v>0</v>
      </c>
      <c r="V48">
        <v>23.8</v>
      </c>
      <c r="W48">
        <v>1.19</v>
      </c>
      <c r="X48">
        <v>0</v>
      </c>
      <c r="Y48">
        <v>0</v>
      </c>
      <c r="Z48">
        <v>24.99</v>
      </c>
      <c r="AA48" t="s">
        <v>44</v>
      </c>
      <c r="AB48" t="s">
        <v>45</v>
      </c>
      <c r="AC48" t="s">
        <v>46</v>
      </c>
      <c r="AD48" t="s">
        <v>37</v>
      </c>
      <c r="AE48" t="s">
        <v>37</v>
      </c>
      <c r="AF48" t="s">
        <v>283</v>
      </c>
      <c r="AG48" t="s">
        <v>37</v>
      </c>
      <c r="AH48" t="s">
        <v>280</v>
      </c>
      <c r="AI48" t="s">
        <v>37</v>
      </c>
    </row>
    <row r="49" spans="1:35" x14ac:dyDescent="0.25">
      <c r="A49" t="s">
        <v>53</v>
      </c>
      <c r="B49" t="s">
        <v>34</v>
      </c>
      <c r="C49" t="s">
        <v>49</v>
      </c>
      <c r="D49" t="s">
        <v>50</v>
      </c>
      <c r="E49" t="s">
        <v>37</v>
      </c>
      <c r="F49" t="s">
        <v>51</v>
      </c>
      <c r="G49" t="s">
        <v>39</v>
      </c>
      <c r="H49" t="s">
        <v>40</v>
      </c>
      <c r="I49" t="s">
        <v>41</v>
      </c>
      <c r="J49" t="s">
        <v>37</v>
      </c>
      <c r="K49" t="s">
        <v>37</v>
      </c>
      <c r="L49" t="s">
        <v>42</v>
      </c>
      <c r="M49" s="6">
        <v>45288.291666666664</v>
      </c>
      <c r="N49" t="s">
        <v>4264</v>
      </c>
      <c r="O49" s="1">
        <v>45288</v>
      </c>
      <c r="P49" s="1">
        <v>45276.342766203707</v>
      </c>
      <c r="Q49" t="s">
        <v>4264</v>
      </c>
      <c r="R49" s="6">
        <v>45288.416666666664</v>
      </c>
      <c r="S49" t="s">
        <v>43</v>
      </c>
      <c r="T49">
        <v>38.08</v>
      </c>
      <c r="U49">
        <v>0</v>
      </c>
      <c r="V49">
        <v>38.08</v>
      </c>
      <c r="W49">
        <v>1.9</v>
      </c>
      <c r="X49">
        <v>0</v>
      </c>
      <c r="Y49">
        <v>0</v>
      </c>
      <c r="Z49">
        <v>39.979999999999997</v>
      </c>
      <c r="AA49" t="s">
        <v>44</v>
      </c>
      <c r="AB49" t="s">
        <v>45</v>
      </c>
      <c r="AC49" t="s">
        <v>46</v>
      </c>
      <c r="AD49" t="s">
        <v>37</v>
      </c>
      <c r="AE49" t="s">
        <v>37</v>
      </c>
      <c r="AF49" t="s">
        <v>52</v>
      </c>
      <c r="AG49" t="s">
        <v>37</v>
      </c>
      <c r="AH49" t="s">
        <v>49</v>
      </c>
      <c r="AI49" t="s">
        <v>37</v>
      </c>
    </row>
    <row r="50" spans="1:35" x14ac:dyDescent="0.25">
      <c r="A50" t="s">
        <v>220</v>
      </c>
      <c r="B50" t="s">
        <v>34</v>
      </c>
      <c r="C50" t="s">
        <v>221</v>
      </c>
      <c r="D50" t="s">
        <v>222</v>
      </c>
      <c r="E50" t="s">
        <v>37</v>
      </c>
      <c r="F50" t="s">
        <v>223</v>
      </c>
      <c r="G50" t="s">
        <v>39</v>
      </c>
      <c r="H50" t="s">
        <v>40</v>
      </c>
      <c r="I50" t="s">
        <v>41</v>
      </c>
      <c r="J50" t="s">
        <v>37</v>
      </c>
      <c r="K50" t="s">
        <v>37</v>
      </c>
      <c r="L50" t="s">
        <v>42</v>
      </c>
      <c r="M50" s="6">
        <v>45288.291666666664</v>
      </c>
      <c r="N50" t="s">
        <v>4264</v>
      </c>
      <c r="O50" s="1">
        <v>45288</v>
      </c>
      <c r="P50" s="1">
        <v>45286.690613425926</v>
      </c>
      <c r="Q50" t="s">
        <v>4264</v>
      </c>
      <c r="R50" s="6">
        <v>45288.416666666664</v>
      </c>
      <c r="S50" t="s">
        <v>43</v>
      </c>
      <c r="T50">
        <v>23.8</v>
      </c>
      <c r="U50">
        <v>0</v>
      </c>
      <c r="V50">
        <v>23.8</v>
      </c>
      <c r="W50">
        <v>1.19</v>
      </c>
      <c r="X50">
        <v>0</v>
      </c>
      <c r="Y50">
        <v>0</v>
      </c>
      <c r="Z50">
        <v>24.99</v>
      </c>
      <c r="AA50" t="s">
        <v>44</v>
      </c>
      <c r="AB50" t="s">
        <v>45</v>
      </c>
      <c r="AC50" t="s">
        <v>46</v>
      </c>
      <c r="AD50" t="s">
        <v>37</v>
      </c>
      <c r="AE50" t="s">
        <v>37</v>
      </c>
      <c r="AF50" t="s">
        <v>224</v>
      </c>
      <c r="AG50" t="s">
        <v>37</v>
      </c>
      <c r="AH50" t="s">
        <v>221</v>
      </c>
      <c r="AI50" t="s">
        <v>37</v>
      </c>
    </row>
    <row r="51" spans="1:35" x14ac:dyDescent="0.25">
      <c r="A51" t="s">
        <v>233</v>
      </c>
      <c r="B51" t="s">
        <v>34</v>
      </c>
      <c r="C51" t="s">
        <v>234</v>
      </c>
      <c r="D51" t="s">
        <v>235</v>
      </c>
      <c r="E51" t="s">
        <v>37</v>
      </c>
      <c r="F51" t="s">
        <v>236</v>
      </c>
      <c r="G51" t="s">
        <v>39</v>
      </c>
      <c r="H51" t="s">
        <v>40</v>
      </c>
      <c r="I51" t="s">
        <v>41</v>
      </c>
      <c r="J51" t="s">
        <v>37</v>
      </c>
      <c r="K51" t="s">
        <v>37</v>
      </c>
      <c r="L51" t="s">
        <v>42</v>
      </c>
      <c r="M51" s="6">
        <v>45288.291666666664</v>
      </c>
      <c r="N51" t="s">
        <v>4264</v>
      </c>
      <c r="O51" s="1">
        <v>45288</v>
      </c>
      <c r="P51" s="1">
        <v>45286.573472222219</v>
      </c>
      <c r="Q51" t="s">
        <v>4264</v>
      </c>
      <c r="R51" s="6">
        <v>45288.416666666664</v>
      </c>
      <c r="S51" t="s">
        <v>43</v>
      </c>
      <c r="T51">
        <v>23.8</v>
      </c>
      <c r="U51">
        <v>0</v>
      </c>
      <c r="V51">
        <v>23.8</v>
      </c>
      <c r="W51">
        <v>1.19</v>
      </c>
      <c r="X51">
        <v>0</v>
      </c>
      <c r="Y51">
        <v>0</v>
      </c>
      <c r="Z51">
        <v>24.99</v>
      </c>
      <c r="AA51" t="s">
        <v>44</v>
      </c>
      <c r="AB51" t="s">
        <v>45</v>
      </c>
      <c r="AC51" t="s">
        <v>46</v>
      </c>
      <c r="AD51" t="s">
        <v>37</v>
      </c>
      <c r="AE51" t="s">
        <v>37</v>
      </c>
      <c r="AF51" t="s">
        <v>237</v>
      </c>
      <c r="AG51" t="s">
        <v>37</v>
      </c>
      <c r="AH51" t="s">
        <v>234</v>
      </c>
      <c r="AI51" t="s">
        <v>37</v>
      </c>
    </row>
    <row r="52" spans="1:35" x14ac:dyDescent="0.25">
      <c r="A52" t="s">
        <v>238</v>
      </c>
      <c r="B52" t="s">
        <v>34</v>
      </c>
      <c r="C52" t="s">
        <v>226</v>
      </c>
      <c r="D52" t="s">
        <v>227</v>
      </c>
      <c r="E52" t="s">
        <v>37</v>
      </c>
      <c r="F52" t="s">
        <v>228</v>
      </c>
      <c r="G52" t="s">
        <v>39</v>
      </c>
      <c r="H52" t="s">
        <v>40</v>
      </c>
      <c r="I52" t="s">
        <v>41</v>
      </c>
      <c r="J52" t="s">
        <v>37</v>
      </c>
      <c r="K52" t="s">
        <v>37</v>
      </c>
      <c r="L52" t="s">
        <v>42</v>
      </c>
      <c r="M52" s="6">
        <v>45288.291666666664</v>
      </c>
      <c r="N52" t="s">
        <v>4264</v>
      </c>
      <c r="O52" s="1">
        <v>45288</v>
      </c>
      <c r="P52" s="1">
        <v>45286.563969907409</v>
      </c>
      <c r="Q52" t="s">
        <v>4264</v>
      </c>
      <c r="R52" s="6">
        <v>45288.416666666664</v>
      </c>
      <c r="S52" t="s">
        <v>43</v>
      </c>
      <c r="T52">
        <v>47.6</v>
      </c>
      <c r="U52">
        <v>0</v>
      </c>
      <c r="V52">
        <v>47.6</v>
      </c>
      <c r="W52">
        <v>2.38</v>
      </c>
      <c r="X52">
        <v>0</v>
      </c>
      <c r="Y52">
        <v>0</v>
      </c>
      <c r="Z52">
        <v>49.98</v>
      </c>
      <c r="AA52" t="s">
        <v>44</v>
      </c>
      <c r="AB52" t="s">
        <v>45</v>
      </c>
      <c r="AC52" t="s">
        <v>46</v>
      </c>
      <c r="AD52" t="s">
        <v>37</v>
      </c>
      <c r="AE52" t="s">
        <v>37</v>
      </c>
      <c r="AF52" t="s">
        <v>229</v>
      </c>
      <c r="AG52" t="s">
        <v>37</v>
      </c>
      <c r="AH52" t="s">
        <v>226</v>
      </c>
      <c r="AI52" t="s">
        <v>37</v>
      </c>
    </row>
    <row r="53" spans="1:35" x14ac:dyDescent="0.25">
      <c r="A53" t="s">
        <v>259</v>
      </c>
      <c r="B53" t="s">
        <v>34</v>
      </c>
      <c r="C53" t="s">
        <v>260</v>
      </c>
      <c r="D53" t="s">
        <v>261</v>
      </c>
      <c r="E53" t="s">
        <v>37</v>
      </c>
      <c r="F53" t="s">
        <v>262</v>
      </c>
      <c r="G53" t="s">
        <v>39</v>
      </c>
      <c r="H53" t="s">
        <v>40</v>
      </c>
      <c r="I53" t="s">
        <v>41</v>
      </c>
      <c r="J53" t="s">
        <v>37</v>
      </c>
      <c r="K53" t="s">
        <v>37</v>
      </c>
      <c r="L53" t="s">
        <v>42</v>
      </c>
      <c r="M53" s="6">
        <v>45288.291666666664</v>
      </c>
      <c r="N53" t="s">
        <v>4264</v>
      </c>
      <c r="O53" s="1">
        <v>45288</v>
      </c>
      <c r="P53" s="1">
        <v>45287.418761574074</v>
      </c>
      <c r="Q53" t="s">
        <v>4264</v>
      </c>
      <c r="R53" s="6">
        <v>45288.416666666664</v>
      </c>
      <c r="S53" t="s">
        <v>43</v>
      </c>
      <c r="T53">
        <v>23.8</v>
      </c>
      <c r="U53">
        <v>0</v>
      </c>
      <c r="V53">
        <v>0</v>
      </c>
      <c r="W53">
        <v>1.19</v>
      </c>
      <c r="X53">
        <v>0</v>
      </c>
      <c r="Y53">
        <v>0</v>
      </c>
      <c r="Z53">
        <v>24.99</v>
      </c>
      <c r="AA53" t="s">
        <v>44</v>
      </c>
      <c r="AB53" t="s">
        <v>115</v>
      </c>
      <c r="AC53" t="s">
        <v>116</v>
      </c>
      <c r="AD53" t="s">
        <v>37</v>
      </c>
      <c r="AE53" t="s">
        <v>37</v>
      </c>
      <c r="AF53" t="s">
        <v>37</v>
      </c>
      <c r="AG53" t="s">
        <v>37</v>
      </c>
      <c r="AH53" t="s">
        <v>263</v>
      </c>
      <c r="AI53" t="s">
        <v>37</v>
      </c>
    </row>
    <row r="54" spans="1:35" x14ac:dyDescent="0.25">
      <c r="A54" t="s">
        <v>271</v>
      </c>
      <c r="B54" t="s">
        <v>34</v>
      </c>
      <c r="C54" t="s">
        <v>260</v>
      </c>
      <c r="D54" t="s">
        <v>261</v>
      </c>
      <c r="E54" t="s">
        <v>37</v>
      </c>
      <c r="F54" t="s">
        <v>262</v>
      </c>
      <c r="G54" t="s">
        <v>39</v>
      </c>
      <c r="H54" t="s">
        <v>40</v>
      </c>
      <c r="I54" t="s">
        <v>41</v>
      </c>
      <c r="J54" t="s">
        <v>37</v>
      </c>
      <c r="K54" t="s">
        <v>37</v>
      </c>
      <c r="L54" t="s">
        <v>42</v>
      </c>
      <c r="M54" s="6">
        <v>45288.291666666664</v>
      </c>
      <c r="N54" t="s">
        <v>4264</v>
      </c>
      <c r="O54" s="1">
        <v>45288</v>
      </c>
      <c r="P54" s="1">
        <v>45287.419560185182</v>
      </c>
      <c r="Q54" t="s">
        <v>4264</v>
      </c>
      <c r="R54" s="6">
        <v>45288.416666666664</v>
      </c>
      <c r="S54" t="s">
        <v>43</v>
      </c>
      <c r="T54">
        <v>23.8</v>
      </c>
      <c r="U54">
        <v>0</v>
      </c>
      <c r="V54">
        <v>23.8</v>
      </c>
      <c r="W54">
        <v>1.19</v>
      </c>
      <c r="X54">
        <v>0</v>
      </c>
      <c r="Y54">
        <v>0</v>
      </c>
      <c r="Z54">
        <v>24.99</v>
      </c>
      <c r="AA54" t="s">
        <v>44</v>
      </c>
      <c r="AB54" t="s">
        <v>45</v>
      </c>
      <c r="AC54" t="s">
        <v>46</v>
      </c>
      <c r="AD54" t="s">
        <v>37</v>
      </c>
      <c r="AE54" t="s">
        <v>37</v>
      </c>
      <c r="AF54" t="s">
        <v>272</v>
      </c>
      <c r="AG54" t="s">
        <v>37</v>
      </c>
      <c r="AH54" t="s">
        <v>263</v>
      </c>
      <c r="AI54" t="s">
        <v>37</v>
      </c>
    </row>
    <row r="55" spans="1:35" x14ac:dyDescent="0.25">
      <c r="A55" t="s">
        <v>273</v>
      </c>
      <c r="B55" t="s">
        <v>34</v>
      </c>
      <c r="C55" t="s">
        <v>265</v>
      </c>
      <c r="D55" t="s">
        <v>266</v>
      </c>
      <c r="E55" t="s">
        <v>37</v>
      </c>
      <c r="F55" t="s">
        <v>267</v>
      </c>
      <c r="G55" t="s">
        <v>39</v>
      </c>
      <c r="H55" t="s">
        <v>40</v>
      </c>
      <c r="I55" t="s">
        <v>41</v>
      </c>
      <c r="J55" t="s">
        <v>37</v>
      </c>
      <c r="K55" t="s">
        <v>37</v>
      </c>
      <c r="L55" t="s">
        <v>42</v>
      </c>
      <c r="M55" s="6">
        <v>45288.291666666664</v>
      </c>
      <c r="N55" t="s">
        <v>4264</v>
      </c>
      <c r="O55" s="1">
        <v>45288</v>
      </c>
      <c r="P55" s="1">
        <v>45287.521643518521</v>
      </c>
      <c r="Q55" t="s">
        <v>4264</v>
      </c>
      <c r="R55" s="6">
        <v>45288.416666666664</v>
      </c>
      <c r="S55" t="s">
        <v>43</v>
      </c>
      <c r="T55">
        <v>47.6</v>
      </c>
      <c r="U55">
        <v>0</v>
      </c>
      <c r="V55">
        <v>47.6</v>
      </c>
      <c r="W55">
        <v>2.38</v>
      </c>
      <c r="X55">
        <v>0</v>
      </c>
      <c r="Y55">
        <v>0</v>
      </c>
      <c r="Z55">
        <v>49.98</v>
      </c>
      <c r="AA55" t="s">
        <v>44</v>
      </c>
      <c r="AB55" t="s">
        <v>45</v>
      </c>
      <c r="AC55" t="s">
        <v>46</v>
      </c>
      <c r="AD55" t="s">
        <v>37</v>
      </c>
      <c r="AE55" t="s">
        <v>37</v>
      </c>
      <c r="AF55" t="s">
        <v>268</v>
      </c>
      <c r="AG55" t="s">
        <v>37</v>
      </c>
      <c r="AH55" t="s">
        <v>265</v>
      </c>
      <c r="AI55" t="s">
        <v>37</v>
      </c>
    </row>
    <row r="56" spans="1:35" x14ac:dyDescent="0.25">
      <c r="A56" t="s">
        <v>284</v>
      </c>
      <c r="B56" t="s">
        <v>34</v>
      </c>
      <c r="C56" t="s">
        <v>215</v>
      </c>
      <c r="D56" t="s">
        <v>216</v>
      </c>
      <c r="E56" t="s">
        <v>37</v>
      </c>
      <c r="F56" t="s">
        <v>217</v>
      </c>
      <c r="G56" t="s">
        <v>39</v>
      </c>
      <c r="H56" t="s">
        <v>40</v>
      </c>
      <c r="I56" t="s">
        <v>41</v>
      </c>
      <c r="J56" t="s">
        <v>37</v>
      </c>
      <c r="K56" t="s">
        <v>37</v>
      </c>
      <c r="L56" t="s">
        <v>42</v>
      </c>
      <c r="M56" s="6">
        <v>45288.291666666664</v>
      </c>
      <c r="N56" t="s">
        <v>4264</v>
      </c>
      <c r="O56" s="1">
        <v>45288</v>
      </c>
      <c r="P56" s="1">
        <v>45287.724652777775</v>
      </c>
      <c r="Q56" t="s">
        <v>4264</v>
      </c>
      <c r="R56" s="6">
        <v>45288.416666666664</v>
      </c>
      <c r="S56" t="s">
        <v>43</v>
      </c>
      <c r="T56">
        <v>23.8</v>
      </c>
      <c r="U56">
        <v>0</v>
      </c>
      <c r="V56">
        <v>23.8</v>
      </c>
      <c r="W56">
        <v>1.19</v>
      </c>
      <c r="X56">
        <v>0</v>
      </c>
      <c r="Y56">
        <v>0</v>
      </c>
      <c r="Z56">
        <v>24.99</v>
      </c>
      <c r="AA56" t="s">
        <v>44</v>
      </c>
      <c r="AB56" t="s">
        <v>45</v>
      </c>
      <c r="AC56" t="s">
        <v>46</v>
      </c>
      <c r="AD56" t="s">
        <v>37</v>
      </c>
      <c r="AE56" t="s">
        <v>37</v>
      </c>
      <c r="AF56" t="s">
        <v>285</v>
      </c>
      <c r="AG56" t="s">
        <v>37</v>
      </c>
      <c r="AH56" t="s">
        <v>219</v>
      </c>
      <c r="AI56" t="s">
        <v>37</v>
      </c>
    </row>
    <row r="57" spans="1:35" x14ac:dyDescent="0.25">
      <c r="A57" t="s">
        <v>286</v>
      </c>
      <c r="B57" t="s">
        <v>34</v>
      </c>
      <c r="C57" t="s">
        <v>280</v>
      </c>
      <c r="D57" t="s">
        <v>281</v>
      </c>
      <c r="E57" t="s">
        <v>37</v>
      </c>
      <c r="F57" t="s">
        <v>282</v>
      </c>
      <c r="G57" t="s">
        <v>39</v>
      </c>
      <c r="H57" t="s">
        <v>40</v>
      </c>
      <c r="I57" t="s">
        <v>41</v>
      </c>
      <c r="J57" t="s">
        <v>37</v>
      </c>
      <c r="K57" t="s">
        <v>37</v>
      </c>
      <c r="L57" t="s">
        <v>42</v>
      </c>
      <c r="M57" s="6">
        <v>45288.291666666664</v>
      </c>
      <c r="N57" t="s">
        <v>4264</v>
      </c>
      <c r="O57" s="1">
        <v>45288</v>
      </c>
      <c r="P57" s="1">
        <v>45287.818067129629</v>
      </c>
      <c r="Q57" t="s">
        <v>4264</v>
      </c>
      <c r="R57" s="6">
        <v>45288.416666666664</v>
      </c>
      <c r="S57" t="s">
        <v>43</v>
      </c>
      <c r="T57">
        <v>23.8</v>
      </c>
      <c r="U57">
        <v>0</v>
      </c>
      <c r="V57">
        <v>23.8</v>
      </c>
      <c r="W57">
        <v>1.19</v>
      </c>
      <c r="X57">
        <v>0</v>
      </c>
      <c r="Y57">
        <v>0</v>
      </c>
      <c r="Z57">
        <v>24.99</v>
      </c>
      <c r="AA57" t="s">
        <v>44</v>
      </c>
      <c r="AB57" t="s">
        <v>45</v>
      </c>
      <c r="AC57" t="s">
        <v>46</v>
      </c>
      <c r="AD57" t="s">
        <v>37</v>
      </c>
      <c r="AE57" t="s">
        <v>37</v>
      </c>
      <c r="AF57" t="s">
        <v>287</v>
      </c>
      <c r="AG57" t="s">
        <v>37</v>
      </c>
      <c r="AH57" t="s">
        <v>280</v>
      </c>
      <c r="AI57" t="s">
        <v>37</v>
      </c>
    </row>
    <row r="58" spans="1:35" x14ac:dyDescent="0.25">
      <c r="A58" t="s">
        <v>312</v>
      </c>
      <c r="B58" t="s">
        <v>34</v>
      </c>
      <c r="C58" t="s">
        <v>313</v>
      </c>
      <c r="D58" t="s">
        <v>314</v>
      </c>
      <c r="E58" t="s">
        <v>37</v>
      </c>
      <c r="F58" t="s">
        <v>315</v>
      </c>
      <c r="G58" t="s">
        <v>39</v>
      </c>
      <c r="H58" t="s">
        <v>40</v>
      </c>
      <c r="I58" t="s">
        <v>41</v>
      </c>
      <c r="J58" t="s">
        <v>37</v>
      </c>
      <c r="K58" t="s">
        <v>37</v>
      </c>
      <c r="L58" t="s">
        <v>42</v>
      </c>
      <c r="M58" s="6">
        <v>45288.291666666664</v>
      </c>
      <c r="N58" t="s">
        <v>4264</v>
      </c>
      <c r="O58" s="1">
        <v>45288</v>
      </c>
      <c r="P58" s="1">
        <v>45288.391018518516</v>
      </c>
      <c r="Q58" t="s">
        <v>4264</v>
      </c>
      <c r="R58" s="6">
        <v>45288.416666666664</v>
      </c>
      <c r="S58" t="s">
        <v>43</v>
      </c>
      <c r="T58">
        <v>23.8</v>
      </c>
      <c r="U58">
        <v>0</v>
      </c>
      <c r="V58">
        <v>23.8</v>
      </c>
      <c r="W58">
        <v>1.19</v>
      </c>
      <c r="X58">
        <v>0</v>
      </c>
      <c r="Y58">
        <v>0</v>
      </c>
      <c r="Z58">
        <v>24.99</v>
      </c>
      <c r="AA58" t="s">
        <v>44</v>
      </c>
      <c r="AB58" t="s">
        <v>45</v>
      </c>
      <c r="AC58" t="s">
        <v>46</v>
      </c>
      <c r="AD58" t="s">
        <v>37</v>
      </c>
      <c r="AE58" t="s">
        <v>37</v>
      </c>
      <c r="AF58" t="s">
        <v>316</v>
      </c>
      <c r="AG58" t="s">
        <v>37</v>
      </c>
      <c r="AH58" t="s">
        <v>317</v>
      </c>
      <c r="AI58" t="s">
        <v>37</v>
      </c>
    </row>
    <row r="59" spans="1:35" x14ac:dyDescent="0.25">
      <c r="A59" t="s">
        <v>340</v>
      </c>
      <c r="B59" t="s">
        <v>34</v>
      </c>
      <c r="C59" t="s">
        <v>341</v>
      </c>
      <c r="D59" t="s">
        <v>342</v>
      </c>
      <c r="E59" t="s">
        <v>37</v>
      </c>
      <c r="F59" t="s">
        <v>343</v>
      </c>
      <c r="G59" t="s">
        <v>39</v>
      </c>
      <c r="H59" t="s">
        <v>40</v>
      </c>
      <c r="I59" t="s">
        <v>41</v>
      </c>
      <c r="J59" t="s">
        <v>37</v>
      </c>
      <c r="K59" t="s">
        <v>37</v>
      </c>
      <c r="L59" t="s">
        <v>42</v>
      </c>
      <c r="M59" s="6">
        <v>45288.291666666664</v>
      </c>
      <c r="N59" t="s">
        <v>4264</v>
      </c>
      <c r="O59" s="1">
        <v>45288</v>
      </c>
      <c r="P59" s="1">
        <v>45288.511817129627</v>
      </c>
      <c r="Q59" t="s">
        <v>4264</v>
      </c>
      <c r="R59" s="6">
        <v>45288.416666666664</v>
      </c>
      <c r="S59" t="s">
        <v>43</v>
      </c>
      <c r="T59">
        <v>23.8</v>
      </c>
      <c r="U59">
        <v>0</v>
      </c>
      <c r="V59">
        <v>23.8</v>
      </c>
      <c r="W59">
        <v>1.19</v>
      </c>
      <c r="X59">
        <v>0</v>
      </c>
      <c r="Y59">
        <v>0</v>
      </c>
      <c r="Z59">
        <v>24.99</v>
      </c>
      <c r="AA59" t="s">
        <v>44</v>
      </c>
      <c r="AB59" t="s">
        <v>45</v>
      </c>
      <c r="AC59" t="s">
        <v>46</v>
      </c>
      <c r="AD59" t="s">
        <v>37</v>
      </c>
      <c r="AE59" t="s">
        <v>37</v>
      </c>
      <c r="AF59" t="s">
        <v>344</v>
      </c>
      <c r="AG59" t="s">
        <v>37</v>
      </c>
      <c r="AH59" t="s">
        <v>341</v>
      </c>
      <c r="AI59" t="s">
        <v>37</v>
      </c>
    </row>
    <row r="60" spans="1:35" x14ac:dyDescent="0.25">
      <c r="A60" t="s">
        <v>345</v>
      </c>
      <c r="B60" t="s">
        <v>34</v>
      </c>
      <c r="C60" t="s">
        <v>346</v>
      </c>
      <c r="D60" t="s">
        <v>347</v>
      </c>
      <c r="E60" t="s">
        <v>37</v>
      </c>
      <c r="F60" t="s">
        <v>348</v>
      </c>
      <c r="G60" t="s">
        <v>39</v>
      </c>
      <c r="H60" t="s">
        <v>40</v>
      </c>
      <c r="I60" t="s">
        <v>41</v>
      </c>
      <c r="J60" t="s">
        <v>37</v>
      </c>
      <c r="K60" t="s">
        <v>37</v>
      </c>
      <c r="L60" t="s">
        <v>42</v>
      </c>
      <c r="M60" s="6">
        <v>45288.291666666664</v>
      </c>
      <c r="N60" t="s">
        <v>4264</v>
      </c>
      <c r="O60" s="1">
        <v>45288</v>
      </c>
      <c r="P60" s="1">
        <v>45273.930891203701</v>
      </c>
      <c r="Q60" t="s">
        <v>4264</v>
      </c>
      <c r="R60" s="6">
        <v>45288.416666666664</v>
      </c>
      <c r="S60" t="s">
        <v>43</v>
      </c>
      <c r="T60">
        <v>19.04</v>
      </c>
      <c r="U60">
        <v>0</v>
      </c>
      <c r="V60">
        <v>19.04</v>
      </c>
      <c r="W60">
        <v>0.95</v>
      </c>
      <c r="X60">
        <v>0</v>
      </c>
      <c r="Y60">
        <v>0</v>
      </c>
      <c r="Z60">
        <v>19.989999999999998</v>
      </c>
      <c r="AA60" t="s">
        <v>44</v>
      </c>
      <c r="AB60" t="s">
        <v>45</v>
      </c>
      <c r="AC60" t="s">
        <v>46</v>
      </c>
      <c r="AD60" t="s">
        <v>37</v>
      </c>
      <c r="AE60" t="s">
        <v>37</v>
      </c>
      <c r="AF60" t="s">
        <v>349</v>
      </c>
      <c r="AG60" t="s">
        <v>37</v>
      </c>
      <c r="AH60" t="s">
        <v>346</v>
      </c>
      <c r="AI60" t="s">
        <v>37</v>
      </c>
    </row>
    <row r="61" spans="1:35" x14ac:dyDescent="0.25">
      <c r="A61" t="s">
        <v>293</v>
      </c>
      <c r="B61" t="s">
        <v>34</v>
      </c>
      <c r="C61" t="s">
        <v>294</v>
      </c>
      <c r="D61" t="s">
        <v>295</v>
      </c>
      <c r="E61" t="s">
        <v>37</v>
      </c>
      <c r="F61" t="s">
        <v>296</v>
      </c>
      <c r="G61" t="s">
        <v>39</v>
      </c>
      <c r="H61" t="s">
        <v>40</v>
      </c>
      <c r="I61" t="s">
        <v>41</v>
      </c>
      <c r="J61" t="s">
        <v>37</v>
      </c>
      <c r="K61" t="s">
        <v>37</v>
      </c>
      <c r="L61" t="s">
        <v>42</v>
      </c>
      <c r="M61" s="6">
        <v>45288.345081018517</v>
      </c>
      <c r="N61" t="s">
        <v>4264</v>
      </c>
      <c r="O61" s="1">
        <v>45288.053414351853</v>
      </c>
      <c r="P61" s="1">
        <v>45288.34516203704</v>
      </c>
      <c r="Q61" t="s">
        <v>4264</v>
      </c>
      <c r="R61" s="6">
        <v>45288.416666666664</v>
      </c>
      <c r="S61" t="s">
        <v>43</v>
      </c>
      <c r="T61">
        <v>23.8</v>
      </c>
      <c r="U61">
        <v>0</v>
      </c>
      <c r="V61">
        <v>23.8</v>
      </c>
      <c r="W61">
        <v>1.19</v>
      </c>
      <c r="X61">
        <v>0</v>
      </c>
      <c r="Y61">
        <v>0</v>
      </c>
      <c r="Z61">
        <v>24.99</v>
      </c>
      <c r="AA61" t="s">
        <v>44</v>
      </c>
      <c r="AB61" t="s">
        <v>45</v>
      </c>
      <c r="AC61" t="s">
        <v>46</v>
      </c>
      <c r="AD61" t="s">
        <v>37</v>
      </c>
      <c r="AE61" t="s">
        <v>37</v>
      </c>
      <c r="AF61" t="s">
        <v>297</v>
      </c>
      <c r="AG61" t="s">
        <v>37</v>
      </c>
      <c r="AH61" t="s">
        <v>294</v>
      </c>
      <c r="AI61" t="s">
        <v>37</v>
      </c>
    </row>
    <row r="62" spans="1:35" x14ac:dyDescent="0.25">
      <c r="A62" t="s">
        <v>298</v>
      </c>
      <c r="B62" t="s">
        <v>34</v>
      </c>
      <c r="C62" t="s">
        <v>299</v>
      </c>
      <c r="D62" t="s">
        <v>300</v>
      </c>
      <c r="E62" t="s">
        <v>37</v>
      </c>
      <c r="F62" t="s">
        <v>301</v>
      </c>
      <c r="G62" t="s">
        <v>39</v>
      </c>
      <c r="H62" t="s">
        <v>40</v>
      </c>
      <c r="I62" t="s">
        <v>41</v>
      </c>
      <c r="J62" t="s">
        <v>37</v>
      </c>
      <c r="K62" t="s">
        <v>37</v>
      </c>
      <c r="L62" t="s">
        <v>42</v>
      </c>
      <c r="M62" s="6">
        <v>45288.348958333336</v>
      </c>
      <c r="N62" t="s">
        <v>4264</v>
      </c>
      <c r="O62" s="1">
        <v>45288.057291666664</v>
      </c>
      <c r="P62" s="1">
        <v>45288.349004629628</v>
      </c>
      <c r="Q62" t="s">
        <v>4264</v>
      </c>
      <c r="R62" s="6">
        <v>45288.416666666664</v>
      </c>
      <c r="S62" t="s">
        <v>43</v>
      </c>
      <c r="T62">
        <v>23.8</v>
      </c>
      <c r="U62">
        <v>0</v>
      </c>
      <c r="V62">
        <v>23.8</v>
      </c>
      <c r="W62">
        <v>1.19</v>
      </c>
      <c r="X62">
        <v>0</v>
      </c>
      <c r="Y62">
        <v>0</v>
      </c>
      <c r="Z62">
        <v>24.99</v>
      </c>
      <c r="AA62" t="s">
        <v>44</v>
      </c>
      <c r="AB62" t="s">
        <v>45</v>
      </c>
      <c r="AC62" t="s">
        <v>46</v>
      </c>
      <c r="AD62" t="s">
        <v>37</v>
      </c>
      <c r="AE62" t="s">
        <v>37</v>
      </c>
      <c r="AF62" t="s">
        <v>302</v>
      </c>
      <c r="AG62" t="s">
        <v>37</v>
      </c>
      <c r="AH62" t="s">
        <v>303</v>
      </c>
      <c r="AI62" t="s">
        <v>37</v>
      </c>
    </row>
    <row r="63" spans="1:35" x14ac:dyDescent="0.25">
      <c r="A63" t="s">
        <v>304</v>
      </c>
      <c r="B63" t="s">
        <v>34</v>
      </c>
      <c r="C63" t="s">
        <v>299</v>
      </c>
      <c r="D63" t="s">
        <v>300</v>
      </c>
      <c r="E63" t="s">
        <v>37</v>
      </c>
      <c r="F63" t="s">
        <v>305</v>
      </c>
      <c r="G63" t="s">
        <v>39</v>
      </c>
      <c r="H63" t="s">
        <v>40</v>
      </c>
      <c r="I63" t="s">
        <v>41</v>
      </c>
      <c r="J63" t="s">
        <v>37</v>
      </c>
      <c r="K63" t="s">
        <v>37</v>
      </c>
      <c r="L63" t="s">
        <v>42</v>
      </c>
      <c r="M63" s="6">
        <v>45288.351203703707</v>
      </c>
      <c r="N63" t="s">
        <v>4264</v>
      </c>
      <c r="O63" s="1">
        <v>45288.059537037036</v>
      </c>
      <c r="P63" s="1">
        <v>45288.35125</v>
      </c>
      <c r="Q63" t="s">
        <v>4264</v>
      </c>
      <c r="R63" s="6">
        <v>45288.416666666664</v>
      </c>
      <c r="S63" t="s">
        <v>43</v>
      </c>
      <c r="T63">
        <v>23.8</v>
      </c>
      <c r="U63">
        <v>0</v>
      </c>
      <c r="V63">
        <v>23.8</v>
      </c>
      <c r="W63">
        <v>1.19</v>
      </c>
      <c r="X63">
        <v>0</v>
      </c>
      <c r="Y63">
        <v>0</v>
      </c>
      <c r="Z63">
        <v>24.99</v>
      </c>
      <c r="AA63" t="s">
        <v>44</v>
      </c>
      <c r="AB63" t="s">
        <v>45</v>
      </c>
      <c r="AC63" t="s">
        <v>46</v>
      </c>
      <c r="AD63" t="s">
        <v>37</v>
      </c>
      <c r="AE63" t="s">
        <v>37</v>
      </c>
      <c r="AF63" t="s">
        <v>306</v>
      </c>
      <c r="AG63" t="s">
        <v>37</v>
      </c>
      <c r="AH63" t="s">
        <v>303</v>
      </c>
      <c r="AI63" t="s">
        <v>37</v>
      </c>
    </row>
    <row r="64" spans="1:35" x14ac:dyDescent="0.25">
      <c r="A64" t="s">
        <v>307</v>
      </c>
      <c r="B64" t="s">
        <v>34</v>
      </c>
      <c r="C64" t="s">
        <v>308</v>
      </c>
      <c r="D64" t="s">
        <v>309</v>
      </c>
      <c r="E64" t="s">
        <v>37</v>
      </c>
      <c r="F64" t="s">
        <v>310</v>
      </c>
      <c r="G64" t="s">
        <v>39</v>
      </c>
      <c r="H64" t="s">
        <v>40</v>
      </c>
      <c r="I64" t="s">
        <v>41</v>
      </c>
      <c r="J64" t="s">
        <v>37</v>
      </c>
      <c r="K64" t="s">
        <v>37</v>
      </c>
      <c r="L64" t="s">
        <v>42</v>
      </c>
      <c r="M64" s="6">
        <v>45288.363391203704</v>
      </c>
      <c r="N64" t="s">
        <v>4264</v>
      </c>
      <c r="O64" s="1">
        <v>45288.07172453704</v>
      </c>
      <c r="P64" s="1">
        <v>45288.36346064815</v>
      </c>
      <c r="Q64" t="s">
        <v>4264</v>
      </c>
      <c r="R64" s="6">
        <v>45288.416666666664</v>
      </c>
      <c r="S64" t="s">
        <v>43</v>
      </c>
      <c r="T64">
        <v>23.8</v>
      </c>
      <c r="U64">
        <v>0</v>
      </c>
      <c r="V64">
        <v>23.8</v>
      </c>
      <c r="W64">
        <v>1.19</v>
      </c>
      <c r="X64">
        <v>0</v>
      </c>
      <c r="Y64">
        <v>0</v>
      </c>
      <c r="Z64">
        <v>24.99</v>
      </c>
      <c r="AA64" t="s">
        <v>44</v>
      </c>
      <c r="AB64" t="s">
        <v>45</v>
      </c>
      <c r="AC64" t="s">
        <v>46</v>
      </c>
      <c r="AD64" t="s">
        <v>37</v>
      </c>
      <c r="AE64" t="s">
        <v>37</v>
      </c>
      <c r="AF64" t="s">
        <v>311</v>
      </c>
      <c r="AG64" t="s">
        <v>37</v>
      </c>
      <c r="AH64" t="s">
        <v>308</v>
      </c>
      <c r="AI64" t="s">
        <v>37</v>
      </c>
    </row>
    <row r="65" spans="1:35" x14ac:dyDescent="0.25">
      <c r="A65" t="s">
        <v>334</v>
      </c>
      <c r="B65" t="s">
        <v>34</v>
      </c>
      <c r="C65" t="s">
        <v>335</v>
      </c>
      <c r="D65" t="s">
        <v>336</v>
      </c>
      <c r="E65" t="s">
        <v>37</v>
      </c>
      <c r="F65" t="s">
        <v>337</v>
      </c>
      <c r="G65" t="s">
        <v>39</v>
      </c>
      <c r="H65" t="s">
        <v>40</v>
      </c>
      <c r="I65" t="s">
        <v>41</v>
      </c>
      <c r="J65" t="s">
        <v>37</v>
      </c>
      <c r="K65" t="s">
        <v>37</v>
      </c>
      <c r="L65" t="s">
        <v>42</v>
      </c>
      <c r="M65" s="6">
        <v>45288.497986111113</v>
      </c>
      <c r="N65" t="s">
        <v>4264</v>
      </c>
      <c r="O65" s="1">
        <v>45288.206319444442</v>
      </c>
      <c r="P65" s="1">
        <v>45288.497997685183</v>
      </c>
      <c r="Q65" t="s">
        <v>4264</v>
      </c>
      <c r="R65" s="6">
        <v>45288.416666666664</v>
      </c>
      <c r="S65" t="s">
        <v>43</v>
      </c>
      <c r="T65">
        <v>23.8</v>
      </c>
      <c r="U65">
        <v>0</v>
      </c>
      <c r="V65">
        <v>0</v>
      </c>
      <c r="W65">
        <v>1.19</v>
      </c>
      <c r="X65">
        <v>0</v>
      </c>
      <c r="Y65">
        <v>0</v>
      </c>
      <c r="Z65">
        <v>24.99</v>
      </c>
      <c r="AA65" t="s">
        <v>44</v>
      </c>
      <c r="AB65" t="s">
        <v>115</v>
      </c>
      <c r="AC65" t="s">
        <v>116</v>
      </c>
      <c r="AD65" t="s">
        <v>37</v>
      </c>
      <c r="AE65" t="s">
        <v>37</v>
      </c>
      <c r="AF65" t="s">
        <v>37</v>
      </c>
      <c r="AG65" t="s">
        <v>37</v>
      </c>
      <c r="AH65" t="s">
        <v>335</v>
      </c>
      <c r="AI65" t="s">
        <v>37</v>
      </c>
    </row>
    <row r="66" spans="1:35" x14ac:dyDescent="0.25">
      <c r="A66" t="s">
        <v>338</v>
      </c>
      <c r="B66" t="s">
        <v>34</v>
      </c>
      <c r="C66" t="s">
        <v>335</v>
      </c>
      <c r="D66" t="s">
        <v>336</v>
      </c>
      <c r="E66" t="s">
        <v>37</v>
      </c>
      <c r="F66" t="s">
        <v>337</v>
      </c>
      <c r="G66" t="s">
        <v>39</v>
      </c>
      <c r="H66" t="s">
        <v>40</v>
      </c>
      <c r="I66" t="s">
        <v>41</v>
      </c>
      <c r="J66" t="s">
        <v>37</v>
      </c>
      <c r="K66" t="s">
        <v>37</v>
      </c>
      <c r="L66" t="s">
        <v>42</v>
      </c>
      <c r="M66" s="6">
        <v>45288.498356481483</v>
      </c>
      <c r="N66" t="s">
        <v>4264</v>
      </c>
      <c r="O66" s="1">
        <v>45288.206689814811</v>
      </c>
      <c r="P66" s="1">
        <v>45288.498368055552</v>
      </c>
      <c r="Q66" t="s">
        <v>4264</v>
      </c>
      <c r="R66" s="6">
        <v>45288.416666666664</v>
      </c>
      <c r="S66" t="s">
        <v>43</v>
      </c>
      <c r="T66">
        <v>23.8</v>
      </c>
      <c r="U66">
        <v>0</v>
      </c>
      <c r="V66">
        <v>0</v>
      </c>
      <c r="W66">
        <v>1.19</v>
      </c>
      <c r="X66">
        <v>0</v>
      </c>
      <c r="Y66">
        <v>0</v>
      </c>
      <c r="Z66">
        <v>24.99</v>
      </c>
      <c r="AA66" t="s">
        <v>44</v>
      </c>
      <c r="AB66" t="s">
        <v>115</v>
      </c>
      <c r="AC66" t="s">
        <v>116</v>
      </c>
      <c r="AD66" t="s">
        <v>37</v>
      </c>
      <c r="AE66" t="s">
        <v>37</v>
      </c>
      <c r="AF66" t="s">
        <v>37</v>
      </c>
      <c r="AG66" t="s">
        <v>37</v>
      </c>
      <c r="AH66" t="s">
        <v>335</v>
      </c>
      <c r="AI66" t="s">
        <v>37</v>
      </c>
    </row>
    <row r="67" spans="1:35" x14ac:dyDescent="0.25">
      <c r="A67" t="s">
        <v>339</v>
      </c>
      <c r="B67" t="s">
        <v>34</v>
      </c>
      <c r="C67" t="s">
        <v>335</v>
      </c>
      <c r="D67" t="s">
        <v>336</v>
      </c>
      <c r="E67" t="s">
        <v>37</v>
      </c>
      <c r="F67" t="s">
        <v>337</v>
      </c>
      <c r="G67" t="s">
        <v>39</v>
      </c>
      <c r="H67" t="s">
        <v>40</v>
      </c>
      <c r="I67" t="s">
        <v>41</v>
      </c>
      <c r="J67" t="s">
        <v>37</v>
      </c>
      <c r="K67" t="s">
        <v>37</v>
      </c>
      <c r="L67" t="s">
        <v>42</v>
      </c>
      <c r="M67" s="6">
        <v>45288.498796296299</v>
      </c>
      <c r="N67" t="s">
        <v>4264</v>
      </c>
      <c r="O67" s="1">
        <v>45288.207129629627</v>
      </c>
      <c r="P67" s="1">
        <v>45288.498819444445</v>
      </c>
      <c r="Q67" t="s">
        <v>4264</v>
      </c>
      <c r="R67" s="6">
        <v>45288.416666666664</v>
      </c>
      <c r="S67" t="s">
        <v>43</v>
      </c>
      <c r="T67">
        <v>23.8</v>
      </c>
      <c r="U67">
        <v>0</v>
      </c>
      <c r="V67">
        <v>0</v>
      </c>
      <c r="W67">
        <v>1.19</v>
      </c>
      <c r="X67">
        <v>0</v>
      </c>
      <c r="Y67">
        <v>0</v>
      </c>
      <c r="Z67">
        <v>24.99</v>
      </c>
      <c r="AA67" t="s">
        <v>44</v>
      </c>
      <c r="AB67" t="s">
        <v>115</v>
      </c>
      <c r="AC67" t="s">
        <v>116</v>
      </c>
      <c r="AD67" t="s">
        <v>37</v>
      </c>
      <c r="AE67" t="s">
        <v>37</v>
      </c>
      <c r="AF67" t="s">
        <v>37</v>
      </c>
      <c r="AG67" t="s">
        <v>37</v>
      </c>
      <c r="AH67" t="s">
        <v>335</v>
      </c>
      <c r="AI67" t="s">
        <v>37</v>
      </c>
    </row>
    <row r="68" spans="1:35" x14ac:dyDescent="0.25">
      <c r="A68" t="s">
        <v>350</v>
      </c>
      <c r="B68" t="s">
        <v>34</v>
      </c>
      <c r="C68" t="s">
        <v>335</v>
      </c>
      <c r="D68" t="s">
        <v>336</v>
      </c>
      <c r="E68" t="s">
        <v>37</v>
      </c>
      <c r="F68" t="s">
        <v>337</v>
      </c>
      <c r="G68" t="s">
        <v>39</v>
      </c>
      <c r="H68" t="s">
        <v>40</v>
      </c>
      <c r="I68" t="s">
        <v>41</v>
      </c>
      <c r="J68" t="s">
        <v>37</v>
      </c>
      <c r="K68" t="s">
        <v>37</v>
      </c>
      <c r="L68" t="s">
        <v>42</v>
      </c>
      <c r="M68" s="6">
        <v>45288.500416666669</v>
      </c>
      <c r="N68" t="s">
        <v>4264</v>
      </c>
      <c r="O68" s="1">
        <v>45288.208749999998</v>
      </c>
      <c r="P68" s="1">
        <v>45288.500474537039</v>
      </c>
      <c r="Q68" t="s">
        <v>4264</v>
      </c>
      <c r="R68" s="6">
        <v>45288.416666666664</v>
      </c>
      <c r="S68" t="s">
        <v>43</v>
      </c>
      <c r="T68">
        <v>23.8</v>
      </c>
      <c r="U68">
        <v>0</v>
      </c>
      <c r="V68">
        <v>23.8</v>
      </c>
      <c r="W68">
        <v>1.19</v>
      </c>
      <c r="X68">
        <v>0</v>
      </c>
      <c r="Y68">
        <v>0</v>
      </c>
      <c r="Z68">
        <v>24.99</v>
      </c>
      <c r="AA68" t="s">
        <v>44</v>
      </c>
      <c r="AB68" t="s">
        <v>45</v>
      </c>
      <c r="AC68" t="s">
        <v>46</v>
      </c>
      <c r="AD68" t="s">
        <v>37</v>
      </c>
      <c r="AE68" t="s">
        <v>37</v>
      </c>
      <c r="AF68" t="s">
        <v>351</v>
      </c>
      <c r="AG68" t="s">
        <v>37</v>
      </c>
      <c r="AH68" t="s">
        <v>335</v>
      </c>
      <c r="AI68" t="s">
        <v>37</v>
      </c>
    </row>
    <row r="69" spans="1:35" x14ac:dyDescent="0.25">
      <c r="A69" t="s">
        <v>157</v>
      </c>
      <c r="B69" t="s">
        <v>34</v>
      </c>
      <c r="C69" t="s">
        <v>158</v>
      </c>
      <c r="D69" t="s">
        <v>159</v>
      </c>
      <c r="E69" t="s">
        <v>37</v>
      </c>
      <c r="F69" t="s">
        <v>160</v>
      </c>
      <c r="G69" t="s">
        <v>39</v>
      </c>
      <c r="H69" t="s">
        <v>40</v>
      </c>
      <c r="I69" t="s">
        <v>41</v>
      </c>
      <c r="J69" t="s">
        <v>37</v>
      </c>
      <c r="K69" t="s">
        <v>37</v>
      </c>
      <c r="L69" t="s">
        <v>42</v>
      </c>
      <c r="M69" s="6">
        <v>45289.291666666664</v>
      </c>
      <c r="N69" t="s">
        <v>4268</v>
      </c>
      <c r="O69" s="1">
        <v>45289</v>
      </c>
      <c r="P69" s="1">
        <v>45282.478900462964</v>
      </c>
      <c r="Q69" t="s">
        <v>4268</v>
      </c>
      <c r="R69" s="6">
        <v>45289.416666666664</v>
      </c>
      <c r="S69" t="s">
        <v>43</v>
      </c>
      <c r="T69">
        <v>23.8</v>
      </c>
      <c r="U69">
        <v>0</v>
      </c>
      <c r="V69">
        <v>23.8</v>
      </c>
      <c r="W69">
        <v>1.19</v>
      </c>
      <c r="X69">
        <v>0</v>
      </c>
      <c r="Y69">
        <v>0</v>
      </c>
      <c r="Z69">
        <v>24.99</v>
      </c>
      <c r="AA69" t="s">
        <v>44</v>
      </c>
      <c r="AB69" t="s">
        <v>45</v>
      </c>
      <c r="AC69" t="s">
        <v>46</v>
      </c>
      <c r="AD69" t="s">
        <v>37</v>
      </c>
      <c r="AE69" t="s">
        <v>37</v>
      </c>
      <c r="AF69" t="s">
        <v>161</v>
      </c>
      <c r="AG69" t="s">
        <v>37</v>
      </c>
      <c r="AH69" t="s">
        <v>158</v>
      </c>
      <c r="AI69" t="s">
        <v>37</v>
      </c>
    </row>
    <row r="70" spans="1:35" x14ac:dyDescent="0.25">
      <c r="A70" t="s">
        <v>225</v>
      </c>
      <c r="B70" t="s">
        <v>34</v>
      </c>
      <c r="C70" t="s">
        <v>226</v>
      </c>
      <c r="D70" t="s">
        <v>227</v>
      </c>
      <c r="E70" t="s">
        <v>37</v>
      </c>
      <c r="F70" t="s">
        <v>228</v>
      </c>
      <c r="G70" t="s">
        <v>39</v>
      </c>
      <c r="H70" t="s">
        <v>40</v>
      </c>
      <c r="I70" t="s">
        <v>41</v>
      </c>
      <c r="J70" t="s">
        <v>37</v>
      </c>
      <c r="K70" t="s">
        <v>37</v>
      </c>
      <c r="L70" t="s">
        <v>42</v>
      </c>
      <c r="M70" s="6">
        <v>45289.291666666664</v>
      </c>
      <c r="N70" t="s">
        <v>4268</v>
      </c>
      <c r="O70" s="1">
        <v>45289</v>
      </c>
      <c r="P70" s="1">
        <v>45286.563969907409</v>
      </c>
      <c r="Q70" t="s">
        <v>4268</v>
      </c>
      <c r="R70" s="6">
        <v>45289.416666666664</v>
      </c>
      <c r="S70" t="s">
        <v>43</v>
      </c>
      <c r="T70">
        <v>47.6</v>
      </c>
      <c r="U70">
        <v>0</v>
      </c>
      <c r="V70">
        <v>47.6</v>
      </c>
      <c r="W70">
        <v>2.38</v>
      </c>
      <c r="X70">
        <v>0</v>
      </c>
      <c r="Y70">
        <v>0</v>
      </c>
      <c r="Z70">
        <v>49.98</v>
      </c>
      <c r="AA70" t="s">
        <v>44</v>
      </c>
      <c r="AB70" t="s">
        <v>45</v>
      </c>
      <c r="AC70" t="s">
        <v>46</v>
      </c>
      <c r="AD70" t="s">
        <v>37</v>
      </c>
      <c r="AE70" t="s">
        <v>37</v>
      </c>
      <c r="AF70" t="s">
        <v>229</v>
      </c>
      <c r="AG70" t="s">
        <v>37</v>
      </c>
      <c r="AH70" t="s">
        <v>226</v>
      </c>
      <c r="AI70" t="s">
        <v>37</v>
      </c>
    </row>
    <row r="71" spans="1:35" x14ac:dyDescent="0.25">
      <c r="A71" t="s">
        <v>239</v>
      </c>
      <c r="B71" t="s">
        <v>34</v>
      </c>
      <c r="C71" t="s">
        <v>240</v>
      </c>
      <c r="D71" t="s">
        <v>241</v>
      </c>
      <c r="E71" t="s">
        <v>37</v>
      </c>
      <c r="F71" t="s">
        <v>242</v>
      </c>
      <c r="G71" t="s">
        <v>39</v>
      </c>
      <c r="H71" t="s">
        <v>40</v>
      </c>
      <c r="I71" t="s">
        <v>41</v>
      </c>
      <c r="J71" t="s">
        <v>37</v>
      </c>
      <c r="K71" t="s">
        <v>37</v>
      </c>
      <c r="L71" t="s">
        <v>42</v>
      </c>
      <c r="M71" s="6">
        <v>45289.291666666664</v>
      </c>
      <c r="N71" t="s">
        <v>4268</v>
      </c>
      <c r="O71" s="1">
        <v>45289</v>
      </c>
      <c r="P71" s="1">
        <v>45286.678900462961</v>
      </c>
      <c r="Q71" t="s">
        <v>4268</v>
      </c>
      <c r="R71" s="6">
        <v>45289.416666666664</v>
      </c>
      <c r="S71" t="s">
        <v>43</v>
      </c>
      <c r="T71">
        <v>23.8</v>
      </c>
      <c r="U71">
        <v>0</v>
      </c>
      <c r="V71">
        <v>23.8</v>
      </c>
      <c r="W71">
        <v>1.19</v>
      </c>
      <c r="X71">
        <v>0</v>
      </c>
      <c r="Y71">
        <v>0</v>
      </c>
      <c r="Z71">
        <v>24.99</v>
      </c>
      <c r="AA71" t="s">
        <v>44</v>
      </c>
      <c r="AB71" t="s">
        <v>45</v>
      </c>
      <c r="AC71" t="s">
        <v>46</v>
      </c>
      <c r="AD71" t="s">
        <v>37</v>
      </c>
      <c r="AE71" t="s">
        <v>37</v>
      </c>
      <c r="AF71" t="s">
        <v>243</v>
      </c>
      <c r="AG71" t="s">
        <v>37</v>
      </c>
      <c r="AH71" t="s">
        <v>240</v>
      </c>
      <c r="AI71" t="s">
        <v>37</v>
      </c>
    </row>
    <row r="72" spans="1:35" x14ac:dyDescent="0.25">
      <c r="A72" t="s">
        <v>264</v>
      </c>
      <c r="B72" t="s">
        <v>34</v>
      </c>
      <c r="C72" t="s">
        <v>265</v>
      </c>
      <c r="D72" t="s">
        <v>266</v>
      </c>
      <c r="E72" t="s">
        <v>37</v>
      </c>
      <c r="F72" t="s">
        <v>267</v>
      </c>
      <c r="G72" t="s">
        <v>39</v>
      </c>
      <c r="H72" t="s">
        <v>40</v>
      </c>
      <c r="I72" t="s">
        <v>41</v>
      </c>
      <c r="J72" t="s">
        <v>37</v>
      </c>
      <c r="K72" t="s">
        <v>37</v>
      </c>
      <c r="L72" t="s">
        <v>42</v>
      </c>
      <c r="M72" s="6">
        <v>45289.291666666664</v>
      </c>
      <c r="N72" t="s">
        <v>4268</v>
      </c>
      <c r="O72" s="1">
        <v>45289</v>
      </c>
      <c r="P72" s="1">
        <v>45287.521643518521</v>
      </c>
      <c r="Q72" t="s">
        <v>4268</v>
      </c>
      <c r="R72" s="6">
        <v>45289.416666666664</v>
      </c>
      <c r="S72" t="s">
        <v>43</v>
      </c>
      <c r="T72">
        <v>47.6</v>
      </c>
      <c r="U72">
        <v>0</v>
      </c>
      <c r="V72">
        <v>47.6</v>
      </c>
      <c r="W72">
        <v>2.38</v>
      </c>
      <c r="X72">
        <v>0</v>
      </c>
      <c r="Y72">
        <v>0</v>
      </c>
      <c r="Z72">
        <v>49.98</v>
      </c>
      <c r="AA72" t="s">
        <v>44</v>
      </c>
      <c r="AB72" t="s">
        <v>45</v>
      </c>
      <c r="AC72" t="s">
        <v>46</v>
      </c>
      <c r="AD72" t="s">
        <v>37</v>
      </c>
      <c r="AE72" t="s">
        <v>37</v>
      </c>
      <c r="AF72" t="s">
        <v>268</v>
      </c>
      <c r="AG72" t="s">
        <v>37</v>
      </c>
      <c r="AH72" t="s">
        <v>265</v>
      </c>
      <c r="AI72" t="s">
        <v>37</v>
      </c>
    </row>
    <row r="73" spans="1:35" x14ac:dyDescent="0.25">
      <c r="A73" t="s">
        <v>288</v>
      </c>
      <c r="B73" t="s">
        <v>34</v>
      </c>
      <c r="C73" t="s">
        <v>289</v>
      </c>
      <c r="D73" t="s">
        <v>290</v>
      </c>
      <c r="E73" t="s">
        <v>37</v>
      </c>
      <c r="F73" t="s">
        <v>291</v>
      </c>
      <c r="G73" t="s">
        <v>39</v>
      </c>
      <c r="H73" t="s">
        <v>40</v>
      </c>
      <c r="I73" t="s">
        <v>41</v>
      </c>
      <c r="J73" t="s">
        <v>37</v>
      </c>
      <c r="K73" t="s">
        <v>37</v>
      </c>
      <c r="L73" t="s">
        <v>42</v>
      </c>
      <c r="M73" s="6">
        <v>45289.291666666664</v>
      </c>
      <c r="N73" t="s">
        <v>4268</v>
      </c>
      <c r="O73" s="1">
        <v>45289</v>
      </c>
      <c r="P73" s="1">
        <v>45287.924131944441</v>
      </c>
      <c r="Q73" t="s">
        <v>4268</v>
      </c>
      <c r="R73" s="6">
        <v>45289.416666666664</v>
      </c>
      <c r="S73" t="s">
        <v>43</v>
      </c>
      <c r="T73">
        <v>23.8</v>
      </c>
      <c r="U73">
        <v>0</v>
      </c>
      <c r="V73">
        <v>23.8</v>
      </c>
      <c r="W73">
        <v>1.19</v>
      </c>
      <c r="X73">
        <v>0</v>
      </c>
      <c r="Y73">
        <v>0</v>
      </c>
      <c r="Z73">
        <v>24.99</v>
      </c>
      <c r="AA73" t="s">
        <v>44</v>
      </c>
      <c r="AB73" t="s">
        <v>45</v>
      </c>
      <c r="AC73" t="s">
        <v>46</v>
      </c>
      <c r="AD73" t="s">
        <v>37</v>
      </c>
      <c r="AE73" t="s">
        <v>37</v>
      </c>
      <c r="AF73" t="s">
        <v>292</v>
      </c>
      <c r="AG73" t="s">
        <v>37</v>
      </c>
      <c r="AH73" t="s">
        <v>289</v>
      </c>
      <c r="AI73" t="s">
        <v>37</v>
      </c>
    </row>
    <row r="74" spans="1:35" x14ac:dyDescent="0.25">
      <c r="A74" t="s">
        <v>352</v>
      </c>
      <c r="B74" t="s">
        <v>34</v>
      </c>
      <c r="C74" t="s">
        <v>353</v>
      </c>
      <c r="D74" t="s">
        <v>354</v>
      </c>
      <c r="E74" t="s">
        <v>37</v>
      </c>
      <c r="F74" t="s">
        <v>355</v>
      </c>
      <c r="G74" t="s">
        <v>39</v>
      </c>
      <c r="H74" t="s">
        <v>40</v>
      </c>
      <c r="I74" t="s">
        <v>41</v>
      </c>
      <c r="J74" t="s">
        <v>37</v>
      </c>
      <c r="K74" t="s">
        <v>37</v>
      </c>
      <c r="L74" t="s">
        <v>42</v>
      </c>
      <c r="M74" s="6">
        <v>45289.291666666664</v>
      </c>
      <c r="N74" t="s">
        <v>4268</v>
      </c>
      <c r="O74" s="1">
        <v>45289</v>
      </c>
      <c r="P74" s="1">
        <v>45288.742789351854</v>
      </c>
      <c r="Q74" t="s">
        <v>4268</v>
      </c>
      <c r="R74" s="6">
        <v>45289.416666666664</v>
      </c>
      <c r="S74" t="s">
        <v>43</v>
      </c>
      <c r="T74">
        <v>23.8</v>
      </c>
      <c r="U74">
        <v>0</v>
      </c>
      <c r="V74">
        <v>23.8</v>
      </c>
      <c r="W74">
        <v>1.19</v>
      </c>
      <c r="X74">
        <v>0</v>
      </c>
      <c r="Y74">
        <v>0</v>
      </c>
      <c r="Z74">
        <v>24.99</v>
      </c>
      <c r="AA74" t="s">
        <v>44</v>
      </c>
      <c r="AB74" t="s">
        <v>45</v>
      </c>
      <c r="AC74" t="s">
        <v>46</v>
      </c>
      <c r="AD74" t="s">
        <v>37</v>
      </c>
      <c r="AE74" t="s">
        <v>37</v>
      </c>
      <c r="AF74" t="s">
        <v>356</v>
      </c>
      <c r="AG74" t="s">
        <v>37</v>
      </c>
      <c r="AH74" t="s">
        <v>353</v>
      </c>
      <c r="AI74" t="s">
        <v>37</v>
      </c>
    </row>
    <row r="75" spans="1:35" x14ac:dyDescent="0.25">
      <c r="A75" t="s">
        <v>357</v>
      </c>
      <c r="B75" t="s">
        <v>34</v>
      </c>
      <c r="C75" t="s">
        <v>358</v>
      </c>
      <c r="D75" t="s">
        <v>359</v>
      </c>
      <c r="E75" t="s">
        <v>37</v>
      </c>
      <c r="F75" t="s">
        <v>360</v>
      </c>
      <c r="G75" t="s">
        <v>39</v>
      </c>
      <c r="H75" t="s">
        <v>40</v>
      </c>
      <c r="I75" t="s">
        <v>41</v>
      </c>
      <c r="J75" t="s">
        <v>37</v>
      </c>
      <c r="K75" t="s">
        <v>37</v>
      </c>
      <c r="L75" t="s">
        <v>42</v>
      </c>
      <c r="M75" s="6">
        <v>45289.291666666664</v>
      </c>
      <c r="N75" t="s">
        <v>4268</v>
      </c>
      <c r="O75" s="1">
        <v>45289</v>
      </c>
      <c r="P75" s="1">
        <v>45288.854155092595</v>
      </c>
      <c r="Q75" t="s">
        <v>4268</v>
      </c>
      <c r="R75" s="6">
        <v>45289.416666666664</v>
      </c>
      <c r="S75" t="s">
        <v>43</v>
      </c>
      <c r="T75">
        <v>23.8</v>
      </c>
      <c r="U75">
        <v>0</v>
      </c>
      <c r="V75">
        <v>23.8</v>
      </c>
      <c r="W75">
        <v>1.19</v>
      </c>
      <c r="X75">
        <v>0</v>
      </c>
      <c r="Y75">
        <v>0</v>
      </c>
      <c r="Z75">
        <v>24.99</v>
      </c>
      <c r="AA75" t="s">
        <v>44</v>
      </c>
      <c r="AB75" t="s">
        <v>45</v>
      </c>
      <c r="AC75" t="s">
        <v>46</v>
      </c>
      <c r="AD75" t="s">
        <v>37</v>
      </c>
      <c r="AE75" t="s">
        <v>37</v>
      </c>
      <c r="AF75" t="s">
        <v>361</v>
      </c>
      <c r="AG75" t="s">
        <v>37</v>
      </c>
      <c r="AH75" t="s">
        <v>358</v>
      </c>
      <c r="AI75" t="s">
        <v>37</v>
      </c>
    </row>
    <row r="76" spans="1:35" x14ac:dyDescent="0.25">
      <c r="A76" t="s">
        <v>362</v>
      </c>
      <c r="B76" t="s">
        <v>34</v>
      </c>
      <c r="C76" t="s">
        <v>280</v>
      </c>
      <c r="D76" t="s">
        <v>281</v>
      </c>
      <c r="E76" t="s">
        <v>37</v>
      </c>
      <c r="F76" t="s">
        <v>282</v>
      </c>
      <c r="G76" t="s">
        <v>39</v>
      </c>
      <c r="H76" t="s">
        <v>40</v>
      </c>
      <c r="I76" t="s">
        <v>41</v>
      </c>
      <c r="J76" t="s">
        <v>37</v>
      </c>
      <c r="K76" t="s">
        <v>37</v>
      </c>
      <c r="L76" t="s">
        <v>42</v>
      </c>
      <c r="M76" s="6">
        <v>45289.291666666664</v>
      </c>
      <c r="N76" t="s">
        <v>4268</v>
      </c>
      <c r="O76" s="1">
        <v>45289</v>
      </c>
      <c r="P76" s="1">
        <v>45288.918287037035</v>
      </c>
      <c r="Q76" t="s">
        <v>4268</v>
      </c>
      <c r="R76" s="6">
        <v>45289.416666666664</v>
      </c>
      <c r="S76" t="s">
        <v>43</v>
      </c>
      <c r="T76">
        <v>23.8</v>
      </c>
      <c r="U76">
        <v>0</v>
      </c>
      <c r="V76">
        <v>23.8</v>
      </c>
      <c r="W76">
        <v>1.19</v>
      </c>
      <c r="X76">
        <v>0</v>
      </c>
      <c r="Y76">
        <v>0</v>
      </c>
      <c r="Z76">
        <v>24.99</v>
      </c>
      <c r="AA76" t="s">
        <v>44</v>
      </c>
      <c r="AB76" t="s">
        <v>45</v>
      </c>
      <c r="AC76" t="s">
        <v>46</v>
      </c>
      <c r="AD76" t="s">
        <v>37</v>
      </c>
      <c r="AE76" t="s">
        <v>37</v>
      </c>
      <c r="AF76" t="s">
        <v>363</v>
      </c>
      <c r="AG76" t="s">
        <v>37</v>
      </c>
      <c r="AH76" t="s">
        <v>280</v>
      </c>
      <c r="AI76" t="s">
        <v>37</v>
      </c>
    </row>
    <row r="77" spans="1:35" x14ac:dyDescent="0.25">
      <c r="A77" t="s">
        <v>376</v>
      </c>
      <c r="B77" t="s">
        <v>34</v>
      </c>
      <c r="C77" t="s">
        <v>377</v>
      </c>
      <c r="D77" t="s">
        <v>378</v>
      </c>
      <c r="E77" t="s">
        <v>37</v>
      </c>
      <c r="F77" t="s">
        <v>379</v>
      </c>
      <c r="G77" t="s">
        <v>39</v>
      </c>
      <c r="H77" t="s">
        <v>40</v>
      </c>
      <c r="I77" t="s">
        <v>41</v>
      </c>
      <c r="J77" t="s">
        <v>37</v>
      </c>
      <c r="K77" t="s">
        <v>37</v>
      </c>
      <c r="L77" t="s">
        <v>42</v>
      </c>
      <c r="M77" s="6">
        <v>45289.291666666664</v>
      </c>
      <c r="N77" t="s">
        <v>4268</v>
      </c>
      <c r="O77" s="1">
        <v>45289</v>
      </c>
      <c r="P77" s="1">
        <v>45281.446145833332</v>
      </c>
      <c r="Q77" t="s">
        <v>4268</v>
      </c>
      <c r="R77" s="6">
        <v>45289.416666666664</v>
      </c>
      <c r="S77" t="s">
        <v>43</v>
      </c>
      <c r="T77">
        <v>19.04</v>
      </c>
      <c r="U77">
        <v>0</v>
      </c>
      <c r="V77">
        <v>19.04</v>
      </c>
      <c r="W77">
        <v>0.95</v>
      </c>
      <c r="X77">
        <v>0</v>
      </c>
      <c r="Y77">
        <v>0</v>
      </c>
      <c r="Z77">
        <v>19.989999999999998</v>
      </c>
      <c r="AA77" t="s">
        <v>44</v>
      </c>
      <c r="AB77" t="s">
        <v>45</v>
      </c>
      <c r="AC77" t="s">
        <v>46</v>
      </c>
      <c r="AD77" t="s">
        <v>37</v>
      </c>
      <c r="AE77" t="s">
        <v>37</v>
      </c>
      <c r="AF77" t="s">
        <v>380</v>
      </c>
      <c r="AG77" t="s">
        <v>37</v>
      </c>
      <c r="AH77" t="s">
        <v>377</v>
      </c>
      <c r="AI77" t="s">
        <v>37</v>
      </c>
    </row>
    <row r="78" spans="1:35" x14ac:dyDescent="0.25">
      <c r="A78" t="s">
        <v>369</v>
      </c>
      <c r="B78" t="s">
        <v>34</v>
      </c>
      <c r="C78" t="s">
        <v>299</v>
      </c>
      <c r="D78" t="s">
        <v>300</v>
      </c>
      <c r="E78" t="s">
        <v>37</v>
      </c>
      <c r="F78" t="s">
        <v>305</v>
      </c>
      <c r="G78" t="s">
        <v>39</v>
      </c>
      <c r="H78" t="s">
        <v>40</v>
      </c>
      <c r="I78" t="s">
        <v>41</v>
      </c>
      <c r="J78" t="s">
        <v>37</v>
      </c>
      <c r="K78" t="s">
        <v>37</v>
      </c>
      <c r="L78" t="s">
        <v>42</v>
      </c>
      <c r="M78" s="6">
        <v>45289.323078703703</v>
      </c>
      <c r="N78" t="s">
        <v>4268</v>
      </c>
      <c r="O78" s="1">
        <v>45289.031412037039</v>
      </c>
      <c r="P78" s="1">
        <v>45289.323148148149</v>
      </c>
      <c r="Q78" t="s">
        <v>4268</v>
      </c>
      <c r="R78" s="6">
        <v>45289.416666666664</v>
      </c>
      <c r="S78" t="s">
        <v>43</v>
      </c>
      <c r="T78">
        <v>23.8</v>
      </c>
      <c r="U78">
        <v>0</v>
      </c>
      <c r="V78">
        <v>23.8</v>
      </c>
      <c r="W78">
        <v>1.19</v>
      </c>
      <c r="X78">
        <v>0</v>
      </c>
      <c r="Y78">
        <v>0</v>
      </c>
      <c r="Z78">
        <v>24.99</v>
      </c>
      <c r="AA78" t="s">
        <v>44</v>
      </c>
      <c r="AB78" t="s">
        <v>45</v>
      </c>
      <c r="AC78" t="s">
        <v>46</v>
      </c>
      <c r="AD78" t="s">
        <v>37</v>
      </c>
      <c r="AE78" t="s">
        <v>37</v>
      </c>
      <c r="AF78" t="s">
        <v>370</v>
      </c>
      <c r="AG78" t="s">
        <v>37</v>
      </c>
      <c r="AH78" t="s">
        <v>303</v>
      </c>
      <c r="AI78" t="s">
        <v>37</v>
      </c>
    </row>
    <row r="79" spans="1:35" x14ac:dyDescent="0.25">
      <c r="A79" t="s">
        <v>371</v>
      </c>
      <c r="B79" t="s">
        <v>34</v>
      </c>
      <c r="C79" t="s">
        <v>299</v>
      </c>
      <c r="D79" t="s">
        <v>300</v>
      </c>
      <c r="E79" t="s">
        <v>37</v>
      </c>
      <c r="F79" t="s">
        <v>301</v>
      </c>
      <c r="G79" t="s">
        <v>39</v>
      </c>
      <c r="H79" t="s">
        <v>40</v>
      </c>
      <c r="I79" t="s">
        <v>41</v>
      </c>
      <c r="J79" t="s">
        <v>37</v>
      </c>
      <c r="K79" t="s">
        <v>37</v>
      </c>
      <c r="L79" t="s">
        <v>42</v>
      </c>
      <c r="M79" s="6">
        <v>45289.324155092596</v>
      </c>
      <c r="N79" t="s">
        <v>4268</v>
      </c>
      <c r="O79" s="1">
        <v>45289.032488425924</v>
      </c>
      <c r="P79" s="1">
        <v>45289.324212962965</v>
      </c>
      <c r="Q79" t="s">
        <v>4268</v>
      </c>
      <c r="R79" s="6">
        <v>45289.416666666664</v>
      </c>
      <c r="S79" t="s">
        <v>43</v>
      </c>
      <c r="T79">
        <v>23.8</v>
      </c>
      <c r="U79">
        <v>0</v>
      </c>
      <c r="V79">
        <v>23.8</v>
      </c>
      <c r="W79">
        <v>1.19</v>
      </c>
      <c r="X79">
        <v>0</v>
      </c>
      <c r="Y79">
        <v>0</v>
      </c>
      <c r="Z79">
        <v>24.99</v>
      </c>
      <c r="AA79" t="s">
        <v>44</v>
      </c>
      <c r="AB79" t="s">
        <v>45</v>
      </c>
      <c r="AC79" t="s">
        <v>46</v>
      </c>
      <c r="AD79" t="s">
        <v>37</v>
      </c>
      <c r="AE79" t="s">
        <v>37</v>
      </c>
      <c r="AF79" t="s">
        <v>372</v>
      </c>
      <c r="AG79" t="s">
        <v>37</v>
      </c>
      <c r="AH79" t="s">
        <v>303</v>
      </c>
      <c r="AI79" t="s">
        <v>37</v>
      </c>
    </row>
    <row r="80" spans="1:35" x14ac:dyDescent="0.25">
      <c r="A80" t="s">
        <v>373</v>
      </c>
      <c r="B80" t="s">
        <v>34</v>
      </c>
      <c r="C80" t="s">
        <v>294</v>
      </c>
      <c r="D80" t="s">
        <v>295</v>
      </c>
      <c r="E80" t="s">
        <v>37</v>
      </c>
      <c r="F80" t="s">
        <v>374</v>
      </c>
      <c r="G80" t="s">
        <v>39</v>
      </c>
      <c r="H80" t="s">
        <v>40</v>
      </c>
      <c r="I80" t="s">
        <v>41</v>
      </c>
      <c r="J80" t="s">
        <v>37</v>
      </c>
      <c r="K80" t="s">
        <v>37</v>
      </c>
      <c r="L80" t="s">
        <v>42</v>
      </c>
      <c r="M80" s="6">
        <v>45289.349224537036</v>
      </c>
      <c r="N80" t="s">
        <v>4268</v>
      </c>
      <c r="O80" s="1">
        <v>45289.057557870372</v>
      </c>
      <c r="P80" s="1">
        <v>45289.349305555559</v>
      </c>
      <c r="Q80" t="s">
        <v>4268</v>
      </c>
      <c r="R80" s="6">
        <v>45289.416666666664</v>
      </c>
      <c r="S80" t="s">
        <v>43</v>
      </c>
      <c r="T80">
        <v>23.8</v>
      </c>
      <c r="U80">
        <v>0</v>
      </c>
      <c r="V80">
        <v>23.8</v>
      </c>
      <c r="W80">
        <v>1.19</v>
      </c>
      <c r="X80">
        <v>0</v>
      </c>
      <c r="Y80">
        <v>0</v>
      </c>
      <c r="Z80">
        <v>24.99</v>
      </c>
      <c r="AA80" t="s">
        <v>44</v>
      </c>
      <c r="AB80" t="s">
        <v>45</v>
      </c>
      <c r="AC80" t="s">
        <v>46</v>
      </c>
      <c r="AD80" t="s">
        <v>37</v>
      </c>
      <c r="AE80" t="s">
        <v>37</v>
      </c>
      <c r="AF80" t="s">
        <v>375</v>
      </c>
      <c r="AG80" t="s">
        <v>37</v>
      </c>
      <c r="AH80" t="s">
        <v>294</v>
      </c>
      <c r="AI80" t="s">
        <v>37</v>
      </c>
    </row>
    <row r="81" spans="1:35" x14ac:dyDescent="0.25">
      <c r="A81" t="s">
        <v>141</v>
      </c>
      <c r="B81" t="s">
        <v>34</v>
      </c>
      <c r="C81" t="s">
        <v>142</v>
      </c>
      <c r="D81" t="s">
        <v>143</v>
      </c>
      <c r="E81" t="s">
        <v>37</v>
      </c>
      <c r="F81" t="s">
        <v>144</v>
      </c>
      <c r="G81" t="s">
        <v>39</v>
      </c>
      <c r="H81" t="s">
        <v>40</v>
      </c>
      <c r="I81" t="s">
        <v>41</v>
      </c>
      <c r="J81" t="s">
        <v>37</v>
      </c>
      <c r="K81" t="s">
        <v>37</v>
      </c>
      <c r="L81" t="s">
        <v>42</v>
      </c>
      <c r="M81" s="6">
        <v>45290.291666666664</v>
      </c>
      <c r="N81" t="s">
        <v>4265</v>
      </c>
      <c r="O81" s="1">
        <v>45290</v>
      </c>
      <c r="P81" s="1">
        <v>45279.413275462961</v>
      </c>
      <c r="Q81" t="s">
        <v>4265</v>
      </c>
      <c r="R81" s="6">
        <v>45290.416666666664</v>
      </c>
      <c r="S81" t="s">
        <v>43</v>
      </c>
      <c r="T81">
        <v>23.8</v>
      </c>
      <c r="U81">
        <v>0</v>
      </c>
      <c r="V81">
        <v>23.8</v>
      </c>
      <c r="W81">
        <v>1.19</v>
      </c>
      <c r="X81">
        <v>0</v>
      </c>
      <c r="Y81">
        <v>0</v>
      </c>
      <c r="Z81">
        <v>24.99</v>
      </c>
      <c r="AA81" t="s">
        <v>44</v>
      </c>
      <c r="AB81" t="s">
        <v>45</v>
      </c>
      <c r="AC81" t="s">
        <v>46</v>
      </c>
      <c r="AD81" t="s">
        <v>37</v>
      </c>
      <c r="AE81" t="s">
        <v>37</v>
      </c>
      <c r="AF81" t="s">
        <v>145</v>
      </c>
      <c r="AG81" t="s">
        <v>37</v>
      </c>
      <c r="AH81" t="s">
        <v>142</v>
      </c>
      <c r="AI81" t="s">
        <v>37</v>
      </c>
    </row>
    <row r="82" spans="1:35" x14ac:dyDescent="0.25">
      <c r="A82" t="s">
        <v>230</v>
      </c>
      <c r="B82" t="s">
        <v>34</v>
      </c>
      <c r="C82" t="s">
        <v>226</v>
      </c>
      <c r="D82" t="s">
        <v>227</v>
      </c>
      <c r="E82" t="s">
        <v>37</v>
      </c>
      <c r="F82" t="s">
        <v>228</v>
      </c>
      <c r="G82" t="s">
        <v>39</v>
      </c>
      <c r="H82" t="s">
        <v>40</v>
      </c>
      <c r="I82" t="s">
        <v>41</v>
      </c>
      <c r="J82" t="s">
        <v>37</v>
      </c>
      <c r="K82" t="s">
        <v>37</v>
      </c>
      <c r="L82" t="s">
        <v>42</v>
      </c>
      <c r="M82" s="6">
        <v>45290.291666666664</v>
      </c>
      <c r="N82" t="s">
        <v>4265</v>
      </c>
      <c r="O82" s="1">
        <v>45290</v>
      </c>
      <c r="P82" s="1">
        <v>45286.565138888887</v>
      </c>
      <c r="Q82" t="s">
        <v>4265</v>
      </c>
      <c r="R82" s="6">
        <v>45290.416666666664</v>
      </c>
      <c r="S82" t="s">
        <v>43</v>
      </c>
      <c r="T82">
        <v>47.6</v>
      </c>
      <c r="U82">
        <v>0</v>
      </c>
      <c r="V82">
        <v>47.6</v>
      </c>
      <c r="W82">
        <v>2.38</v>
      </c>
      <c r="X82">
        <v>0</v>
      </c>
      <c r="Y82">
        <v>0</v>
      </c>
      <c r="Z82">
        <v>49.98</v>
      </c>
      <c r="AA82" t="s">
        <v>44</v>
      </c>
      <c r="AB82" t="s">
        <v>45</v>
      </c>
      <c r="AC82" t="s">
        <v>46</v>
      </c>
      <c r="AD82" t="s">
        <v>37</v>
      </c>
      <c r="AE82" t="s">
        <v>37</v>
      </c>
      <c r="AF82" t="s">
        <v>231</v>
      </c>
      <c r="AG82" t="s">
        <v>37</v>
      </c>
      <c r="AH82" t="s">
        <v>226</v>
      </c>
      <c r="AI82" t="s">
        <v>37</v>
      </c>
    </row>
    <row r="83" spans="1:35" x14ac:dyDescent="0.25">
      <c r="A83" t="s">
        <v>269</v>
      </c>
      <c r="B83" t="s">
        <v>34</v>
      </c>
      <c r="C83" t="s">
        <v>265</v>
      </c>
      <c r="D83" t="s">
        <v>266</v>
      </c>
      <c r="E83" t="s">
        <v>37</v>
      </c>
      <c r="F83" t="s">
        <v>267</v>
      </c>
      <c r="G83" t="s">
        <v>39</v>
      </c>
      <c r="H83" t="s">
        <v>40</v>
      </c>
      <c r="I83" t="s">
        <v>41</v>
      </c>
      <c r="J83" t="s">
        <v>37</v>
      </c>
      <c r="K83" t="s">
        <v>37</v>
      </c>
      <c r="L83" t="s">
        <v>42</v>
      </c>
      <c r="M83" s="6">
        <v>45290.291666666664</v>
      </c>
      <c r="N83" t="s">
        <v>4265</v>
      </c>
      <c r="O83" s="1">
        <v>45290</v>
      </c>
      <c r="P83" s="1">
        <v>45287.527071759258</v>
      </c>
      <c r="Q83" t="s">
        <v>4265</v>
      </c>
      <c r="R83" s="6">
        <v>45290.416666666664</v>
      </c>
      <c r="S83" t="s">
        <v>43</v>
      </c>
      <c r="T83">
        <v>23.8</v>
      </c>
      <c r="U83">
        <v>0</v>
      </c>
      <c r="V83">
        <v>23.8</v>
      </c>
      <c r="W83">
        <v>1.19</v>
      </c>
      <c r="X83">
        <v>0</v>
      </c>
      <c r="Y83">
        <v>0</v>
      </c>
      <c r="Z83">
        <v>24.99</v>
      </c>
      <c r="AA83" t="s">
        <v>44</v>
      </c>
      <c r="AB83" t="s">
        <v>45</v>
      </c>
      <c r="AC83" t="s">
        <v>46</v>
      </c>
      <c r="AD83" t="s">
        <v>37</v>
      </c>
      <c r="AE83" t="s">
        <v>37</v>
      </c>
      <c r="AF83" t="s">
        <v>270</v>
      </c>
      <c r="AG83" t="s">
        <v>37</v>
      </c>
      <c r="AH83" t="s">
        <v>265</v>
      </c>
      <c r="AI83" t="s">
        <v>37</v>
      </c>
    </row>
    <row r="84" spans="1:35" x14ac:dyDescent="0.25">
      <c r="A84" t="s">
        <v>318</v>
      </c>
      <c r="B84" t="s">
        <v>34</v>
      </c>
      <c r="C84" t="s">
        <v>319</v>
      </c>
      <c r="D84" t="s">
        <v>320</v>
      </c>
      <c r="E84" t="s">
        <v>37</v>
      </c>
      <c r="F84" t="s">
        <v>321</v>
      </c>
      <c r="G84" t="s">
        <v>39</v>
      </c>
      <c r="H84" t="s">
        <v>40</v>
      </c>
      <c r="I84" t="s">
        <v>41</v>
      </c>
      <c r="J84" t="s">
        <v>37</v>
      </c>
      <c r="K84" t="s">
        <v>37</v>
      </c>
      <c r="L84" t="s">
        <v>42</v>
      </c>
      <c r="M84" s="6">
        <v>45290.291666666664</v>
      </c>
      <c r="N84" t="s">
        <v>4265</v>
      </c>
      <c r="O84" s="1">
        <v>45290</v>
      </c>
      <c r="P84" s="1">
        <v>45288.371747685182</v>
      </c>
      <c r="Q84" t="s">
        <v>4265</v>
      </c>
      <c r="R84" s="6">
        <v>45290.416666666664</v>
      </c>
      <c r="S84" t="s">
        <v>43</v>
      </c>
      <c r="T84">
        <v>47.6</v>
      </c>
      <c r="U84">
        <v>0</v>
      </c>
      <c r="V84">
        <v>47.6</v>
      </c>
      <c r="W84">
        <v>2.38</v>
      </c>
      <c r="X84">
        <v>0</v>
      </c>
      <c r="Y84">
        <v>0</v>
      </c>
      <c r="Z84">
        <v>49.98</v>
      </c>
      <c r="AA84" t="s">
        <v>44</v>
      </c>
      <c r="AB84" t="s">
        <v>45</v>
      </c>
      <c r="AC84" t="s">
        <v>46</v>
      </c>
      <c r="AD84" t="s">
        <v>37</v>
      </c>
      <c r="AE84" t="s">
        <v>37</v>
      </c>
      <c r="AF84" t="s">
        <v>322</v>
      </c>
      <c r="AG84" t="s">
        <v>37</v>
      </c>
      <c r="AH84" t="s">
        <v>319</v>
      </c>
      <c r="AI84" t="s">
        <v>37</v>
      </c>
    </row>
    <row r="85" spans="1:35" x14ac:dyDescent="0.25">
      <c r="A85" t="s">
        <v>324</v>
      </c>
      <c r="B85" t="s">
        <v>34</v>
      </c>
      <c r="C85" t="s">
        <v>325</v>
      </c>
      <c r="D85" t="s">
        <v>326</v>
      </c>
      <c r="E85" t="s">
        <v>37</v>
      </c>
      <c r="F85" t="s">
        <v>327</v>
      </c>
      <c r="G85" t="s">
        <v>39</v>
      </c>
      <c r="H85" t="s">
        <v>40</v>
      </c>
      <c r="I85" t="s">
        <v>41</v>
      </c>
      <c r="J85" t="s">
        <v>37</v>
      </c>
      <c r="K85" t="s">
        <v>37</v>
      </c>
      <c r="L85" t="s">
        <v>42</v>
      </c>
      <c r="M85" s="6">
        <v>45290.291666666664</v>
      </c>
      <c r="N85" t="s">
        <v>4265</v>
      </c>
      <c r="O85" s="1">
        <v>45290</v>
      </c>
      <c r="P85" s="1">
        <v>45288.468888888892</v>
      </c>
      <c r="Q85" t="s">
        <v>4265</v>
      </c>
      <c r="R85" s="6">
        <v>45290.416666666664</v>
      </c>
      <c r="S85" t="s">
        <v>43</v>
      </c>
      <c r="T85">
        <v>23.8</v>
      </c>
      <c r="U85">
        <v>0</v>
      </c>
      <c r="V85">
        <v>23.8</v>
      </c>
      <c r="W85">
        <v>1.19</v>
      </c>
      <c r="X85">
        <v>0</v>
      </c>
      <c r="Y85">
        <v>0</v>
      </c>
      <c r="Z85">
        <v>24.99</v>
      </c>
      <c r="AA85" t="s">
        <v>44</v>
      </c>
      <c r="AB85" t="s">
        <v>45</v>
      </c>
      <c r="AC85" t="s">
        <v>46</v>
      </c>
      <c r="AD85" t="s">
        <v>37</v>
      </c>
      <c r="AE85" t="s">
        <v>37</v>
      </c>
      <c r="AF85" t="s">
        <v>328</v>
      </c>
      <c r="AG85" t="s">
        <v>37</v>
      </c>
      <c r="AH85" t="s">
        <v>325</v>
      </c>
      <c r="AI85" t="s">
        <v>37</v>
      </c>
    </row>
    <row r="86" spans="1:35" x14ac:dyDescent="0.25">
      <c r="A86" t="s">
        <v>329</v>
      </c>
      <c r="B86" t="s">
        <v>34</v>
      </c>
      <c r="C86" t="s">
        <v>330</v>
      </c>
      <c r="D86" t="s">
        <v>331</v>
      </c>
      <c r="E86" t="s">
        <v>37</v>
      </c>
      <c r="F86" t="s">
        <v>332</v>
      </c>
      <c r="G86" t="s">
        <v>39</v>
      </c>
      <c r="H86" t="s">
        <v>40</v>
      </c>
      <c r="I86" t="s">
        <v>41</v>
      </c>
      <c r="J86" t="s">
        <v>37</v>
      </c>
      <c r="K86" t="s">
        <v>37</v>
      </c>
      <c r="L86" t="s">
        <v>42</v>
      </c>
      <c r="M86" s="6">
        <v>45290.291666666664</v>
      </c>
      <c r="N86" t="s">
        <v>4265</v>
      </c>
      <c r="O86" s="1">
        <v>45290</v>
      </c>
      <c r="P86" s="1">
        <v>45288.505196759259</v>
      </c>
      <c r="Q86" t="s">
        <v>4265</v>
      </c>
      <c r="R86" s="6">
        <v>45290.416666666664</v>
      </c>
      <c r="S86" t="s">
        <v>43</v>
      </c>
      <c r="T86">
        <v>23.8</v>
      </c>
      <c r="U86">
        <v>0</v>
      </c>
      <c r="V86">
        <v>23.8</v>
      </c>
      <c r="W86">
        <v>1.19</v>
      </c>
      <c r="X86">
        <v>0</v>
      </c>
      <c r="Y86">
        <v>0</v>
      </c>
      <c r="Z86">
        <v>24.99</v>
      </c>
      <c r="AA86" t="s">
        <v>44</v>
      </c>
      <c r="AB86" t="s">
        <v>45</v>
      </c>
      <c r="AC86" t="s">
        <v>46</v>
      </c>
      <c r="AD86" t="s">
        <v>37</v>
      </c>
      <c r="AE86" t="s">
        <v>37</v>
      </c>
      <c r="AF86" t="s">
        <v>333</v>
      </c>
      <c r="AG86" t="s">
        <v>37</v>
      </c>
      <c r="AH86" t="s">
        <v>330</v>
      </c>
      <c r="AI86" t="s">
        <v>37</v>
      </c>
    </row>
    <row r="87" spans="1:35" x14ac:dyDescent="0.25">
      <c r="A87" t="s">
        <v>364</v>
      </c>
      <c r="B87" t="s">
        <v>34</v>
      </c>
      <c r="C87" t="s">
        <v>365</v>
      </c>
      <c r="D87" t="s">
        <v>366</v>
      </c>
      <c r="E87" t="s">
        <v>37</v>
      </c>
      <c r="F87" t="s">
        <v>367</v>
      </c>
      <c r="G87" t="s">
        <v>39</v>
      </c>
      <c r="H87" t="s">
        <v>40</v>
      </c>
      <c r="I87" t="s">
        <v>41</v>
      </c>
      <c r="J87" t="s">
        <v>37</v>
      </c>
      <c r="K87" t="s">
        <v>37</v>
      </c>
      <c r="L87" t="s">
        <v>42</v>
      </c>
      <c r="M87" s="6">
        <v>45290.291666666664</v>
      </c>
      <c r="N87" t="s">
        <v>4265</v>
      </c>
      <c r="O87" s="1">
        <v>45290</v>
      </c>
      <c r="P87" s="1">
        <v>45289.008518518516</v>
      </c>
      <c r="Q87" t="s">
        <v>4265</v>
      </c>
      <c r="R87" s="6">
        <v>45290.416666666664</v>
      </c>
      <c r="S87" t="s">
        <v>43</v>
      </c>
      <c r="T87">
        <v>23.8</v>
      </c>
      <c r="U87">
        <v>0</v>
      </c>
      <c r="V87">
        <v>23.8</v>
      </c>
      <c r="W87">
        <v>1.19</v>
      </c>
      <c r="X87">
        <v>0</v>
      </c>
      <c r="Y87">
        <v>0</v>
      </c>
      <c r="Z87">
        <v>24.99</v>
      </c>
      <c r="AA87" t="s">
        <v>44</v>
      </c>
      <c r="AB87" t="s">
        <v>45</v>
      </c>
      <c r="AC87" t="s">
        <v>46</v>
      </c>
      <c r="AD87" t="s">
        <v>37</v>
      </c>
      <c r="AE87" t="s">
        <v>37</v>
      </c>
      <c r="AF87" t="s">
        <v>368</v>
      </c>
      <c r="AG87" t="s">
        <v>37</v>
      </c>
      <c r="AH87" t="s">
        <v>365</v>
      </c>
      <c r="AI87" t="s">
        <v>37</v>
      </c>
    </row>
    <row r="88" spans="1:35" x14ac:dyDescent="0.25">
      <c r="A88" t="s">
        <v>381</v>
      </c>
      <c r="B88" t="s">
        <v>34</v>
      </c>
      <c r="C88" t="s">
        <v>382</v>
      </c>
      <c r="D88" t="s">
        <v>383</v>
      </c>
      <c r="E88" t="s">
        <v>37</v>
      </c>
      <c r="F88" t="s">
        <v>384</v>
      </c>
      <c r="G88" t="s">
        <v>39</v>
      </c>
      <c r="H88" t="s">
        <v>40</v>
      </c>
      <c r="I88" t="s">
        <v>41</v>
      </c>
      <c r="J88" t="s">
        <v>37</v>
      </c>
      <c r="K88" t="s">
        <v>37</v>
      </c>
      <c r="L88" t="s">
        <v>42</v>
      </c>
      <c r="M88" s="6">
        <v>45290.291666666664</v>
      </c>
      <c r="N88" t="s">
        <v>4265</v>
      </c>
      <c r="O88" s="1">
        <v>45290</v>
      </c>
      <c r="P88" s="1">
        <v>45289.762337962966</v>
      </c>
      <c r="Q88" t="s">
        <v>4265</v>
      </c>
      <c r="R88" s="6">
        <v>45290.416666666664</v>
      </c>
      <c r="S88" t="s">
        <v>43</v>
      </c>
      <c r="T88">
        <v>23.8</v>
      </c>
      <c r="U88">
        <v>0</v>
      </c>
      <c r="V88">
        <v>23.8</v>
      </c>
      <c r="W88">
        <v>1.19</v>
      </c>
      <c r="X88">
        <v>0</v>
      </c>
      <c r="Y88">
        <v>0</v>
      </c>
      <c r="Z88">
        <v>24.99</v>
      </c>
      <c r="AA88" t="s">
        <v>44</v>
      </c>
      <c r="AB88" t="s">
        <v>45</v>
      </c>
      <c r="AC88" t="s">
        <v>46</v>
      </c>
      <c r="AD88" t="s">
        <v>37</v>
      </c>
      <c r="AE88" t="s">
        <v>37</v>
      </c>
      <c r="AF88" t="s">
        <v>385</v>
      </c>
      <c r="AG88" t="s">
        <v>37</v>
      </c>
      <c r="AH88" t="s">
        <v>382</v>
      </c>
      <c r="AI88" t="s">
        <v>37</v>
      </c>
    </row>
    <row r="89" spans="1:35" x14ac:dyDescent="0.25">
      <c r="A89" t="s">
        <v>386</v>
      </c>
      <c r="B89" t="s">
        <v>34</v>
      </c>
      <c r="C89" t="s">
        <v>112</v>
      </c>
      <c r="D89" t="s">
        <v>113</v>
      </c>
      <c r="E89" t="s">
        <v>37</v>
      </c>
      <c r="F89" t="s">
        <v>114</v>
      </c>
      <c r="G89" t="s">
        <v>39</v>
      </c>
      <c r="H89" t="s">
        <v>40</v>
      </c>
      <c r="I89" t="s">
        <v>41</v>
      </c>
      <c r="J89" t="s">
        <v>37</v>
      </c>
      <c r="K89" t="s">
        <v>37</v>
      </c>
      <c r="L89" t="s">
        <v>42</v>
      </c>
      <c r="M89" s="6">
        <v>45290.291666666664</v>
      </c>
      <c r="N89" t="s">
        <v>4265</v>
      </c>
      <c r="O89" s="1">
        <v>45290</v>
      </c>
      <c r="P89" s="1">
        <v>45289.76966435185</v>
      </c>
      <c r="Q89" t="s">
        <v>4265</v>
      </c>
      <c r="R89" s="6">
        <v>45290.416666666664</v>
      </c>
      <c r="S89" t="s">
        <v>43</v>
      </c>
      <c r="T89">
        <v>23.8</v>
      </c>
      <c r="U89">
        <v>0</v>
      </c>
      <c r="V89">
        <v>23.8</v>
      </c>
      <c r="W89">
        <v>1.19</v>
      </c>
      <c r="X89">
        <v>0</v>
      </c>
      <c r="Y89">
        <v>0</v>
      </c>
      <c r="Z89">
        <v>24.99</v>
      </c>
      <c r="AA89" t="s">
        <v>44</v>
      </c>
      <c r="AB89" t="s">
        <v>45</v>
      </c>
      <c r="AC89" t="s">
        <v>46</v>
      </c>
      <c r="AD89" t="s">
        <v>37</v>
      </c>
      <c r="AE89" t="s">
        <v>37</v>
      </c>
      <c r="AF89" t="s">
        <v>387</v>
      </c>
      <c r="AG89" t="s">
        <v>37</v>
      </c>
      <c r="AH89" t="s">
        <v>112</v>
      </c>
      <c r="AI89" t="s">
        <v>37</v>
      </c>
    </row>
    <row r="90" spans="1:35" x14ac:dyDescent="0.25">
      <c r="A90" t="s">
        <v>395</v>
      </c>
      <c r="B90" t="s">
        <v>34</v>
      </c>
      <c r="C90" t="s">
        <v>396</v>
      </c>
      <c r="D90" t="s">
        <v>397</v>
      </c>
      <c r="E90" t="s">
        <v>37</v>
      </c>
      <c r="F90" t="s">
        <v>398</v>
      </c>
      <c r="G90" t="s">
        <v>39</v>
      </c>
      <c r="H90" t="s">
        <v>40</v>
      </c>
      <c r="I90" t="s">
        <v>41</v>
      </c>
      <c r="J90" t="s">
        <v>37</v>
      </c>
      <c r="K90" t="s">
        <v>37</v>
      </c>
      <c r="L90" t="s">
        <v>42</v>
      </c>
      <c r="M90" s="6">
        <v>45290.291666666664</v>
      </c>
      <c r="N90" t="s">
        <v>4265</v>
      </c>
      <c r="O90" s="1">
        <v>45290</v>
      </c>
      <c r="P90" s="1">
        <v>45284.409270833334</v>
      </c>
      <c r="Q90" t="s">
        <v>4265</v>
      </c>
      <c r="R90" s="6">
        <v>45290.416666666664</v>
      </c>
      <c r="S90" t="s">
        <v>43</v>
      </c>
      <c r="T90">
        <v>23.8</v>
      </c>
      <c r="U90">
        <v>0</v>
      </c>
      <c r="V90">
        <v>23.8</v>
      </c>
      <c r="W90">
        <v>1.19</v>
      </c>
      <c r="X90">
        <v>0</v>
      </c>
      <c r="Y90">
        <v>0</v>
      </c>
      <c r="Z90">
        <v>24.99</v>
      </c>
      <c r="AA90" t="s">
        <v>44</v>
      </c>
      <c r="AB90" t="s">
        <v>45</v>
      </c>
      <c r="AC90" t="s">
        <v>46</v>
      </c>
      <c r="AD90" t="s">
        <v>37</v>
      </c>
      <c r="AE90" t="s">
        <v>37</v>
      </c>
      <c r="AF90" t="s">
        <v>399</v>
      </c>
      <c r="AG90" t="s">
        <v>37</v>
      </c>
      <c r="AH90" t="s">
        <v>400</v>
      </c>
      <c r="AI90" t="s">
        <v>37</v>
      </c>
    </row>
    <row r="91" spans="1:35" x14ac:dyDescent="0.25">
      <c r="A91" t="s">
        <v>167</v>
      </c>
      <c r="B91" t="s">
        <v>34</v>
      </c>
      <c r="C91" t="s">
        <v>168</v>
      </c>
      <c r="D91" t="s">
        <v>169</v>
      </c>
      <c r="E91" t="s">
        <v>37</v>
      </c>
      <c r="F91" t="s">
        <v>170</v>
      </c>
      <c r="G91" t="s">
        <v>39</v>
      </c>
      <c r="H91" t="s">
        <v>40</v>
      </c>
      <c r="I91" t="s">
        <v>41</v>
      </c>
      <c r="J91" t="s">
        <v>37</v>
      </c>
      <c r="K91" t="s">
        <v>37</v>
      </c>
      <c r="L91" t="s">
        <v>42</v>
      </c>
      <c r="M91" s="6">
        <v>45291.291666666664</v>
      </c>
      <c r="N91" t="s">
        <v>4266</v>
      </c>
      <c r="O91" s="1">
        <v>45291</v>
      </c>
      <c r="P91" s="1">
        <v>45287.558194444442</v>
      </c>
      <c r="Q91" t="s">
        <v>4266</v>
      </c>
      <c r="R91" s="6">
        <v>45291.416666666664</v>
      </c>
      <c r="S91" t="s">
        <v>43</v>
      </c>
      <c r="T91">
        <v>23.8</v>
      </c>
      <c r="U91">
        <v>0</v>
      </c>
      <c r="V91">
        <v>23.8</v>
      </c>
      <c r="W91">
        <v>1.19</v>
      </c>
      <c r="X91">
        <v>0</v>
      </c>
      <c r="Y91">
        <v>0</v>
      </c>
      <c r="Z91">
        <v>24.99</v>
      </c>
      <c r="AA91" t="s">
        <v>44</v>
      </c>
      <c r="AB91" t="s">
        <v>45</v>
      </c>
      <c r="AC91" t="s">
        <v>46</v>
      </c>
      <c r="AD91" t="s">
        <v>37</v>
      </c>
      <c r="AE91" t="s">
        <v>37</v>
      </c>
      <c r="AF91" t="s">
        <v>171</v>
      </c>
      <c r="AG91" t="s">
        <v>37</v>
      </c>
      <c r="AH91" t="s">
        <v>168</v>
      </c>
      <c r="AI91" t="s">
        <v>37</v>
      </c>
    </row>
    <row r="92" spans="1:35" x14ac:dyDescent="0.25">
      <c r="A92" t="s">
        <v>232</v>
      </c>
      <c r="B92" t="s">
        <v>34</v>
      </c>
      <c r="C92" t="s">
        <v>226</v>
      </c>
      <c r="D92" t="s">
        <v>227</v>
      </c>
      <c r="E92" t="s">
        <v>37</v>
      </c>
      <c r="F92" t="s">
        <v>228</v>
      </c>
      <c r="G92" t="s">
        <v>39</v>
      </c>
      <c r="H92" t="s">
        <v>40</v>
      </c>
      <c r="I92" t="s">
        <v>41</v>
      </c>
      <c r="J92" t="s">
        <v>37</v>
      </c>
      <c r="K92" t="s">
        <v>37</v>
      </c>
      <c r="L92" t="s">
        <v>42</v>
      </c>
      <c r="M92" s="6">
        <v>45291.291666666664</v>
      </c>
      <c r="N92" t="s">
        <v>4266</v>
      </c>
      <c r="O92" s="1">
        <v>45291</v>
      </c>
      <c r="P92" s="1">
        <v>45286.565138888887</v>
      </c>
      <c r="Q92" t="s">
        <v>4266</v>
      </c>
      <c r="R92" s="6">
        <v>45291.416666666664</v>
      </c>
      <c r="S92" t="s">
        <v>43</v>
      </c>
      <c r="T92">
        <v>47.6</v>
      </c>
      <c r="U92">
        <v>0</v>
      </c>
      <c r="V92">
        <v>47.6</v>
      </c>
      <c r="W92">
        <v>2.38</v>
      </c>
      <c r="X92">
        <v>0</v>
      </c>
      <c r="Y92">
        <v>0</v>
      </c>
      <c r="Z92">
        <v>49.98</v>
      </c>
      <c r="AA92" t="s">
        <v>44</v>
      </c>
      <c r="AB92" t="s">
        <v>45</v>
      </c>
      <c r="AC92" t="s">
        <v>46</v>
      </c>
      <c r="AD92" t="s">
        <v>37</v>
      </c>
      <c r="AE92" t="s">
        <v>37</v>
      </c>
      <c r="AF92" t="s">
        <v>231</v>
      </c>
      <c r="AG92" t="s">
        <v>37</v>
      </c>
      <c r="AH92" t="s">
        <v>226</v>
      </c>
      <c r="AI92" t="s">
        <v>37</v>
      </c>
    </row>
    <row r="93" spans="1:35" x14ac:dyDescent="0.25">
      <c r="A93" t="s">
        <v>323</v>
      </c>
      <c r="B93" t="s">
        <v>34</v>
      </c>
      <c r="C93" t="s">
        <v>319</v>
      </c>
      <c r="D93" t="s">
        <v>320</v>
      </c>
      <c r="E93" t="s">
        <v>37</v>
      </c>
      <c r="F93" t="s">
        <v>321</v>
      </c>
      <c r="G93" t="s">
        <v>39</v>
      </c>
      <c r="H93" t="s">
        <v>40</v>
      </c>
      <c r="I93" t="s">
        <v>41</v>
      </c>
      <c r="J93" t="s">
        <v>37</v>
      </c>
      <c r="K93" t="s">
        <v>37</v>
      </c>
      <c r="L93" t="s">
        <v>42</v>
      </c>
      <c r="M93" s="6">
        <v>45291.291666666664</v>
      </c>
      <c r="N93" t="s">
        <v>4266</v>
      </c>
      <c r="O93" s="1">
        <v>45291</v>
      </c>
      <c r="P93" s="1">
        <v>45288.371747685182</v>
      </c>
      <c r="Q93" t="s">
        <v>4266</v>
      </c>
      <c r="R93" s="6">
        <v>45291.416666666664</v>
      </c>
      <c r="S93" t="s">
        <v>43</v>
      </c>
      <c r="T93">
        <v>47.6</v>
      </c>
      <c r="U93">
        <v>0</v>
      </c>
      <c r="V93">
        <v>47.6</v>
      </c>
      <c r="W93">
        <v>2.38</v>
      </c>
      <c r="X93">
        <v>0</v>
      </c>
      <c r="Y93">
        <v>0</v>
      </c>
      <c r="Z93">
        <v>49.98</v>
      </c>
      <c r="AA93" t="s">
        <v>44</v>
      </c>
      <c r="AB93" t="s">
        <v>45</v>
      </c>
      <c r="AC93" t="s">
        <v>46</v>
      </c>
      <c r="AD93" t="s">
        <v>37</v>
      </c>
      <c r="AE93" t="s">
        <v>37</v>
      </c>
      <c r="AF93" t="s">
        <v>322</v>
      </c>
      <c r="AG93" t="s">
        <v>37</v>
      </c>
      <c r="AH93" t="s">
        <v>319</v>
      </c>
      <c r="AI93" t="s">
        <v>37</v>
      </c>
    </row>
    <row r="94" spans="1:35" x14ac:dyDescent="0.25">
      <c r="A94" t="s">
        <v>388</v>
      </c>
      <c r="B94" t="s">
        <v>34</v>
      </c>
      <c r="C94" t="s">
        <v>308</v>
      </c>
      <c r="D94" t="s">
        <v>309</v>
      </c>
      <c r="E94" t="s">
        <v>37</v>
      </c>
      <c r="F94" t="s">
        <v>310</v>
      </c>
      <c r="G94" t="s">
        <v>39</v>
      </c>
      <c r="H94" t="s">
        <v>40</v>
      </c>
      <c r="I94" t="s">
        <v>41</v>
      </c>
      <c r="J94" t="s">
        <v>37</v>
      </c>
      <c r="K94" t="s">
        <v>37</v>
      </c>
      <c r="L94" t="s">
        <v>42</v>
      </c>
      <c r="M94" s="6">
        <v>45291.291666666664</v>
      </c>
      <c r="N94" t="s">
        <v>4266</v>
      </c>
      <c r="O94" s="1">
        <v>45291</v>
      </c>
      <c r="P94" s="1">
        <v>45290.495798611111</v>
      </c>
      <c r="Q94" t="s">
        <v>4266</v>
      </c>
      <c r="R94" s="6">
        <v>45291.416666666664</v>
      </c>
      <c r="S94" t="s">
        <v>43</v>
      </c>
      <c r="T94">
        <v>23.8</v>
      </c>
      <c r="U94">
        <v>0</v>
      </c>
      <c r="V94">
        <v>23.8</v>
      </c>
      <c r="W94">
        <v>1.19</v>
      </c>
      <c r="X94">
        <v>0</v>
      </c>
      <c r="Y94">
        <v>0</v>
      </c>
      <c r="Z94">
        <v>24.99</v>
      </c>
      <c r="AA94" t="s">
        <v>44</v>
      </c>
      <c r="AB94" t="s">
        <v>45</v>
      </c>
      <c r="AC94" t="s">
        <v>46</v>
      </c>
      <c r="AD94" t="s">
        <v>37</v>
      </c>
      <c r="AE94" t="s">
        <v>37</v>
      </c>
      <c r="AF94" t="s">
        <v>389</v>
      </c>
      <c r="AG94" t="s">
        <v>37</v>
      </c>
      <c r="AH94" t="s">
        <v>308</v>
      </c>
      <c r="AI94" t="s">
        <v>37</v>
      </c>
    </row>
    <row r="95" spans="1:35" x14ac:dyDescent="0.25">
      <c r="A95" t="s">
        <v>390</v>
      </c>
      <c r="B95" t="s">
        <v>34</v>
      </c>
      <c r="C95" t="s">
        <v>391</v>
      </c>
      <c r="D95" t="s">
        <v>392</v>
      </c>
      <c r="E95" t="s">
        <v>37</v>
      </c>
      <c r="F95" t="s">
        <v>393</v>
      </c>
      <c r="G95" t="s">
        <v>39</v>
      </c>
      <c r="H95" t="s">
        <v>40</v>
      </c>
      <c r="I95" t="s">
        <v>41</v>
      </c>
      <c r="J95" t="s">
        <v>37</v>
      </c>
      <c r="K95" t="s">
        <v>37</v>
      </c>
      <c r="L95" t="s">
        <v>42</v>
      </c>
      <c r="M95" s="6">
        <v>45291.291666666664</v>
      </c>
      <c r="N95" t="s">
        <v>4266</v>
      </c>
      <c r="O95" s="1">
        <v>45291</v>
      </c>
      <c r="P95" s="1">
        <v>45290.507488425923</v>
      </c>
      <c r="Q95" t="s">
        <v>4266</v>
      </c>
      <c r="R95" s="6">
        <v>45291.416666666664</v>
      </c>
      <c r="S95" t="s">
        <v>43</v>
      </c>
      <c r="T95">
        <v>23.8</v>
      </c>
      <c r="U95">
        <v>0</v>
      </c>
      <c r="V95">
        <v>23.8</v>
      </c>
      <c r="W95">
        <v>1.19</v>
      </c>
      <c r="X95">
        <v>0</v>
      </c>
      <c r="Y95">
        <v>0</v>
      </c>
      <c r="Z95">
        <v>24.99</v>
      </c>
      <c r="AA95" t="s">
        <v>44</v>
      </c>
      <c r="AB95" t="s">
        <v>45</v>
      </c>
      <c r="AC95" t="s">
        <v>46</v>
      </c>
      <c r="AD95" t="s">
        <v>37</v>
      </c>
      <c r="AE95" t="s">
        <v>37</v>
      </c>
      <c r="AF95" t="s">
        <v>394</v>
      </c>
      <c r="AG95" t="s">
        <v>37</v>
      </c>
      <c r="AH95" t="s">
        <v>391</v>
      </c>
      <c r="AI95" t="s">
        <v>37</v>
      </c>
    </row>
    <row r="96" spans="1:35" x14ac:dyDescent="0.25">
      <c r="A96" t="s">
        <v>401</v>
      </c>
      <c r="B96" t="s">
        <v>34</v>
      </c>
      <c r="C96" t="s">
        <v>353</v>
      </c>
      <c r="D96" t="s">
        <v>354</v>
      </c>
      <c r="E96" t="s">
        <v>37</v>
      </c>
      <c r="F96" t="s">
        <v>355</v>
      </c>
      <c r="G96" t="s">
        <v>39</v>
      </c>
      <c r="H96" t="s">
        <v>40</v>
      </c>
      <c r="I96" t="s">
        <v>41</v>
      </c>
      <c r="J96" t="s">
        <v>37</v>
      </c>
      <c r="K96" t="s">
        <v>37</v>
      </c>
      <c r="L96" t="s">
        <v>42</v>
      </c>
      <c r="M96" s="6">
        <v>45291.291666666664</v>
      </c>
      <c r="N96" t="s">
        <v>4266</v>
      </c>
      <c r="O96" s="1">
        <v>45291</v>
      </c>
      <c r="P96" s="1">
        <v>45290.763495370367</v>
      </c>
      <c r="Q96" t="s">
        <v>4266</v>
      </c>
      <c r="R96" s="6">
        <v>45291.416666666664</v>
      </c>
      <c r="S96" t="s">
        <v>43</v>
      </c>
      <c r="T96">
        <v>23.8</v>
      </c>
      <c r="U96">
        <v>0</v>
      </c>
      <c r="V96">
        <v>23.8</v>
      </c>
      <c r="W96">
        <v>1.19</v>
      </c>
      <c r="X96">
        <v>0</v>
      </c>
      <c r="Y96">
        <v>0</v>
      </c>
      <c r="Z96">
        <v>24.99</v>
      </c>
      <c r="AA96" t="s">
        <v>44</v>
      </c>
      <c r="AB96" t="s">
        <v>45</v>
      </c>
      <c r="AC96" t="s">
        <v>46</v>
      </c>
      <c r="AD96" t="s">
        <v>37</v>
      </c>
      <c r="AE96" t="s">
        <v>37</v>
      </c>
      <c r="AF96" t="s">
        <v>402</v>
      </c>
      <c r="AG96" t="s">
        <v>37</v>
      </c>
      <c r="AH96" t="s">
        <v>353</v>
      </c>
      <c r="AI96" t="s">
        <v>37</v>
      </c>
    </row>
    <row r="97" spans="1:35" x14ac:dyDescent="0.25">
      <c r="A97" t="s">
        <v>403</v>
      </c>
      <c r="B97" t="s">
        <v>34</v>
      </c>
      <c r="C97" t="s">
        <v>404</v>
      </c>
      <c r="D97" t="s">
        <v>405</v>
      </c>
      <c r="E97" t="s">
        <v>37</v>
      </c>
      <c r="F97" t="s">
        <v>406</v>
      </c>
      <c r="G97" t="s">
        <v>39</v>
      </c>
      <c r="H97" t="s">
        <v>40</v>
      </c>
      <c r="I97" t="s">
        <v>41</v>
      </c>
      <c r="J97" t="s">
        <v>37</v>
      </c>
      <c r="K97" t="s">
        <v>37</v>
      </c>
      <c r="L97" t="s">
        <v>42</v>
      </c>
      <c r="M97" s="6">
        <v>45291.291666666664</v>
      </c>
      <c r="N97" t="s">
        <v>4266</v>
      </c>
      <c r="O97" s="1">
        <v>45291</v>
      </c>
      <c r="P97" s="1">
        <v>45290.799398148149</v>
      </c>
      <c r="Q97" t="s">
        <v>4266</v>
      </c>
      <c r="R97" s="6">
        <v>45291.416666666664</v>
      </c>
      <c r="S97" t="s">
        <v>43</v>
      </c>
      <c r="T97">
        <v>23.8</v>
      </c>
      <c r="U97">
        <v>0</v>
      </c>
      <c r="V97">
        <v>23.8</v>
      </c>
      <c r="W97">
        <v>1.19</v>
      </c>
      <c r="X97">
        <v>0</v>
      </c>
      <c r="Y97">
        <v>0</v>
      </c>
      <c r="Z97">
        <v>24.99</v>
      </c>
      <c r="AA97" t="s">
        <v>44</v>
      </c>
      <c r="AB97" t="s">
        <v>45</v>
      </c>
      <c r="AC97" t="s">
        <v>46</v>
      </c>
      <c r="AD97" t="s">
        <v>37</v>
      </c>
      <c r="AE97" t="s">
        <v>37</v>
      </c>
      <c r="AF97" t="s">
        <v>407</v>
      </c>
      <c r="AG97" t="s">
        <v>37</v>
      </c>
      <c r="AH97" t="s">
        <v>404</v>
      </c>
      <c r="AI97" t="s">
        <v>37</v>
      </c>
    </row>
    <row r="98" spans="1:35" x14ac:dyDescent="0.25">
      <c r="A98" t="s">
        <v>408</v>
      </c>
      <c r="B98" t="s">
        <v>34</v>
      </c>
      <c r="C98" t="s">
        <v>325</v>
      </c>
      <c r="D98" t="s">
        <v>326</v>
      </c>
      <c r="E98" t="s">
        <v>37</v>
      </c>
      <c r="F98" t="s">
        <v>327</v>
      </c>
      <c r="G98" t="s">
        <v>39</v>
      </c>
      <c r="H98" t="s">
        <v>40</v>
      </c>
      <c r="I98" t="s">
        <v>41</v>
      </c>
      <c r="J98" t="s">
        <v>37</v>
      </c>
      <c r="K98" t="s">
        <v>37</v>
      </c>
      <c r="L98" t="s">
        <v>42</v>
      </c>
      <c r="M98" s="6">
        <v>45291.291666666664</v>
      </c>
      <c r="N98" t="s">
        <v>4266</v>
      </c>
      <c r="O98" s="1">
        <v>45291</v>
      </c>
      <c r="P98" s="1">
        <v>45290.941388888888</v>
      </c>
      <c r="Q98" t="s">
        <v>4266</v>
      </c>
      <c r="R98" s="6">
        <v>45291.416666666664</v>
      </c>
      <c r="S98" t="s">
        <v>43</v>
      </c>
      <c r="T98">
        <v>23.8</v>
      </c>
      <c r="U98">
        <v>0</v>
      </c>
      <c r="V98">
        <v>23.8</v>
      </c>
      <c r="W98">
        <v>1.19</v>
      </c>
      <c r="X98">
        <v>0</v>
      </c>
      <c r="Y98">
        <v>0</v>
      </c>
      <c r="Z98">
        <v>24.99</v>
      </c>
      <c r="AA98" t="s">
        <v>44</v>
      </c>
      <c r="AB98" t="s">
        <v>45</v>
      </c>
      <c r="AC98" t="s">
        <v>46</v>
      </c>
      <c r="AD98" t="s">
        <v>37</v>
      </c>
      <c r="AE98" t="s">
        <v>37</v>
      </c>
      <c r="AF98" t="s">
        <v>409</v>
      </c>
      <c r="AG98" t="s">
        <v>37</v>
      </c>
      <c r="AH98" t="s">
        <v>325</v>
      </c>
      <c r="AI98" t="s">
        <v>37</v>
      </c>
    </row>
    <row r="99" spans="1:35" x14ac:dyDescent="0.25">
      <c r="A99" t="s">
        <v>410</v>
      </c>
      <c r="B99" t="s">
        <v>34</v>
      </c>
      <c r="C99" t="s">
        <v>411</v>
      </c>
      <c r="D99" t="s">
        <v>412</v>
      </c>
      <c r="E99" t="s">
        <v>37</v>
      </c>
      <c r="F99" t="s">
        <v>413</v>
      </c>
      <c r="G99" t="s">
        <v>39</v>
      </c>
      <c r="H99" t="s">
        <v>40</v>
      </c>
      <c r="I99" t="s">
        <v>41</v>
      </c>
      <c r="J99" t="s">
        <v>37</v>
      </c>
      <c r="K99" t="s">
        <v>37</v>
      </c>
      <c r="L99" t="s">
        <v>42</v>
      </c>
      <c r="M99" s="6">
        <v>45291.391851851855</v>
      </c>
      <c r="N99" t="s">
        <v>4266</v>
      </c>
      <c r="O99" s="1">
        <v>45291.100185185183</v>
      </c>
      <c r="P99" s="1">
        <v>45291.391921296294</v>
      </c>
      <c r="Q99" t="s">
        <v>4266</v>
      </c>
      <c r="R99" s="6">
        <v>45291.416666666664</v>
      </c>
      <c r="S99" t="s">
        <v>43</v>
      </c>
      <c r="T99">
        <v>23.8</v>
      </c>
      <c r="U99">
        <v>0</v>
      </c>
      <c r="V99">
        <v>23.8</v>
      </c>
      <c r="W99">
        <v>1.19</v>
      </c>
      <c r="X99">
        <v>0</v>
      </c>
      <c r="Y99">
        <v>0</v>
      </c>
      <c r="Z99">
        <v>24.99</v>
      </c>
      <c r="AA99" t="s">
        <v>44</v>
      </c>
      <c r="AB99" t="s">
        <v>45</v>
      </c>
      <c r="AC99" t="s">
        <v>46</v>
      </c>
      <c r="AD99" t="s">
        <v>37</v>
      </c>
      <c r="AE99" t="s">
        <v>37</v>
      </c>
      <c r="AF99" t="s">
        <v>414</v>
      </c>
      <c r="AG99" t="s">
        <v>37</v>
      </c>
      <c r="AH99" t="s">
        <v>411</v>
      </c>
      <c r="AI99" t="s">
        <v>37</v>
      </c>
    </row>
    <row r="100" spans="1:35" x14ac:dyDescent="0.25">
      <c r="A100" t="s">
        <v>732</v>
      </c>
      <c r="B100" t="s">
        <v>34</v>
      </c>
      <c r="C100" t="s">
        <v>733</v>
      </c>
      <c r="D100" t="s">
        <v>734</v>
      </c>
      <c r="E100" t="s">
        <v>37</v>
      </c>
      <c r="F100" t="s">
        <v>735</v>
      </c>
      <c r="G100" t="s">
        <v>39</v>
      </c>
      <c r="H100" t="s">
        <v>40</v>
      </c>
      <c r="I100" t="s">
        <v>41</v>
      </c>
      <c r="J100" t="s">
        <v>37</v>
      </c>
      <c r="K100" t="s">
        <v>37</v>
      </c>
      <c r="L100" t="s">
        <v>42</v>
      </c>
      <c r="M100" s="6">
        <v>45292.291666666664</v>
      </c>
      <c r="N100" t="s">
        <v>4262</v>
      </c>
      <c r="O100" s="1">
        <v>45292</v>
      </c>
      <c r="P100" s="1">
        <v>45291.686041666668</v>
      </c>
      <c r="Q100" t="s">
        <v>4262</v>
      </c>
      <c r="R100" s="6">
        <v>45292.416666666664</v>
      </c>
      <c r="S100" t="s">
        <v>43</v>
      </c>
      <c r="T100">
        <v>47.6</v>
      </c>
      <c r="U100">
        <v>0</v>
      </c>
      <c r="V100">
        <v>47.6</v>
      </c>
      <c r="W100">
        <v>2.38</v>
      </c>
      <c r="X100">
        <v>0</v>
      </c>
      <c r="Y100">
        <v>0</v>
      </c>
      <c r="Z100">
        <v>49.98</v>
      </c>
      <c r="AA100" t="s">
        <v>44</v>
      </c>
      <c r="AB100" t="s">
        <v>45</v>
      </c>
      <c r="AC100" t="s">
        <v>46</v>
      </c>
      <c r="AD100" t="s">
        <v>37</v>
      </c>
      <c r="AE100" t="s">
        <v>37</v>
      </c>
      <c r="AF100" t="s">
        <v>736</v>
      </c>
      <c r="AG100" t="s">
        <v>37</v>
      </c>
      <c r="AH100" t="s">
        <v>733</v>
      </c>
      <c r="AI100" t="s">
        <v>37</v>
      </c>
    </row>
    <row r="101" spans="1:35" x14ac:dyDescent="0.25">
      <c r="A101" t="s">
        <v>743</v>
      </c>
      <c r="B101" t="s">
        <v>34</v>
      </c>
      <c r="C101" t="s">
        <v>744</v>
      </c>
      <c r="D101" t="s">
        <v>745</v>
      </c>
      <c r="E101" t="s">
        <v>37</v>
      </c>
      <c r="F101" t="s">
        <v>746</v>
      </c>
      <c r="G101" t="s">
        <v>39</v>
      </c>
      <c r="H101" t="s">
        <v>40</v>
      </c>
      <c r="I101" t="s">
        <v>41</v>
      </c>
      <c r="J101" t="s">
        <v>37</v>
      </c>
      <c r="K101" t="s">
        <v>37</v>
      </c>
      <c r="L101" t="s">
        <v>42</v>
      </c>
      <c r="M101" s="6">
        <v>45292.291666666664</v>
      </c>
      <c r="N101" t="s">
        <v>4262</v>
      </c>
      <c r="O101" s="1">
        <v>45292</v>
      </c>
      <c r="P101" s="1">
        <v>45291.722870370373</v>
      </c>
      <c r="Q101" t="s">
        <v>4262</v>
      </c>
      <c r="R101" s="6">
        <v>45292.416666666664</v>
      </c>
      <c r="S101" t="s">
        <v>43</v>
      </c>
      <c r="T101">
        <v>23.8</v>
      </c>
      <c r="U101">
        <v>0</v>
      </c>
      <c r="V101">
        <v>23.8</v>
      </c>
      <c r="W101">
        <v>1.19</v>
      </c>
      <c r="X101">
        <v>0</v>
      </c>
      <c r="Y101">
        <v>0</v>
      </c>
      <c r="Z101">
        <v>24.99</v>
      </c>
      <c r="AA101" t="s">
        <v>44</v>
      </c>
      <c r="AB101" t="s">
        <v>45</v>
      </c>
      <c r="AC101" t="s">
        <v>46</v>
      </c>
      <c r="AD101" t="s">
        <v>37</v>
      </c>
      <c r="AE101" t="s">
        <v>37</v>
      </c>
      <c r="AF101" t="s">
        <v>747</v>
      </c>
      <c r="AG101" t="s">
        <v>37</v>
      </c>
      <c r="AH101" t="s">
        <v>744</v>
      </c>
      <c r="AI101" t="s">
        <v>37</v>
      </c>
    </row>
    <row r="102" spans="1:35" x14ac:dyDescent="0.25">
      <c r="A102" t="s">
        <v>748</v>
      </c>
      <c r="B102" t="s">
        <v>34</v>
      </c>
      <c r="C102" t="s">
        <v>749</v>
      </c>
      <c r="D102" t="s">
        <v>750</v>
      </c>
      <c r="E102" t="s">
        <v>37</v>
      </c>
      <c r="F102" t="s">
        <v>751</v>
      </c>
      <c r="G102" t="s">
        <v>39</v>
      </c>
      <c r="H102" t="s">
        <v>40</v>
      </c>
      <c r="I102" t="s">
        <v>41</v>
      </c>
      <c r="J102" t="s">
        <v>37</v>
      </c>
      <c r="K102" t="s">
        <v>37</v>
      </c>
      <c r="L102" t="s">
        <v>42</v>
      </c>
      <c r="M102" s="6">
        <v>45292.291666666664</v>
      </c>
      <c r="N102" t="s">
        <v>4262</v>
      </c>
      <c r="O102" s="1">
        <v>45292</v>
      </c>
      <c r="P102" s="1">
        <v>45291.907951388886</v>
      </c>
      <c r="Q102" t="s">
        <v>4262</v>
      </c>
      <c r="R102" s="6">
        <v>45292.416666666664</v>
      </c>
      <c r="S102" t="s">
        <v>43</v>
      </c>
      <c r="T102">
        <v>23.8</v>
      </c>
      <c r="U102">
        <v>0</v>
      </c>
      <c r="V102">
        <v>23.8</v>
      </c>
      <c r="W102">
        <v>1.19</v>
      </c>
      <c r="X102">
        <v>0</v>
      </c>
      <c r="Y102">
        <v>0</v>
      </c>
      <c r="Z102">
        <v>24.99</v>
      </c>
      <c r="AA102" t="s">
        <v>44</v>
      </c>
      <c r="AB102" t="s">
        <v>45</v>
      </c>
      <c r="AC102" t="s">
        <v>46</v>
      </c>
      <c r="AD102" t="s">
        <v>37</v>
      </c>
      <c r="AE102" t="s">
        <v>37</v>
      </c>
      <c r="AF102" t="s">
        <v>752</v>
      </c>
      <c r="AG102" t="s">
        <v>37</v>
      </c>
      <c r="AH102" t="s">
        <v>749</v>
      </c>
      <c r="AI102" t="s">
        <v>37</v>
      </c>
    </row>
    <row r="103" spans="1:35" x14ac:dyDescent="0.25">
      <c r="A103" t="s">
        <v>753</v>
      </c>
      <c r="B103" t="s">
        <v>34</v>
      </c>
      <c r="C103" t="s">
        <v>754</v>
      </c>
      <c r="D103" t="s">
        <v>755</v>
      </c>
      <c r="E103" t="s">
        <v>37</v>
      </c>
      <c r="F103" t="s">
        <v>756</v>
      </c>
      <c r="G103" t="s">
        <v>39</v>
      </c>
      <c r="H103" t="s">
        <v>40</v>
      </c>
      <c r="I103" t="s">
        <v>41</v>
      </c>
      <c r="J103" t="s">
        <v>37</v>
      </c>
      <c r="K103" t="s">
        <v>37</v>
      </c>
      <c r="L103" t="s">
        <v>42</v>
      </c>
      <c r="M103" s="6">
        <v>45292.291666666664</v>
      </c>
      <c r="N103" t="s">
        <v>4262</v>
      </c>
      <c r="O103" s="1">
        <v>45292</v>
      </c>
      <c r="P103" s="1">
        <v>45292.039386574077</v>
      </c>
      <c r="Q103" t="s">
        <v>4262</v>
      </c>
      <c r="R103" s="6">
        <v>45292.416666666664</v>
      </c>
      <c r="S103" t="s">
        <v>43</v>
      </c>
      <c r="T103">
        <v>23.8</v>
      </c>
      <c r="U103">
        <v>0</v>
      </c>
      <c r="V103">
        <v>23.8</v>
      </c>
      <c r="W103">
        <v>1.19</v>
      </c>
      <c r="X103">
        <v>0</v>
      </c>
      <c r="Y103">
        <v>0</v>
      </c>
      <c r="Z103">
        <v>24.99</v>
      </c>
      <c r="AA103" t="s">
        <v>44</v>
      </c>
      <c r="AB103" t="s">
        <v>45</v>
      </c>
      <c r="AC103" t="s">
        <v>46</v>
      </c>
      <c r="AD103" t="s">
        <v>37</v>
      </c>
      <c r="AE103" t="s">
        <v>37</v>
      </c>
      <c r="AF103" t="s">
        <v>757</v>
      </c>
      <c r="AG103" t="s">
        <v>37</v>
      </c>
      <c r="AH103" t="s">
        <v>754</v>
      </c>
      <c r="AI103" t="s">
        <v>37</v>
      </c>
    </row>
    <row r="104" spans="1:35" x14ac:dyDescent="0.25">
      <c r="A104" t="s">
        <v>760</v>
      </c>
      <c r="B104" t="s">
        <v>34</v>
      </c>
      <c r="C104" t="s">
        <v>761</v>
      </c>
      <c r="D104" t="s">
        <v>762</v>
      </c>
      <c r="E104" t="s">
        <v>37</v>
      </c>
      <c r="F104" t="s">
        <v>763</v>
      </c>
      <c r="G104" t="s">
        <v>39</v>
      </c>
      <c r="H104" t="s">
        <v>40</v>
      </c>
      <c r="I104" t="s">
        <v>41</v>
      </c>
      <c r="J104" t="s">
        <v>37</v>
      </c>
      <c r="K104" t="s">
        <v>37</v>
      </c>
      <c r="L104" t="s">
        <v>42</v>
      </c>
      <c r="M104" s="6">
        <v>45292.291666666664</v>
      </c>
      <c r="N104" t="s">
        <v>4262</v>
      </c>
      <c r="O104" s="1">
        <v>45292</v>
      </c>
      <c r="P104" s="1">
        <v>45292.494375000002</v>
      </c>
      <c r="Q104" t="s">
        <v>4262</v>
      </c>
      <c r="R104" s="6">
        <v>45292.416666666664</v>
      </c>
      <c r="S104" t="s">
        <v>43</v>
      </c>
      <c r="T104">
        <v>23.8</v>
      </c>
      <c r="U104">
        <v>0</v>
      </c>
      <c r="V104">
        <v>0</v>
      </c>
      <c r="W104">
        <v>1.19</v>
      </c>
      <c r="X104">
        <v>0</v>
      </c>
      <c r="Y104">
        <v>0</v>
      </c>
      <c r="Z104">
        <v>24.99</v>
      </c>
      <c r="AA104" t="s">
        <v>44</v>
      </c>
      <c r="AB104" t="s">
        <v>45</v>
      </c>
      <c r="AC104" t="s">
        <v>46</v>
      </c>
      <c r="AD104" t="s">
        <v>37</v>
      </c>
      <c r="AE104" t="s">
        <v>37</v>
      </c>
      <c r="AF104" t="s">
        <v>37</v>
      </c>
      <c r="AG104" t="s">
        <v>37</v>
      </c>
      <c r="AH104" t="s">
        <v>761</v>
      </c>
      <c r="AI104" t="s">
        <v>37</v>
      </c>
    </row>
    <row r="105" spans="1:35" x14ac:dyDescent="0.25">
      <c r="A105" t="s">
        <v>758</v>
      </c>
      <c r="B105" t="s">
        <v>34</v>
      </c>
      <c r="C105" t="s">
        <v>325</v>
      </c>
      <c r="D105" t="s">
        <v>326</v>
      </c>
      <c r="E105" t="s">
        <v>37</v>
      </c>
      <c r="F105" t="s">
        <v>327</v>
      </c>
      <c r="G105" t="s">
        <v>39</v>
      </c>
      <c r="H105" t="s">
        <v>40</v>
      </c>
      <c r="I105" t="s">
        <v>41</v>
      </c>
      <c r="J105" t="s">
        <v>37</v>
      </c>
      <c r="K105" t="s">
        <v>37</v>
      </c>
      <c r="L105" t="s">
        <v>42</v>
      </c>
      <c r="M105" s="6">
        <v>45292.444398148145</v>
      </c>
      <c r="N105" t="s">
        <v>4262</v>
      </c>
      <c r="O105" s="1">
        <v>45292.152731481481</v>
      </c>
      <c r="P105" s="1">
        <v>45292.444467592592</v>
      </c>
      <c r="Q105" t="s">
        <v>4262</v>
      </c>
      <c r="R105" s="6">
        <v>45292.416666666664</v>
      </c>
      <c r="S105" t="s">
        <v>43</v>
      </c>
      <c r="T105">
        <v>23.8</v>
      </c>
      <c r="U105">
        <v>0</v>
      </c>
      <c r="V105">
        <v>23.8</v>
      </c>
      <c r="W105">
        <v>1.19</v>
      </c>
      <c r="X105">
        <v>0</v>
      </c>
      <c r="Y105">
        <v>0</v>
      </c>
      <c r="Z105">
        <v>24.99</v>
      </c>
      <c r="AA105" t="s">
        <v>44</v>
      </c>
      <c r="AB105" t="s">
        <v>45</v>
      </c>
      <c r="AC105" t="s">
        <v>46</v>
      </c>
      <c r="AD105" t="s">
        <v>37</v>
      </c>
      <c r="AE105" t="s">
        <v>37</v>
      </c>
      <c r="AF105" t="s">
        <v>759</v>
      </c>
      <c r="AG105" t="s">
        <v>37</v>
      </c>
      <c r="AH105" t="s">
        <v>325</v>
      </c>
      <c r="AI105" t="s">
        <v>37</v>
      </c>
    </row>
    <row r="106" spans="1:35" x14ac:dyDescent="0.25">
      <c r="A106" t="s">
        <v>426</v>
      </c>
      <c r="B106" t="s">
        <v>34</v>
      </c>
      <c r="C106" t="s">
        <v>427</v>
      </c>
      <c r="D106" t="s">
        <v>428</v>
      </c>
      <c r="E106" t="s">
        <v>37</v>
      </c>
      <c r="F106" t="s">
        <v>429</v>
      </c>
      <c r="G106" t="s">
        <v>39</v>
      </c>
      <c r="H106" t="s">
        <v>40</v>
      </c>
      <c r="I106" t="s">
        <v>41</v>
      </c>
      <c r="J106" t="s">
        <v>37</v>
      </c>
      <c r="K106" t="s">
        <v>37</v>
      </c>
      <c r="L106" t="s">
        <v>42</v>
      </c>
      <c r="M106" s="6">
        <v>45293.291666666664</v>
      </c>
      <c r="N106" t="s">
        <v>4267</v>
      </c>
      <c r="O106" s="1">
        <v>45293</v>
      </c>
      <c r="P106" s="1">
        <v>45293.379247685189</v>
      </c>
      <c r="Q106" t="s">
        <v>4267</v>
      </c>
      <c r="R106" s="6">
        <v>45293.416666666664</v>
      </c>
      <c r="S106" t="s">
        <v>43</v>
      </c>
      <c r="T106">
        <v>23.8</v>
      </c>
      <c r="U106">
        <v>0</v>
      </c>
      <c r="V106">
        <v>23.8</v>
      </c>
      <c r="W106">
        <v>1.19</v>
      </c>
      <c r="X106">
        <v>0</v>
      </c>
      <c r="Y106">
        <v>0</v>
      </c>
      <c r="Z106">
        <v>24.99</v>
      </c>
      <c r="AA106" t="s">
        <v>44</v>
      </c>
      <c r="AB106" t="s">
        <v>45</v>
      </c>
      <c r="AC106" t="s">
        <v>46</v>
      </c>
      <c r="AD106" t="s">
        <v>37</v>
      </c>
      <c r="AE106" t="s">
        <v>37</v>
      </c>
      <c r="AF106" t="s">
        <v>430</v>
      </c>
      <c r="AG106" t="s">
        <v>37</v>
      </c>
      <c r="AH106" t="s">
        <v>427</v>
      </c>
      <c r="AI106" t="s">
        <v>37</v>
      </c>
    </row>
    <row r="107" spans="1:35" x14ac:dyDescent="0.25">
      <c r="A107" t="s">
        <v>436</v>
      </c>
      <c r="B107" t="s">
        <v>34</v>
      </c>
      <c r="C107" t="s">
        <v>437</v>
      </c>
      <c r="D107" t="s">
        <v>438</v>
      </c>
      <c r="E107" t="s">
        <v>37</v>
      </c>
      <c r="F107" t="s">
        <v>439</v>
      </c>
      <c r="G107" t="s">
        <v>39</v>
      </c>
      <c r="H107" t="s">
        <v>40</v>
      </c>
      <c r="I107" t="s">
        <v>41</v>
      </c>
      <c r="J107" t="s">
        <v>37</v>
      </c>
      <c r="K107" t="s">
        <v>37</v>
      </c>
      <c r="L107" t="s">
        <v>42</v>
      </c>
      <c r="M107" s="6">
        <v>45293.291666666664</v>
      </c>
      <c r="N107" t="s">
        <v>4267</v>
      </c>
      <c r="O107" s="1">
        <v>45293</v>
      </c>
      <c r="P107" s="1">
        <v>45293.505335648151</v>
      </c>
      <c r="Q107" t="s">
        <v>4267</v>
      </c>
      <c r="R107" s="6">
        <v>45293.416666666664</v>
      </c>
      <c r="S107" t="s">
        <v>43</v>
      </c>
      <c r="T107">
        <v>23.8</v>
      </c>
      <c r="U107">
        <v>0</v>
      </c>
      <c r="V107">
        <v>23.8</v>
      </c>
      <c r="W107">
        <v>1.19</v>
      </c>
      <c r="X107">
        <v>0</v>
      </c>
      <c r="Y107">
        <v>0</v>
      </c>
      <c r="Z107">
        <v>24.99</v>
      </c>
      <c r="AA107" t="s">
        <v>44</v>
      </c>
      <c r="AB107" t="s">
        <v>45</v>
      </c>
      <c r="AC107" t="s">
        <v>46</v>
      </c>
      <c r="AD107" t="s">
        <v>37</v>
      </c>
      <c r="AE107" t="s">
        <v>37</v>
      </c>
      <c r="AF107" t="s">
        <v>440</v>
      </c>
      <c r="AG107" t="s">
        <v>37</v>
      </c>
      <c r="AH107" t="s">
        <v>437</v>
      </c>
      <c r="AI107" t="s">
        <v>37</v>
      </c>
    </row>
    <row r="108" spans="1:35" x14ac:dyDescent="0.25">
      <c r="A108" t="s">
        <v>704</v>
      </c>
      <c r="B108" t="s">
        <v>34</v>
      </c>
      <c r="C108" t="s">
        <v>705</v>
      </c>
      <c r="D108" t="s">
        <v>706</v>
      </c>
      <c r="E108" t="s">
        <v>37</v>
      </c>
      <c r="F108" t="s">
        <v>707</v>
      </c>
      <c r="G108" t="s">
        <v>39</v>
      </c>
      <c r="H108" t="s">
        <v>40</v>
      </c>
      <c r="I108" t="s">
        <v>41</v>
      </c>
      <c r="J108" t="s">
        <v>37</v>
      </c>
      <c r="K108" t="s">
        <v>37</v>
      </c>
      <c r="L108" t="s">
        <v>42</v>
      </c>
      <c r="M108" s="6">
        <v>45293.291666666664</v>
      </c>
      <c r="N108" t="s">
        <v>4267</v>
      </c>
      <c r="O108" s="1">
        <v>45293</v>
      </c>
      <c r="P108" s="1">
        <v>45282.839884259258</v>
      </c>
      <c r="Q108" t="s">
        <v>4267</v>
      </c>
      <c r="R108" s="6">
        <v>45293.416666666664</v>
      </c>
      <c r="S108" t="s">
        <v>43</v>
      </c>
      <c r="T108">
        <v>23.8</v>
      </c>
      <c r="U108">
        <v>0</v>
      </c>
      <c r="V108">
        <v>23.8</v>
      </c>
      <c r="W108">
        <v>1.19</v>
      </c>
      <c r="X108">
        <v>0</v>
      </c>
      <c r="Y108">
        <v>0</v>
      </c>
      <c r="Z108">
        <v>24.99</v>
      </c>
      <c r="AA108" t="s">
        <v>44</v>
      </c>
      <c r="AB108" t="s">
        <v>45</v>
      </c>
      <c r="AC108" t="s">
        <v>46</v>
      </c>
      <c r="AD108" t="s">
        <v>37</v>
      </c>
      <c r="AE108" t="s">
        <v>37</v>
      </c>
      <c r="AF108" t="s">
        <v>708</v>
      </c>
      <c r="AG108" t="s">
        <v>37</v>
      </c>
      <c r="AH108" t="s">
        <v>705</v>
      </c>
      <c r="AI108" t="s">
        <v>37</v>
      </c>
    </row>
    <row r="109" spans="1:35" x14ac:dyDescent="0.25">
      <c r="A109" t="s">
        <v>720</v>
      </c>
      <c r="B109" t="s">
        <v>34</v>
      </c>
      <c r="C109" t="s">
        <v>721</v>
      </c>
      <c r="D109" t="s">
        <v>722</v>
      </c>
      <c r="E109" t="s">
        <v>37</v>
      </c>
      <c r="F109" t="s">
        <v>723</v>
      </c>
      <c r="G109" t="s">
        <v>39</v>
      </c>
      <c r="H109" t="s">
        <v>40</v>
      </c>
      <c r="I109" t="s">
        <v>41</v>
      </c>
      <c r="J109" t="s">
        <v>37</v>
      </c>
      <c r="K109" t="s">
        <v>37</v>
      </c>
      <c r="L109" t="s">
        <v>42</v>
      </c>
      <c r="M109" s="6">
        <v>45293.291666666664</v>
      </c>
      <c r="N109" t="s">
        <v>4267</v>
      </c>
      <c r="O109" s="1">
        <v>45293</v>
      </c>
      <c r="P109" s="1">
        <v>45240.657094907408</v>
      </c>
      <c r="Q109" t="s">
        <v>4267</v>
      </c>
      <c r="R109" s="6">
        <v>45293.416666666664</v>
      </c>
      <c r="S109" t="s">
        <v>43</v>
      </c>
      <c r="T109">
        <v>19.04</v>
      </c>
      <c r="U109">
        <v>0</v>
      </c>
      <c r="V109">
        <v>19.04</v>
      </c>
      <c r="W109">
        <v>0.95</v>
      </c>
      <c r="X109">
        <v>0</v>
      </c>
      <c r="Y109">
        <v>0</v>
      </c>
      <c r="Z109">
        <v>19.989999999999998</v>
      </c>
      <c r="AA109" t="s">
        <v>44</v>
      </c>
      <c r="AB109" t="s">
        <v>45</v>
      </c>
      <c r="AC109" t="s">
        <v>46</v>
      </c>
      <c r="AD109" t="s">
        <v>37</v>
      </c>
      <c r="AE109" t="s">
        <v>37</v>
      </c>
      <c r="AF109" t="s">
        <v>724</v>
      </c>
      <c r="AG109" t="s">
        <v>37</v>
      </c>
      <c r="AH109" t="s">
        <v>721</v>
      </c>
      <c r="AI109" t="s">
        <v>37</v>
      </c>
    </row>
    <row r="110" spans="1:35" x14ac:dyDescent="0.25">
      <c r="A110" t="s">
        <v>725</v>
      </c>
      <c r="B110" t="s">
        <v>34</v>
      </c>
      <c r="C110" t="s">
        <v>726</v>
      </c>
      <c r="D110" t="s">
        <v>727</v>
      </c>
      <c r="E110" t="s">
        <v>37</v>
      </c>
      <c r="F110" t="s">
        <v>728</v>
      </c>
      <c r="G110" t="s">
        <v>39</v>
      </c>
      <c r="H110" t="s">
        <v>40</v>
      </c>
      <c r="I110" t="s">
        <v>41</v>
      </c>
      <c r="J110" t="s">
        <v>37</v>
      </c>
      <c r="K110" t="s">
        <v>37</v>
      </c>
      <c r="L110" t="s">
        <v>42</v>
      </c>
      <c r="M110" s="6">
        <v>45293.291666666664</v>
      </c>
      <c r="N110" t="s">
        <v>4267</v>
      </c>
      <c r="O110" s="1">
        <v>45293</v>
      </c>
      <c r="P110" s="1">
        <v>45282.36109953704</v>
      </c>
      <c r="Q110" t="s">
        <v>4267</v>
      </c>
      <c r="R110" s="6">
        <v>45293.416666666664</v>
      </c>
      <c r="S110" t="s">
        <v>43</v>
      </c>
      <c r="T110">
        <v>23.8</v>
      </c>
      <c r="U110">
        <v>0</v>
      </c>
      <c r="V110">
        <v>0</v>
      </c>
      <c r="W110">
        <v>1.19</v>
      </c>
      <c r="X110">
        <v>0</v>
      </c>
      <c r="Y110">
        <v>0</v>
      </c>
      <c r="Z110">
        <v>24.99</v>
      </c>
      <c r="AA110" t="s">
        <v>44</v>
      </c>
      <c r="AB110" t="s">
        <v>115</v>
      </c>
      <c r="AC110" t="s">
        <v>116</v>
      </c>
      <c r="AD110" t="s">
        <v>37</v>
      </c>
      <c r="AE110" t="s">
        <v>37</v>
      </c>
      <c r="AF110" t="s">
        <v>37</v>
      </c>
      <c r="AG110" t="s">
        <v>37</v>
      </c>
      <c r="AH110" t="s">
        <v>726</v>
      </c>
      <c r="AI110" t="s">
        <v>37</v>
      </c>
    </row>
    <row r="111" spans="1:35" x14ac:dyDescent="0.25">
      <c r="A111" t="s">
        <v>729</v>
      </c>
      <c r="B111" t="s">
        <v>34</v>
      </c>
      <c r="C111" t="s">
        <v>726</v>
      </c>
      <c r="D111" t="s">
        <v>727</v>
      </c>
      <c r="E111" t="s">
        <v>37</v>
      </c>
      <c r="F111" t="s">
        <v>728</v>
      </c>
      <c r="G111" t="s">
        <v>39</v>
      </c>
      <c r="H111" t="s">
        <v>40</v>
      </c>
      <c r="I111" t="s">
        <v>41</v>
      </c>
      <c r="J111" t="s">
        <v>37</v>
      </c>
      <c r="K111" t="s">
        <v>37</v>
      </c>
      <c r="L111" t="s">
        <v>42</v>
      </c>
      <c r="M111" s="6">
        <v>45293.291666666664</v>
      </c>
      <c r="N111" t="s">
        <v>4267</v>
      </c>
      <c r="O111" s="1">
        <v>45293</v>
      </c>
      <c r="P111" s="1">
        <v>45282.362141203703</v>
      </c>
      <c r="Q111" t="s">
        <v>4267</v>
      </c>
      <c r="R111" s="6">
        <v>45293.416666666664</v>
      </c>
      <c r="S111" t="s">
        <v>43</v>
      </c>
      <c r="T111">
        <v>23.8</v>
      </c>
      <c r="U111">
        <v>0</v>
      </c>
      <c r="V111">
        <v>23.8</v>
      </c>
      <c r="W111">
        <v>1.19</v>
      </c>
      <c r="X111">
        <v>0</v>
      </c>
      <c r="Y111">
        <v>0</v>
      </c>
      <c r="Z111">
        <v>24.99</v>
      </c>
      <c r="AA111" t="s">
        <v>44</v>
      </c>
      <c r="AB111" t="s">
        <v>45</v>
      </c>
      <c r="AC111" t="s">
        <v>46</v>
      </c>
      <c r="AD111" t="s">
        <v>37</v>
      </c>
      <c r="AE111" t="s">
        <v>37</v>
      </c>
      <c r="AF111" t="s">
        <v>730</v>
      </c>
      <c r="AG111" t="s">
        <v>37</v>
      </c>
      <c r="AH111" t="s">
        <v>726</v>
      </c>
      <c r="AI111" t="s">
        <v>37</v>
      </c>
    </row>
    <row r="112" spans="1:35" x14ac:dyDescent="0.25">
      <c r="A112" t="s">
        <v>737</v>
      </c>
      <c r="B112" t="s">
        <v>34</v>
      </c>
      <c r="C112" t="s">
        <v>733</v>
      </c>
      <c r="D112" t="s">
        <v>734</v>
      </c>
      <c r="E112" t="s">
        <v>37</v>
      </c>
      <c r="F112" t="s">
        <v>735</v>
      </c>
      <c r="G112" t="s">
        <v>39</v>
      </c>
      <c r="H112" t="s">
        <v>40</v>
      </c>
      <c r="I112" t="s">
        <v>41</v>
      </c>
      <c r="J112" t="s">
        <v>37</v>
      </c>
      <c r="K112" t="s">
        <v>37</v>
      </c>
      <c r="L112" t="s">
        <v>42</v>
      </c>
      <c r="M112" s="6">
        <v>45293.291666666664</v>
      </c>
      <c r="N112" t="s">
        <v>4267</v>
      </c>
      <c r="O112" s="1">
        <v>45293</v>
      </c>
      <c r="P112" s="1">
        <v>45291.686041666668</v>
      </c>
      <c r="Q112" t="s">
        <v>4267</v>
      </c>
      <c r="R112" s="6">
        <v>45293.416666666664</v>
      </c>
      <c r="S112" t="s">
        <v>43</v>
      </c>
      <c r="T112">
        <v>47.6</v>
      </c>
      <c r="U112">
        <v>0</v>
      </c>
      <c r="V112">
        <v>47.6</v>
      </c>
      <c r="W112">
        <v>2.38</v>
      </c>
      <c r="X112">
        <v>0</v>
      </c>
      <c r="Y112">
        <v>0</v>
      </c>
      <c r="Z112">
        <v>49.98</v>
      </c>
      <c r="AA112" t="s">
        <v>44</v>
      </c>
      <c r="AB112" t="s">
        <v>45</v>
      </c>
      <c r="AC112" t="s">
        <v>46</v>
      </c>
      <c r="AD112" t="s">
        <v>37</v>
      </c>
      <c r="AE112" t="s">
        <v>37</v>
      </c>
      <c r="AF112" t="s">
        <v>736</v>
      </c>
      <c r="AG112" t="s">
        <v>37</v>
      </c>
      <c r="AH112" t="s">
        <v>733</v>
      </c>
      <c r="AI112" t="s">
        <v>37</v>
      </c>
    </row>
    <row r="113" spans="1:35" x14ac:dyDescent="0.25">
      <c r="A113" t="s">
        <v>482</v>
      </c>
      <c r="B113" t="s">
        <v>34</v>
      </c>
      <c r="C113" t="s">
        <v>483</v>
      </c>
      <c r="D113" t="s">
        <v>484</v>
      </c>
      <c r="E113" t="s">
        <v>37</v>
      </c>
      <c r="F113" t="s">
        <v>485</v>
      </c>
      <c r="G113" t="s">
        <v>39</v>
      </c>
      <c r="H113" t="s">
        <v>40</v>
      </c>
      <c r="I113" t="s">
        <v>41</v>
      </c>
      <c r="J113" t="s">
        <v>37</v>
      </c>
      <c r="K113" t="s">
        <v>37</v>
      </c>
      <c r="L113" t="s">
        <v>42</v>
      </c>
      <c r="M113" s="6">
        <v>45294.291666666664</v>
      </c>
      <c r="N113" t="s">
        <v>4263</v>
      </c>
      <c r="O113" s="1">
        <v>45294</v>
      </c>
      <c r="P113" s="1">
        <v>45293.809814814813</v>
      </c>
      <c r="Q113" t="s">
        <v>4263</v>
      </c>
      <c r="R113" s="6">
        <v>45294.416666666664</v>
      </c>
      <c r="S113" t="s">
        <v>43</v>
      </c>
      <c r="T113">
        <v>23.8</v>
      </c>
      <c r="U113">
        <v>0</v>
      </c>
      <c r="V113">
        <v>23.8</v>
      </c>
      <c r="W113">
        <v>1.19</v>
      </c>
      <c r="X113">
        <v>0</v>
      </c>
      <c r="Y113">
        <v>0</v>
      </c>
      <c r="Z113">
        <v>24.99</v>
      </c>
      <c r="AA113" t="s">
        <v>44</v>
      </c>
      <c r="AB113" t="s">
        <v>45</v>
      </c>
      <c r="AC113" t="s">
        <v>46</v>
      </c>
      <c r="AD113" t="s">
        <v>37</v>
      </c>
      <c r="AE113" t="s">
        <v>37</v>
      </c>
      <c r="AF113" t="s">
        <v>486</v>
      </c>
      <c r="AG113" t="s">
        <v>37</v>
      </c>
      <c r="AH113" t="s">
        <v>487</v>
      </c>
      <c r="AI113" t="s">
        <v>37</v>
      </c>
    </row>
    <row r="114" spans="1:35" x14ac:dyDescent="0.25">
      <c r="A114" t="s">
        <v>505</v>
      </c>
      <c r="B114" t="s">
        <v>34</v>
      </c>
      <c r="C114" t="s">
        <v>437</v>
      </c>
      <c r="D114" t="s">
        <v>438</v>
      </c>
      <c r="E114" t="s">
        <v>37</v>
      </c>
      <c r="F114" t="s">
        <v>439</v>
      </c>
      <c r="G114" t="s">
        <v>39</v>
      </c>
      <c r="H114" t="s">
        <v>40</v>
      </c>
      <c r="I114" t="s">
        <v>41</v>
      </c>
      <c r="J114" t="s">
        <v>37</v>
      </c>
      <c r="K114" t="s">
        <v>37</v>
      </c>
      <c r="L114" t="s">
        <v>42</v>
      </c>
      <c r="M114" s="6">
        <v>45294.291666666664</v>
      </c>
      <c r="N114" t="s">
        <v>4263</v>
      </c>
      <c r="O114" s="1">
        <v>45294</v>
      </c>
      <c r="P114" s="1">
        <v>45293.887604166666</v>
      </c>
      <c r="Q114" t="s">
        <v>4263</v>
      </c>
      <c r="R114" s="6">
        <v>45294.416666666664</v>
      </c>
      <c r="S114" t="s">
        <v>43</v>
      </c>
      <c r="T114">
        <v>23.8</v>
      </c>
      <c r="U114">
        <v>0</v>
      </c>
      <c r="V114">
        <v>23.8</v>
      </c>
      <c r="W114">
        <v>1.19</v>
      </c>
      <c r="X114">
        <v>0</v>
      </c>
      <c r="Y114">
        <v>0</v>
      </c>
      <c r="Z114">
        <v>24.99</v>
      </c>
      <c r="AA114" t="s">
        <v>44</v>
      </c>
      <c r="AB114" t="s">
        <v>45</v>
      </c>
      <c r="AC114" t="s">
        <v>46</v>
      </c>
      <c r="AD114" t="s">
        <v>37</v>
      </c>
      <c r="AE114" t="s">
        <v>37</v>
      </c>
      <c r="AF114" t="s">
        <v>506</v>
      </c>
      <c r="AG114" t="s">
        <v>37</v>
      </c>
      <c r="AH114" t="s">
        <v>437</v>
      </c>
      <c r="AI114" t="s">
        <v>37</v>
      </c>
    </row>
    <row r="115" spans="1:35" x14ac:dyDescent="0.25">
      <c r="A115" t="s">
        <v>514</v>
      </c>
      <c r="B115" t="s">
        <v>34</v>
      </c>
      <c r="C115" t="s">
        <v>515</v>
      </c>
      <c r="D115" t="s">
        <v>516</v>
      </c>
      <c r="E115" t="s">
        <v>37</v>
      </c>
      <c r="F115" t="s">
        <v>517</v>
      </c>
      <c r="G115" t="s">
        <v>39</v>
      </c>
      <c r="H115" t="s">
        <v>40</v>
      </c>
      <c r="I115" t="s">
        <v>41</v>
      </c>
      <c r="J115" t="s">
        <v>37</v>
      </c>
      <c r="K115" t="s">
        <v>37</v>
      </c>
      <c r="L115" t="s">
        <v>42</v>
      </c>
      <c r="M115" s="6">
        <v>45294.291666666664</v>
      </c>
      <c r="N115" t="s">
        <v>4263</v>
      </c>
      <c r="O115" s="1">
        <v>45294</v>
      </c>
      <c r="P115" s="1">
        <v>45293.950011574074</v>
      </c>
      <c r="Q115" t="s">
        <v>4263</v>
      </c>
      <c r="R115" s="6">
        <v>45294.416666666664</v>
      </c>
      <c r="S115" t="s">
        <v>43</v>
      </c>
      <c r="T115">
        <v>19.04</v>
      </c>
      <c r="U115">
        <v>0</v>
      </c>
      <c r="V115">
        <v>19.04</v>
      </c>
      <c r="W115">
        <v>0.95</v>
      </c>
      <c r="X115">
        <v>0</v>
      </c>
      <c r="Y115">
        <v>0</v>
      </c>
      <c r="Z115">
        <v>19.989999999999998</v>
      </c>
      <c r="AA115" t="s">
        <v>44</v>
      </c>
      <c r="AB115" t="s">
        <v>45</v>
      </c>
      <c r="AC115" t="s">
        <v>46</v>
      </c>
      <c r="AD115" t="s">
        <v>37</v>
      </c>
      <c r="AE115" t="s">
        <v>37</v>
      </c>
      <c r="AF115" t="s">
        <v>518</v>
      </c>
      <c r="AG115" t="s">
        <v>37</v>
      </c>
      <c r="AH115" t="s">
        <v>515</v>
      </c>
      <c r="AI115" t="s">
        <v>37</v>
      </c>
    </row>
    <row r="116" spans="1:35" x14ac:dyDescent="0.25">
      <c r="A116" t="s">
        <v>709</v>
      </c>
      <c r="B116" t="s">
        <v>34</v>
      </c>
      <c r="C116" t="s">
        <v>710</v>
      </c>
      <c r="D116" t="s">
        <v>711</v>
      </c>
      <c r="E116" t="s">
        <v>37</v>
      </c>
      <c r="F116" t="s">
        <v>712</v>
      </c>
      <c r="G116" t="s">
        <v>39</v>
      </c>
      <c r="H116" t="s">
        <v>40</v>
      </c>
      <c r="I116" t="s">
        <v>41</v>
      </c>
      <c r="J116" t="s">
        <v>37</v>
      </c>
      <c r="K116" t="s">
        <v>37</v>
      </c>
      <c r="L116" t="s">
        <v>42</v>
      </c>
      <c r="M116" s="6">
        <v>45294.291666666664</v>
      </c>
      <c r="N116" t="s">
        <v>4263</v>
      </c>
      <c r="O116" s="1">
        <v>45294</v>
      </c>
      <c r="P116" s="1">
        <v>45280.700115740743</v>
      </c>
      <c r="Q116" t="s">
        <v>4263</v>
      </c>
      <c r="R116" s="6">
        <v>45294.416666666664</v>
      </c>
      <c r="S116" t="s">
        <v>43</v>
      </c>
      <c r="T116">
        <v>38.08</v>
      </c>
      <c r="U116">
        <v>0</v>
      </c>
      <c r="V116">
        <v>38.08</v>
      </c>
      <c r="W116">
        <v>1.9</v>
      </c>
      <c r="X116">
        <v>0</v>
      </c>
      <c r="Y116">
        <v>0</v>
      </c>
      <c r="Z116">
        <v>39.979999999999997</v>
      </c>
      <c r="AA116" t="s">
        <v>44</v>
      </c>
      <c r="AB116" t="s">
        <v>45</v>
      </c>
      <c r="AC116" t="s">
        <v>46</v>
      </c>
      <c r="AD116" t="s">
        <v>37</v>
      </c>
      <c r="AE116" t="s">
        <v>37</v>
      </c>
      <c r="AF116" t="s">
        <v>713</v>
      </c>
      <c r="AG116" t="s">
        <v>37</v>
      </c>
      <c r="AH116" t="s">
        <v>710</v>
      </c>
      <c r="AI116" t="s">
        <v>37</v>
      </c>
    </row>
    <row r="117" spans="1:35" x14ac:dyDescent="0.25">
      <c r="A117" t="s">
        <v>536</v>
      </c>
      <c r="B117" t="s">
        <v>34</v>
      </c>
      <c r="C117" t="s">
        <v>537</v>
      </c>
      <c r="D117" t="s">
        <v>538</v>
      </c>
      <c r="E117" t="s">
        <v>37</v>
      </c>
      <c r="F117" t="s">
        <v>539</v>
      </c>
      <c r="G117" t="s">
        <v>39</v>
      </c>
      <c r="H117" t="s">
        <v>40</v>
      </c>
      <c r="I117" t="s">
        <v>41</v>
      </c>
      <c r="J117" t="s">
        <v>37</v>
      </c>
      <c r="K117" t="s">
        <v>37</v>
      </c>
      <c r="L117" t="s">
        <v>42</v>
      </c>
      <c r="M117" s="6">
        <v>45294.308819444443</v>
      </c>
      <c r="N117" t="s">
        <v>4263</v>
      </c>
      <c r="O117" s="1">
        <v>45294.017152777778</v>
      </c>
      <c r="P117" s="1">
        <v>45294.308877314812</v>
      </c>
      <c r="Q117" t="s">
        <v>4263</v>
      </c>
      <c r="R117" s="6">
        <v>45294.416666666664</v>
      </c>
      <c r="S117" t="s">
        <v>43</v>
      </c>
      <c r="T117">
        <v>38.08</v>
      </c>
      <c r="U117">
        <v>0</v>
      </c>
      <c r="V117">
        <v>38.08</v>
      </c>
      <c r="W117">
        <v>1.9</v>
      </c>
      <c r="X117">
        <v>0</v>
      </c>
      <c r="Y117">
        <v>0</v>
      </c>
      <c r="Z117">
        <v>39.979999999999997</v>
      </c>
      <c r="AA117" t="s">
        <v>44</v>
      </c>
      <c r="AB117" t="s">
        <v>45</v>
      </c>
      <c r="AC117" t="s">
        <v>46</v>
      </c>
      <c r="AD117" t="s">
        <v>37</v>
      </c>
      <c r="AE117" t="s">
        <v>37</v>
      </c>
      <c r="AF117" t="s">
        <v>540</v>
      </c>
      <c r="AG117" t="s">
        <v>37</v>
      </c>
      <c r="AH117" t="s">
        <v>537</v>
      </c>
      <c r="AI117" t="s">
        <v>37</v>
      </c>
    </row>
    <row r="118" spans="1:35" x14ac:dyDescent="0.25">
      <c r="A118" t="s">
        <v>542</v>
      </c>
      <c r="B118" t="s">
        <v>34</v>
      </c>
      <c r="C118" t="s">
        <v>543</v>
      </c>
      <c r="D118" t="s">
        <v>544</v>
      </c>
      <c r="E118" t="s">
        <v>37</v>
      </c>
      <c r="F118" t="s">
        <v>545</v>
      </c>
      <c r="G118" t="s">
        <v>39</v>
      </c>
      <c r="H118" t="s">
        <v>40</v>
      </c>
      <c r="I118" t="s">
        <v>41</v>
      </c>
      <c r="J118" t="s">
        <v>37</v>
      </c>
      <c r="K118" t="s">
        <v>37</v>
      </c>
      <c r="L118" t="s">
        <v>42</v>
      </c>
      <c r="M118" s="6">
        <v>45294.362754629627</v>
      </c>
      <c r="N118" t="s">
        <v>4263</v>
      </c>
      <c r="O118" s="1">
        <v>45294.071087962962</v>
      </c>
      <c r="P118" s="1">
        <v>45294.362800925926</v>
      </c>
      <c r="Q118" t="s">
        <v>4263</v>
      </c>
      <c r="R118" s="6">
        <v>45294.416666666664</v>
      </c>
      <c r="S118" t="s">
        <v>43</v>
      </c>
      <c r="T118">
        <v>19.04</v>
      </c>
      <c r="U118">
        <v>0</v>
      </c>
      <c r="V118">
        <v>19.04</v>
      </c>
      <c r="W118">
        <v>0.95</v>
      </c>
      <c r="X118">
        <v>0</v>
      </c>
      <c r="Y118">
        <v>0</v>
      </c>
      <c r="Z118">
        <v>19.989999999999998</v>
      </c>
      <c r="AA118" t="s">
        <v>44</v>
      </c>
      <c r="AB118" t="s">
        <v>45</v>
      </c>
      <c r="AC118" t="s">
        <v>46</v>
      </c>
      <c r="AD118" t="s">
        <v>37</v>
      </c>
      <c r="AE118" t="s">
        <v>37</v>
      </c>
      <c r="AF118" t="s">
        <v>546</v>
      </c>
      <c r="AG118" t="s">
        <v>37</v>
      </c>
      <c r="AH118" t="s">
        <v>543</v>
      </c>
      <c r="AI118" t="s">
        <v>37</v>
      </c>
    </row>
    <row r="119" spans="1:35" x14ac:dyDescent="0.25">
      <c r="A119" t="s">
        <v>541</v>
      </c>
      <c r="B119" t="s">
        <v>34</v>
      </c>
      <c r="C119" t="s">
        <v>537</v>
      </c>
      <c r="D119" t="s">
        <v>538</v>
      </c>
      <c r="E119" t="s">
        <v>37</v>
      </c>
      <c r="F119" t="s">
        <v>539</v>
      </c>
      <c r="G119" t="s">
        <v>39</v>
      </c>
      <c r="H119" t="s">
        <v>40</v>
      </c>
      <c r="I119" t="s">
        <v>41</v>
      </c>
      <c r="J119" t="s">
        <v>37</v>
      </c>
      <c r="K119" t="s">
        <v>37</v>
      </c>
      <c r="L119" t="s">
        <v>42</v>
      </c>
      <c r="M119" s="6">
        <v>45295.291666666664</v>
      </c>
      <c r="N119" t="s">
        <v>4264</v>
      </c>
      <c r="O119" s="1">
        <v>45295</v>
      </c>
      <c r="P119" s="1">
        <v>45294.308877314812</v>
      </c>
      <c r="Q119" t="s">
        <v>4264</v>
      </c>
      <c r="R119" s="6">
        <v>45295.416666666664</v>
      </c>
      <c r="S119" t="s">
        <v>43</v>
      </c>
      <c r="T119">
        <v>38.08</v>
      </c>
      <c r="U119">
        <v>0</v>
      </c>
      <c r="V119">
        <v>38.08</v>
      </c>
      <c r="W119">
        <v>1.9</v>
      </c>
      <c r="X119">
        <v>0</v>
      </c>
      <c r="Y119">
        <v>0</v>
      </c>
      <c r="Z119">
        <v>39.979999999999997</v>
      </c>
      <c r="AA119" t="s">
        <v>44</v>
      </c>
      <c r="AB119" t="s">
        <v>45</v>
      </c>
      <c r="AC119" t="s">
        <v>46</v>
      </c>
      <c r="AD119" t="s">
        <v>37</v>
      </c>
      <c r="AE119" t="s">
        <v>37</v>
      </c>
      <c r="AF119" t="s">
        <v>540</v>
      </c>
      <c r="AG119" t="s">
        <v>37</v>
      </c>
      <c r="AH119" t="s">
        <v>537</v>
      </c>
      <c r="AI119" t="s">
        <v>37</v>
      </c>
    </row>
    <row r="120" spans="1:35" x14ac:dyDescent="0.25">
      <c r="A120" t="s">
        <v>560</v>
      </c>
      <c r="B120" t="s">
        <v>34</v>
      </c>
      <c r="C120" t="s">
        <v>561</v>
      </c>
      <c r="D120" t="s">
        <v>562</v>
      </c>
      <c r="E120" t="s">
        <v>37</v>
      </c>
      <c r="F120" t="s">
        <v>563</v>
      </c>
      <c r="G120" t="s">
        <v>39</v>
      </c>
      <c r="H120" t="s">
        <v>40</v>
      </c>
      <c r="I120" t="s">
        <v>41</v>
      </c>
      <c r="J120" t="s">
        <v>37</v>
      </c>
      <c r="K120" t="s">
        <v>37</v>
      </c>
      <c r="L120" t="s">
        <v>42</v>
      </c>
      <c r="M120" s="6">
        <v>45295.291666666664</v>
      </c>
      <c r="N120" t="s">
        <v>4264</v>
      </c>
      <c r="O120" s="1">
        <v>45295</v>
      </c>
      <c r="P120" s="1">
        <v>45294.713576388887</v>
      </c>
      <c r="Q120" t="s">
        <v>4264</v>
      </c>
      <c r="R120" s="6">
        <v>45295.416666666664</v>
      </c>
      <c r="S120" t="s">
        <v>43</v>
      </c>
      <c r="T120">
        <v>19.04</v>
      </c>
      <c r="U120">
        <v>0</v>
      </c>
      <c r="V120">
        <v>19.04</v>
      </c>
      <c r="W120">
        <v>0.95</v>
      </c>
      <c r="X120">
        <v>0</v>
      </c>
      <c r="Y120">
        <v>0</v>
      </c>
      <c r="Z120">
        <v>19.989999999999998</v>
      </c>
      <c r="AA120" t="s">
        <v>44</v>
      </c>
      <c r="AB120" t="s">
        <v>45</v>
      </c>
      <c r="AC120" t="s">
        <v>46</v>
      </c>
      <c r="AD120" t="s">
        <v>37</v>
      </c>
      <c r="AE120" t="s">
        <v>37</v>
      </c>
      <c r="AF120" t="s">
        <v>564</v>
      </c>
      <c r="AG120" t="s">
        <v>37</v>
      </c>
      <c r="AH120" t="s">
        <v>561</v>
      </c>
      <c r="AI120" t="s">
        <v>37</v>
      </c>
    </row>
    <row r="121" spans="1:35" x14ac:dyDescent="0.25">
      <c r="A121" t="s">
        <v>592</v>
      </c>
      <c r="B121" t="s">
        <v>34</v>
      </c>
      <c r="C121" t="s">
        <v>593</v>
      </c>
      <c r="D121" t="s">
        <v>594</v>
      </c>
      <c r="E121" t="s">
        <v>37</v>
      </c>
      <c r="F121" t="s">
        <v>595</v>
      </c>
      <c r="G121" t="s">
        <v>39</v>
      </c>
      <c r="H121" t="s">
        <v>40</v>
      </c>
      <c r="I121" t="s">
        <v>41</v>
      </c>
      <c r="J121" t="s">
        <v>37</v>
      </c>
      <c r="K121" t="s">
        <v>37</v>
      </c>
      <c r="L121" t="s">
        <v>42</v>
      </c>
      <c r="M121" s="6">
        <v>45295.291666666664</v>
      </c>
      <c r="N121" t="s">
        <v>4264</v>
      </c>
      <c r="O121" s="1">
        <v>45295</v>
      </c>
      <c r="P121" s="1">
        <v>45294.867326388892</v>
      </c>
      <c r="Q121" t="s">
        <v>4264</v>
      </c>
      <c r="R121" s="6">
        <v>45295.416666666664</v>
      </c>
      <c r="S121" t="s">
        <v>43</v>
      </c>
      <c r="T121">
        <v>19.04</v>
      </c>
      <c r="U121">
        <v>0</v>
      </c>
      <c r="V121">
        <v>0</v>
      </c>
      <c r="W121">
        <v>0.95</v>
      </c>
      <c r="X121">
        <v>0</v>
      </c>
      <c r="Y121">
        <v>0</v>
      </c>
      <c r="Z121">
        <v>19.989999999999998</v>
      </c>
      <c r="AA121" t="s">
        <v>44</v>
      </c>
      <c r="AB121" t="s">
        <v>45</v>
      </c>
      <c r="AC121" t="s">
        <v>46</v>
      </c>
      <c r="AD121" t="s">
        <v>37</v>
      </c>
      <c r="AE121" t="s">
        <v>37</v>
      </c>
      <c r="AF121" t="s">
        <v>37</v>
      </c>
      <c r="AG121" t="s">
        <v>37</v>
      </c>
      <c r="AH121" t="s">
        <v>593</v>
      </c>
      <c r="AI121" t="s">
        <v>37</v>
      </c>
    </row>
    <row r="122" spans="1:35" x14ac:dyDescent="0.25">
      <c r="A122" t="s">
        <v>596</v>
      </c>
      <c r="B122" t="s">
        <v>34</v>
      </c>
      <c r="C122" t="s">
        <v>593</v>
      </c>
      <c r="D122" t="s">
        <v>594</v>
      </c>
      <c r="E122" t="s">
        <v>37</v>
      </c>
      <c r="F122" t="s">
        <v>597</v>
      </c>
      <c r="G122" t="s">
        <v>39</v>
      </c>
      <c r="H122" t="s">
        <v>40</v>
      </c>
      <c r="I122" t="s">
        <v>41</v>
      </c>
      <c r="J122" t="s">
        <v>37</v>
      </c>
      <c r="K122" t="s">
        <v>37</v>
      </c>
      <c r="L122" t="s">
        <v>42</v>
      </c>
      <c r="M122" s="6">
        <v>45295.291666666664</v>
      </c>
      <c r="N122" t="s">
        <v>4264</v>
      </c>
      <c r="O122" s="1">
        <v>45295</v>
      </c>
      <c r="P122" s="1">
        <v>45294.867326388892</v>
      </c>
      <c r="Q122" t="s">
        <v>4264</v>
      </c>
      <c r="R122" s="6">
        <v>45295.416666666664</v>
      </c>
      <c r="S122" t="s">
        <v>43</v>
      </c>
      <c r="T122">
        <v>19.04</v>
      </c>
      <c r="U122">
        <v>0</v>
      </c>
      <c r="V122">
        <v>19.04</v>
      </c>
      <c r="W122">
        <v>0.95</v>
      </c>
      <c r="X122">
        <v>0</v>
      </c>
      <c r="Y122">
        <v>0</v>
      </c>
      <c r="Z122">
        <v>19.989999999999998</v>
      </c>
      <c r="AA122" t="s">
        <v>44</v>
      </c>
      <c r="AB122" t="s">
        <v>45</v>
      </c>
      <c r="AC122" t="s">
        <v>46</v>
      </c>
      <c r="AD122" t="s">
        <v>37</v>
      </c>
      <c r="AE122" t="s">
        <v>37</v>
      </c>
      <c r="AF122" t="s">
        <v>598</v>
      </c>
      <c r="AG122" t="s">
        <v>37</v>
      </c>
      <c r="AH122" t="s">
        <v>593</v>
      </c>
      <c r="AI122" t="s">
        <v>37</v>
      </c>
    </row>
    <row r="123" spans="1:35" x14ac:dyDescent="0.25">
      <c r="A123" t="s">
        <v>599</v>
      </c>
      <c r="B123" t="s">
        <v>34</v>
      </c>
      <c r="C123" t="s">
        <v>600</v>
      </c>
      <c r="D123" t="s">
        <v>601</v>
      </c>
      <c r="E123" t="s">
        <v>37</v>
      </c>
      <c r="F123" t="s">
        <v>602</v>
      </c>
      <c r="G123" t="s">
        <v>39</v>
      </c>
      <c r="H123" t="s">
        <v>40</v>
      </c>
      <c r="I123" t="s">
        <v>41</v>
      </c>
      <c r="J123" t="s">
        <v>37</v>
      </c>
      <c r="K123" t="s">
        <v>37</v>
      </c>
      <c r="L123" t="s">
        <v>42</v>
      </c>
      <c r="M123" s="6">
        <v>45295.291666666664</v>
      </c>
      <c r="N123" t="s">
        <v>4264</v>
      </c>
      <c r="O123" s="1">
        <v>45295</v>
      </c>
      <c r="P123" s="1">
        <v>45295.477812500001</v>
      </c>
      <c r="Q123" t="s">
        <v>4264</v>
      </c>
      <c r="R123" s="6">
        <v>45295.416666666664</v>
      </c>
      <c r="S123" t="s">
        <v>43</v>
      </c>
      <c r="T123">
        <v>19.04</v>
      </c>
      <c r="U123">
        <v>0</v>
      </c>
      <c r="V123">
        <v>19.04</v>
      </c>
      <c r="W123">
        <v>0.95</v>
      </c>
      <c r="X123">
        <v>0</v>
      </c>
      <c r="Y123">
        <v>0</v>
      </c>
      <c r="Z123">
        <v>19.989999999999998</v>
      </c>
      <c r="AA123" t="s">
        <v>44</v>
      </c>
      <c r="AB123" t="s">
        <v>45</v>
      </c>
      <c r="AC123" t="s">
        <v>46</v>
      </c>
      <c r="AD123" t="s">
        <v>37</v>
      </c>
      <c r="AE123" t="s">
        <v>37</v>
      </c>
      <c r="AF123" t="s">
        <v>603</v>
      </c>
      <c r="AG123" t="s">
        <v>37</v>
      </c>
      <c r="AH123" t="s">
        <v>600</v>
      </c>
      <c r="AI123" t="s">
        <v>37</v>
      </c>
    </row>
    <row r="124" spans="1:35" x14ac:dyDescent="0.25">
      <c r="A124" t="s">
        <v>612</v>
      </c>
      <c r="B124" t="s">
        <v>34</v>
      </c>
      <c r="C124" t="s">
        <v>613</v>
      </c>
      <c r="D124" t="s">
        <v>614</v>
      </c>
      <c r="E124" t="s">
        <v>37</v>
      </c>
      <c r="F124" t="s">
        <v>615</v>
      </c>
      <c r="G124" t="s">
        <v>39</v>
      </c>
      <c r="H124" t="s">
        <v>40</v>
      </c>
      <c r="I124" t="s">
        <v>41</v>
      </c>
      <c r="J124" t="s">
        <v>37</v>
      </c>
      <c r="K124" t="s">
        <v>37</v>
      </c>
      <c r="L124" t="s">
        <v>42</v>
      </c>
      <c r="M124" s="6">
        <v>45295.291666666664</v>
      </c>
      <c r="N124" t="s">
        <v>4264</v>
      </c>
      <c r="O124" s="1">
        <v>45295</v>
      </c>
      <c r="P124" s="1">
        <v>45256.893923611111</v>
      </c>
      <c r="Q124" t="s">
        <v>4264</v>
      </c>
      <c r="R124" s="6">
        <v>45295.416666666664</v>
      </c>
      <c r="S124" t="s">
        <v>43</v>
      </c>
      <c r="T124">
        <v>38.08</v>
      </c>
      <c r="U124">
        <v>0</v>
      </c>
      <c r="V124">
        <v>38.08</v>
      </c>
      <c r="W124">
        <v>1.9</v>
      </c>
      <c r="X124">
        <v>0</v>
      </c>
      <c r="Y124">
        <v>0</v>
      </c>
      <c r="Z124">
        <v>39.979999999999997</v>
      </c>
      <c r="AA124" t="s">
        <v>44</v>
      </c>
      <c r="AB124" t="s">
        <v>45</v>
      </c>
      <c r="AC124" t="s">
        <v>46</v>
      </c>
      <c r="AD124" t="s">
        <v>37</v>
      </c>
      <c r="AE124" t="s">
        <v>37</v>
      </c>
      <c r="AF124" t="s">
        <v>616</v>
      </c>
      <c r="AG124" t="s">
        <v>37</v>
      </c>
      <c r="AH124" t="s">
        <v>613</v>
      </c>
      <c r="AI124" t="s">
        <v>37</v>
      </c>
    </row>
    <row r="125" spans="1:35" x14ac:dyDescent="0.25">
      <c r="A125" t="s">
        <v>714</v>
      </c>
      <c r="B125" t="s">
        <v>34</v>
      </c>
      <c r="C125" t="s">
        <v>710</v>
      </c>
      <c r="D125" t="s">
        <v>711</v>
      </c>
      <c r="E125" t="s">
        <v>37</v>
      </c>
      <c r="F125" t="s">
        <v>712</v>
      </c>
      <c r="G125" t="s">
        <v>39</v>
      </c>
      <c r="H125" t="s">
        <v>40</v>
      </c>
      <c r="I125" t="s">
        <v>41</v>
      </c>
      <c r="J125" t="s">
        <v>37</v>
      </c>
      <c r="K125" t="s">
        <v>37</v>
      </c>
      <c r="L125" t="s">
        <v>42</v>
      </c>
      <c r="M125" s="6">
        <v>45295.291666666664</v>
      </c>
      <c r="N125" t="s">
        <v>4264</v>
      </c>
      <c r="O125" s="1">
        <v>45295</v>
      </c>
      <c r="P125" s="1">
        <v>45280.700115740743</v>
      </c>
      <c r="Q125" t="s">
        <v>4264</v>
      </c>
      <c r="R125" s="6">
        <v>45295.416666666664</v>
      </c>
      <c r="S125" t="s">
        <v>43</v>
      </c>
      <c r="T125">
        <v>38.08</v>
      </c>
      <c r="U125">
        <v>0</v>
      </c>
      <c r="V125">
        <v>38.08</v>
      </c>
      <c r="W125">
        <v>1.9</v>
      </c>
      <c r="X125">
        <v>0</v>
      </c>
      <c r="Y125">
        <v>0</v>
      </c>
      <c r="Z125">
        <v>39.979999999999997</v>
      </c>
      <c r="AA125" t="s">
        <v>44</v>
      </c>
      <c r="AB125" t="s">
        <v>45</v>
      </c>
      <c r="AC125" t="s">
        <v>46</v>
      </c>
      <c r="AD125" t="s">
        <v>37</v>
      </c>
      <c r="AE125" t="s">
        <v>37</v>
      </c>
      <c r="AF125" t="s">
        <v>713</v>
      </c>
      <c r="AG125" t="s">
        <v>37</v>
      </c>
      <c r="AH125" t="s">
        <v>710</v>
      </c>
      <c r="AI125" t="s">
        <v>37</v>
      </c>
    </row>
    <row r="126" spans="1:35" x14ac:dyDescent="0.25">
      <c r="A126" t="s">
        <v>477</v>
      </c>
      <c r="B126" t="s">
        <v>34</v>
      </c>
      <c r="C126" t="s">
        <v>478</v>
      </c>
      <c r="D126" t="s">
        <v>479</v>
      </c>
      <c r="E126" t="s">
        <v>37</v>
      </c>
      <c r="F126" t="s">
        <v>480</v>
      </c>
      <c r="G126" t="s">
        <v>39</v>
      </c>
      <c r="H126" t="s">
        <v>40</v>
      </c>
      <c r="I126" t="s">
        <v>41</v>
      </c>
      <c r="J126" t="s">
        <v>37</v>
      </c>
      <c r="K126" t="s">
        <v>37</v>
      </c>
      <c r="L126" t="s">
        <v>42</v>
      </c>
      <c r="M126" s="6">
        <v>45296.291666666664</v>
      </c>
      <c r="N126" t="s">
        <v>4268</v>
      </c>
      <c r="O126" s="1">
        <v>45296</v>
      </c>
      <c r="P126" s="1">
        <v>45293.777083333334</v>
      </c>
      <c r="Q126" t="s">
        <v>4268</v>
      </c>
      <c r="R126" s="6">
        <v>45296.416666666664</v>
      </c>
      <c r="S126" t="s">
        <v>43</v>
      </c>
      <c r="T126">
        <v>23.8</v>
      </c>
      <c r="U126">
        <v>0</v>
      </c>
      <c r="V126">
        <v>23.8</v>
      </c>
      <c r="W126">
        <v>1.19</v>
      </c>
      <c r="X126">
        <v>0</v>
      </c>
      <c r="Y126">
        <v>0</v>
      </c>
      <c r="Z126">
        <v>24.99</v>
      </c>
      <c r="AA126" t="s">
        <v>44</v>
      </c>
      <c r="AB126" t="s">
        <v>45</v>
      </c>
      <c r="AC126" t="s">
        <v>46</v>
      </c>
      <c r="AD126" t="s">
        <v>37</v>
      </c>
      <c r="AE126" t="s">
        <v>37</v>
      </c>
      <c r="AF126" t="s">
        <v>481</v>
      </c>
      <c r="AG126" t="s">
        <v>37</v>
      </c>
      <c r="AH126" t="s">
        <v>478</v>
      </c>
      <c r="AI126" t="s">
        <v>37</v>
      </c>
    </row>
    <row r="127" spans="1:35" x14ac:dyDescent="0.25">
      <c r="A127" t="s">
        <v>507</v>
      </c>
      <c r="B127" t="s">
        <v>34</v>
      </c>
      <c r="C127" t="s">
        <v>508</v>
      </c>
      <c r="D127" t="s">
        <v>509</v>
      </c>
      <c r="E127" t="s">
        <v>37</v>
      </c>
      <c r="F127" t="s">
        <v>510</v>
      </c>
      <c r="G127" t="s">
        <v>39</v>
      </c>
      <c r="H127" t="s">
        <v>40</v>
      </c>
      <c r="I127" t="s">
        <v>41</v>
      </c>
      <c r="J127" t="s">
        <v>37</v>
      </c>
      <c r="K127" t="s">
        <v>37</v>
      </c>
      <c r="L127" t="s">
        <v>42</v>
      </c>
      <c r="M127" s="6">
        <v>45296.291666666664</v>
      </c>
      <c r="N127" t="s">
        <v>4268</v>
      </c>
      <c r="O127" s="1">
        <v>45296</v>
      </c>
      <c r="P127" s="1">
        <v>45293.902048611111</v>
      </c>
      <c r="Q127" t="s">
        <v>4268</v>
      </c>
      <c r="R127" s="6">
        <v>45296.416666666664</v>
      </c>
      <c r="S127" t="s">
        <v>43</v>
      </c>
      <c r="T127">
        <v>23.8</v>
      </c>
      <c r="U127">
        <v>0</v>
      </c>
      <c r="V127">
        <v>23.8</v>
      </c>
      <c r="W127">
        <v>1.19</v>
      </c>
      <c r="X127">
        <v>0</v>
      </c>
      <c r="Y127">
        <v>0</v>
      </c>
      <c r="Z127">
        <v>24.99</v>
      </c>
      <c r="AA127" t="s">
        <v>44</v>
      </c>
      <c r="AB127" t="s">
        <v>45</v>
      </c>
      <c r="AC127" t="s">
        <v>46</v>
      </c>
      <c r="AD127" t="s">
        <v>37</v>
      </c>
      <c r="AE127" t="s">
        <v>37</v>
      </c>
      <c r="AF127" t="s">
        <v>511</v>
      </c>
      <c r="AG127" t="s">
        <v>37</v>
      </c>
      <c r="AH127" t="s">
        <v>508</v>
      </c>
      <c r="AI127" t="s">
        <v>37</v>
      </c>
    </row>
    <row r="128" spans="1:35" x14ac:dyDescent="0.25">
      <c r="A128" t="s">
        <v>617</v>
      </c>
      <c r="B128" t="s">
        <v>34</v>
      </c>
      <c r="C128" t="s">
        <v>618</v>
      </c>
      <c r="D128" t="s">
        <v>619</v>
      </c>
      <c r="E128" t="s">
        <v>37</v>
      </c>
      <c r="F128" t="s">
        <v>620</v>
      </c>
      <c r="G128" t="s">
        <v>39</v>
      </c>
      <c r="H128" t="s">
        <v>40</v>
      </c>
      <c r="I128" t="s">
        <v>41</v>
      </c>
      <c r="J128" t="s">
        <v>37</v>
      </c>
      <c r="K128" t="s">
        <v>37</v>
      </c>
      <c r="L128" t="s">
        <v>42</v>
      </c>
      <c r="M128" s="6">
        <v>45296.291666666664</v>
      </c>
      <c r="N128" t="s">
        <v>4268</v>
      </c>
      <c r="O128" s="1">
        <v>45296</v>
      </c>
      <c r="P128" s="1">
        <v>45295.780590277776</v>
      </c>
      <c r="Q128" t="s">
        <v>4268</v>
      </c>
      <c r="R128" s="6">
        <v>45296.416666666664</v>
      </c>
      <c r="S128" t="s">
        <v>43</v>
      </c>
      <c r="T128">
        <v>19.04</v>
      </c>
      <c r="U128">
        <v>0</v>
      </c>
      <c r="V128">
        <v>19.04</v>
      </c>
      <c r="W128">
        <v>0.95</v>
      </c>
      <c r="X128">
        <v>0</v>
      </c>
      <c r="Y128">
        <v>0</v>
      </c>
      <c r="Z128">
        <v>19.989999999999998</v>
      </c>
      <c r="AA128" t="s">
        <v>44</v>
      </c>
      <c r="AB128" t="s">
        <v>45</v>
      </c>
      <c r="AC128" t="s">
        <v>46</v>
      </c>
      <c r="AD128" t="s">
        <v>37</v>
      </c>
      <c r="AE128" t="s">
        <v>37</v>
      </c>
      <c r="AF128" t="s">
        <v>621</v>
      </c>
      <c r="AG128" t="s">
        <v>37</v>
      </c>
      <c r="AH128" t="s">
        <v>618</v>
      </c>
      <c r="AI128" t="s">
        <v>37</v>
      </c>
    </row>
    <row r="129" spans="1:35" x14ac:dyDescent="0.25">
      <c r="A129" t="s">
        <v>622</v>
      </c>
      <c r="B129" t="s">
        <v>34</v>
      </c>
      <c r="C129" t="s">
        <v>623</v>
      </c>
      <c r="D129" t="s">
        <v>624</v>
      </c>
      <c r="E129" t="s">
        <v>37</v>
      </c>
      <c r="F129" t="s">
        <v>625</v>
      </c>
      <c r="G129" t="s">
        <v>39</v>
      </c>
      <c r="H129" t="s">
        <v>40</v>
      </c>
      <c r="I129" t="s">
        <v>41</v>
      </c>
      <c r="J129" t="s">
        <v>37</v>
      </c>
      <c r="K129" t="s">
        <v>37</v>
      </c>
      <c r="L129" t="s">
        <v>42</v>
      </c>
      <c r="M129" s="6">
        <v>45296.291666666664</v>
      </c>
      <c r="N129" t="s">
        <v>4268</v>
      </c>
      <c r="O129" s="1">
        <v>45296</v>
      </c>
      <c r="P129" s="1">
        <v>45296.47179398148</v>
      </c>
      <c r="Q129" t="s">
        <v>4268</v>
      </c>
      <c r="R129" s="6">
        <v>45296.416666666664</v>
      </c>
      <c r="S129" t="s">
        <v>43</v>
      </c>
      <c r="T129">
        <v>19.04</v>
      </c>
      <c r="U129">
        <v>0</v>
      </c>
      <c r="V129">
        <v>0</v>
      </c>
      <c r="W129">
        <v>0.95</v>
      </c>
      <c r="X129">
        <v>0</v>
      </c>
      <c r="Y129">
        <v>0</v>
      </c>
      <c r="Z129">
        <v>19.989999999999998</v>
      </c>
      <c r="AA129" t="s">
        <v>44</v>
      </c>
      <c r="AB129" t="s">
        <v>115</v>
      </c>
      <c r="AC129" t="s">
        <v>116</v>
      </c>
      <c r="AD129" t="s">
        <v>37</v>
      </c>
      <c r="AE129" t="s">
        <v>37</v>
      </c>
      <c r="AF129" t="s">
        <v>37</v>
      </c>
      <c r="AG129" t="s">
        <v>37</v>
      </c>
      <c r="AH129" t="s">
        <v>623</v>
      </c>
      <c r="AI129" t="s">
        <v>37</v>
      </c>
    </row>
    <row r="130" spans="1:35" x14ac:dyDescent="0.25">
      <c r="A130" t="s">
        <v>626</v>
      </c>
      <c r="B130" t="s">
        <v>34</v>
      </c>
      <c r="C130" t="s">
        <v>623</v>
      </c>
      <c r="D130" t="s">
        <v>624</v>
      </c>
      <c r="E130" t="s">
        <v>37</v>
      </c>
      <c r="F130" t="s">
        <v>625</v>
      </c>
      <c r="G130" t="s">
        <v>39</v>
      </c>
      <c r="H130" t="s">
        <v>40</v>
      </c>
      <c r="I130" t="s">
        <v>41</v>
      </c>
      <c r="J130" t="s">
        <v>37</v>
      </c>
      <c r="K130" t="s">
        <v>37</v>
      </c>
      <c r="L130" t="s">
        <v>42</v>
      </c>
      <c r="M130" s="6">
        <v>45296.291666666664</v>
      </c>
      <c r="N130" t="s">
        <v>4268</v>
      </c>
      <c r="O130" s="1">
        <v>45296</v>
      </c>
      <c r="P130" s="1">
        <v>45296.472094907411</v>
      </c>
      <c r="Q130" t="s">
        <v>4268</v>
      </c>
      <c r="R130" s="6">
        <v>45296.416666666664</v>
      </c>
      <c r="S130" t="s">
        <v>43</v>
      </c>
      <c r="T130">
        <v>19.04</v>
      </c>
      <c r="U130">
        <v>0</v>
      </c>
      <c r="V130">
        <v>0</v>
      </c>
      <c r="W130">
        <v>0.95</v>
      </c>
      <c r="X130">
        <v>0</v>
      </c>
      <c r="Y130">
        <v>0</v>
      </c>
      <c r="Z130">
        <v>19.989999999999998</v>
      </c>
      <c r="AA130" t="s">
        <v>44</v>
      </c>
      <c r="AB130" t="s">
        <v>115</v>
      </c>
      <c r="AC130" t="s">
        <v>116</v>
      </c>
      <c r="AD130" t="s">
        <v>37</v>
      </c>
      <c r="AE130" t="s">
        <v>37</v>
      </c>
      <c r="AF130" t="s">
        <v>37</v>
      </c>
      <c r="AG130" t="s">
        <v>37</v>
      </c>
      <c r="AH130" t="s">
        <v>623</v>
      </c>
      <c r="AI130" t="s">
        <v>37</v>
      </c>
    </row>
    <row r="131" spans="1:35" x14ac:dyDescent="0.25">
      <c r="A131" t="s">
        <v>627</v>
      </c>
      <c r="B131" t="s">
        <v>34</v>
      </c>
      <c r="C131" t="s">
        <v>623</v>
      </c>
      <c r="D131" t="s">
        <v>624</v>
      </c>
      <c r="E131" t="s">
        <v>37</v>
      </c>
      <c r="F131" t="s">
        <v>625</v>
      </c>
      <c r="G131" t="s">
        <v>39</v>
      </c>
      <c r="H131" t="s">
        <v>40</v>
      </c>
      <c r="I131" t="s">
        <v>41</v>
      </c>
      <c r="J131" t="s">
        <v>37</v>
      </c>
      <c r="K131" t="s">
        <v>37</v>
      </c>
      <c r="L131" t="s">
        <v>42</v>
      </c>
      <c r="M131" s="6">
        <v>45296.291666666664</v>
      </c>
      <c r="N131" t="s">
        <v>4268</v>
      </c>
      <c r="O131" s="1">
        <v>45296</v>
      </c>
      <c r="P131" s="1">
        <v>45296.472615740742</v>
      </c>
      <c r="Q131" t="s">
        <v>4268</v>
      </c>
      <c r="R131" s="6">
        <v>45296.416666666664</v>
      </c>
      <c r="S131" t="s">
        <v>43</v>
      </c>
      <c r="T131">
        <v>19.04</v>
      </c>
      <c r="U131">
        <v>0</v>
      </c>
      <c r="V131">
        <v>0</v>
      </c>
      <c r="W131">
        <v>0.95</v>
      </c>
      <c r="X131">
        <v>0</v>
      </c>
      <c r="Y131">
        <v>0</v>
      </c>
      <c r="Z131">
        <v>19.989999999999998</v>
      </c>
      <c r="AA131" t="s">
        <v>44</v>
      </c>
      <c r="AB131" t="s">
        <v>115</v>
      </c>
      <c r="AC131" t="s">
        <v>116</v>
      </c>
      <c r="AD131" t="s">
        <v>37</v>
      </c>
      <c r="AE131" t="s">
        <v>37</v>
      </c>
      <c r="AF131" t="s">
        <v>37</v>
      </c>
      <c r="AG131" t="s">
        <v>37</v>
      </c>
      <c r="AH131" t="s">
        <v>623</v>
      </c>
      <c r="AI131" t="s">
        <v>37</v>
      </c>
    </row>
    <row r="132" spans="1:35" x14ac:dyDescent="0.25">
      <c r="A132" t="s">
        <v>628</v>
      </c>
      <c r="B132" t="s">
        <v>34</v>
      </c>
      <c r="C132" t="s">
        <v>600</v>
      </c>
      <c r="D132" t="s">
        <v>601</v>
      </c>
      <c r="E132" t="s">
        <v>37</v>
      </c>
      <c r="F132" t="s">
        <v>602</v>
      </c>
      <c r="G132" t="s">
        <v>39</v>
      </c>
      <c r="H132" t="s">
        <v>40</v>
      </c>
      <c r="I132" t="s">
        <v>41</v>
      </c>
      <c r="J132" t="s">
        <v>37</v>
      </c>
      <c r="K132" t="s">
        <v>37</v>
      </c>
      <c r="L132" t="s">
        <v>42</v>
      </c>
      <c r="M132" s="6">
        <v>45296.291666666664</v>
      </c>
      <c r="N132" t="s">
        <v>4268</v>
      </c>
      <c r="O132" s="1">
        <v>45296</v>
      </c>
      <c r="P132" s="1">
        <v>45296.560069444444</v>
      </c>
      <c r="Q132" t="s">
        <v>4268</v>
      </c>
      <c r="R132" s="6">
        <v>45296.416666666664</v>
      </c>
      <c r="S132" t="s">
        <v>43</v>
      </c>
      <c r="T132">
        <v>19.04</v>
      </c>
      <c r="U132">
        <v>0</v>
      </c>
      <c r="V132">
        <v>19.04</v>
      </c>
      <c r="W132">
        <v>0.95</v>
      </c>
      <c r="X132">
        <v>0</v>
      </c>
      <c r="Y132">
        <v>0</v>
      </c>
      <c r="Z132">
        <v>19.989999999999998</v>
      </c>
      <c r="AA132" t="s">
        <v>44</v>
      </c>
      <c r="AB132" t="s">
        <v>45</v>
      </c>
      <c r="AC132" t="s">
        <v>46</v>
      </c>
      <c r="AD132" t="s">
        <v>37</v>
      </c>
      <c r="AE132" t="s">
        <v>37</v>
      </c>
      <c r="AF132" t="s">
        <v>629</v>
      </c>
      <c r="AG132" t="s">
        <v>37</v>
      </c>
      <c r="AH132" t="s">
        <v>600</v>
      </c>
      <c r="AI132" t="s">
        <v>37</v>
      </c>
    </row>
    <row r="133" spans="1:35" x14ac:dyDescent="0.25">
      <c r="A133" t="s">
        <v>699</v>
      </c>
      <c r="B133" t="s">
        <v>34</v>
      </c>
      <c r="C133" t="s">
        <v>700</v>
      </c>
      <c r="D133" t="s">
        <v>701</v>
      </c>
      <c r="E133" t="s">
        <v>37</v>
      </c>
      <c r="F133" t="s">
        <v>702</v>
      </c>
      <c r="G133" t="s">
        <v>39</v>
      </c>
      <c r="H133" t="s">
        <v>40</v>
      </c>
      <c r="I133" t="s">
        <v>41</v>
      </c>
      <c r="J133" t="s">
        <v>37</v>
      </c>
      <c r="K133" t="s">
        <v>37</v>
      </c>
      <c r="L133" t="s">
        <v>42</v>
      </c>
      <c r="M133" s="6">
        <v>45296.291666666664</v>
      </c>
      <c r="N133" t="s">
        <v>4268</v>
      </c>
      <c r="O133" s="1">
        <v>45296</v>
      </c>
      <c r="P133" s="1">
        <v>45276.730706018519</v>
      </c>
      <c r="Q133" t="s">
        <v>4268</v>
      </c>
      <c r="R133" s="6">
        <v>45296.416666666664</v>
      </c>
      <c r="S133" t="s">
        <v>43</v>
      </c>
      <c r="T133">
        <v>19.04</v>
      </c>
      <c r="U133">
        <v>0</v>
      </c>
      <c r="V133">
        <v>19.04</v>
      </c>
      <c r="W133">
        <v>0.95</v>
      </c>
      <c r="X133">
        <v>0</v>
      </c>
      <c r="Y133">
        <v>0</v>
      </c>
      <c r="Z133">
        <v>19.989999999999998</v>
      </c>
      <c r="AA133" t="s">
        <v>44</v>
      </c>
      <c r="AB133" t="s">
        <v>45</v>
      </c>
      <c r="AC133" t="s">
        <v>46</v>
      </c>
      <c r="AD133" t="s">
        <v>37</v>
      </c>
      <c r="AE133" t="s">
        <v>37</v>
      </c>
      <c r="AF133" t="s">
        <v>703</v>
      </c>
      <c r="AG133" t="s">
        <v>37</v>
      </c>
      <c r="AH133" t="s">
        <v>700</v>
      </c>
      <c r="AI133" t="s">
        <v>37</v>
      </c>
    </row>
    <row r="134" spans="1:35" x14ac:dyDescent="0.25">
      <c r="A134" t="s">
        <v>731</v>
      </c>
      <c r="B134" t="s">
        <v>34</v>
      </c>
      <c r="C134" t="s">
        <v>613</v>
      </c>
      <c r="D134" t="s">
        <v>614</v>
      </c>
      <c r="E134" t="s">
        <v>37</v>
      </c>
      <c r="F134" t="s">
        <v>615</v>
      </c>
      <c r="G134" t="s">
        <v>39</v>
      </c>
      <c r="H134" t="s">
        <v>40</v>
      </c>
      <c r="I134" t="s">
        <v>41</v>
      </c>
      <c r="J134" t="s">
        <v>37</v>
      </c>
      <c r="K134" t="s">
        <v>37</v>
      </c>
      <c r="L134" t="s">
        <v>42</v>
      </c>
      <c r="M134" s="6">
        <v>45296.291666666664</v>
      </c>
      <c r="N134" t="s">
        <v>4268</v>
      </c>
      <c r="O134" s="1">
        <v>45296</v>
      </c>
      <c r="P134" s="1">
        <v>45256.893923611111</v>
      </c>
      <c r="Q134" t="s">
        <v>4268</v>
      </c>
      <c r="R134" s="6">
        <v>45296.416666666664</v>
      </c>
      <c r="S134" t="s">
        <v>43</v>
      </c>
      <c r="T134">
        <v>38.08</v>
      </c>
      <c r="U134">
        <v>0</v>
      </c>
      <c r="V134">
        <v>38.08</v>
      </c>
      <c r="W134">
        <v>1.9</v>
      </c>
      <c r="X134">
        <v>0</v>
      </c>
      <c r="Y134">
        <v>0</v>
      </c>
      <c r="Z134">
        <v>39.979999999999997</v>
      </c>
      <c r="AA134" t="s">
        <v>44</v>
      </c>
      <c r="AB134" t="s">
        <v>45</v>
      </c>
      <c r="AC134" t="s">
        <v>46</v>
      </c>
      <c r="AD134" t="s">
        <v>37</v>
      </c>
      <c r="AE134" t="s">
        <v>37</v>
      </c>
      <c r="AF134" t="s">
        <v>616</v>
      </c>
      <c r="AG134" t="s">
        <v>37</v>
      </c>
      <c r="AH134" t="s">
        <v>613</v>
      </c>
      <c r="AI134" t="s">
        <v>37</v>
      </c>
    </row>
    <row r="135" spans="1:35" x14ac:dyDescent="0.25">
      <c r="A135" t="s">
        <v>512</v>
      </c>
      <c r="B135" t="s">
        <v>34</v>
      </c>
      <c r="C135" t="s">
        <v>508</v>
      </c>
      <c r="D135" t="s">
        <v>509</v>
      </c>
      <c r="E135" t="s">
        <v>37</v>
      </c>
      <c r="F135" t="s">
        <v>510</v>
      </c>
      <c r="G135" t="s">
        <v>39</v>
      </c>
      <c r="H135" t="s">
        <v>40</v>
      </c>
      <c r="I135" t="s">
        <v>41</v>
      </c>
      <c r="J135" t="s">
        <v>37</v>
      </c>
      <c r="K135" t="s">
        <v>37</v>
      </c>
      <c r="L135" t="s">
        <v>42</v>
      </c>
      <c r="M135" s="6">
        <v>45297.291666666664</v>
      </c>
      <c r="N135" t="s">
        <v>4265</v>
      </c>
      <c r="O135" s="1">
        <v>45297</v>
      </c>
      <c r="P135" s="1">
        <v>45293.903090277781</v>
      </c>
      <c r="Q135" t="s">
        <v>4265</v>
      </c>
      <c r="R135" s="6">
        <v>45297.416666666664</v>
      </c>
      <c r="S135" t="s">
        <v>43</v>
      </c>
      <c r="T135">
        <v>23.8</v>
      </c>
      <c r="U135">
        <v>0</v>
      </c>
      <c r="V135">
        <v>23.8</v>
      </c>
      <c r="W135">
        <v>1.19</v>
      </c>
      <c r="X135">
        <v>0</v>
      </c>
      <c r="Y135">
        <v>0</v>
      </c>
      <c r="Z135">
        <v>24.99</v>
      </c>
      <c r="AA135" t="s">
        <v>44</v>
      </c>
      <c r="AB135" t="s">
        <v>45</v>
      </c>
      <c r="AC135" t="s">
        <v>46</v>
      </c>
      <c r="AD135" t="s">
        <v>37</v>
      </c>
      <c r="AE135" t="s">
        <v>37</v>
      </c>
      <c r="AF135" t="s">
        <v>513</v>
      </c>
      <c r="AG135" t="s">
        <v>37</v>
      </c>
      <c r="AH135" t="s">
        <v>508</v>
      </c>
      <c r="AI135" t="s">
        <v>37</v>
      </c>
    </row>
    <row r="136" spans="1:35" x14ac:dyDescent="0.25">
      <c r="A136" t="s">
        <v>547</v>
      </c>
      <c r="B136" t="s">
        <v>34</v>
      </c>
      <c r="C136" t="s">
        <v>548</v>
      </c>
      <c r="D136" t="s">
        <v>549</v>
      </c>
      <c r="E136" t="s">
        <v>37</v>
      </c>
      <c r="F136" t="s">
        <v>550</v>
      </c>
      <c r="G136" t="s">
        <v>39</v>
      </c>
      <c r="H136" t="s">
        <v>40</v>
      </c>
      <c r="I136" t="s">
        <v>41</v>
      </c>
      <c r="J136" t="s">
        <v>37</v>
      </c>
      <c r="K136" t="s">
        <v>37</v>
      </c>
      <c r="L136" t="s">
        <v>42</v>
      </c>
      <c r="M136" s="6">
        <v>45297.291666666664</v>
      </c>
      <c r="N136" t="s">
        <v>4265</v>
      </c>
      <c r="O136" s="1">
        <v>45297</v>
      </c>
      <c r="P136" s="1">
        <v>45294.536898148152</v>
      </c>
      <c r="Q136" t="s">
        <v>4265</v>
      </c>
      <c r="R136" s="6">
        <v>45297.416666666664</v>
      </c>
      <c r="S136" t="s">
        <v>43</v>
      </c>
      <c r="T136">
        <v>23.8</v>
      </c>
      <c r="U136">
        <v>0</v>
      </c>
      <c r="V136">
        <v>23.8</v>
      </c>
      <c r="W136">
        <v>1.19</v>
      </c>
      <c r="X136">
        <v>0</v>
      </c>
      <c r="Y136">
        <v>0</v>
      </c>
      <c r="Z136">
        <v>24.99</v>
      </c>
      <c r="AA136" t="s">
        <v>44</v>
      </c>
      <c r="AB136" t="s">
        <v>45</v>
      </c>
      <c r="AC136" t="s">
        <v>46</v>
      </c>
      <c r="AD136" t="s">
        <v>37</v>
      </c>
      <c r="AE136" t="s">
        <v>37</v>
      </c>
      <c r="AF136" t="s">
        <v>551</v>
      </c>
      <c r="AG136" t="s">
        <v>37</v>
      </c>
      <c r="AH136" t="s">
        <v>548</v>
      </c>
      <c r="AI136" t="s">
        <v>37</v>
      </c>
    </row>
    <row r="137" spans="1:35" x14ac:dyDescent="0.25">
      <c r="A137" t="s">
        <v>630</v>
      </c>
      <c r="B137" t="s">
        <v>34</v>
      </c>
      <c r="C137" t="s">
        <v>473</v>
      </c>
      <c r="D137" t="s">
        <v>474</v>
      </c>
      <c r="E137" t="s">
        <v>37</v>
      </c>
      <c r="F137" t="s">
        <v>475</v>
      </c>
      <c r="G137" t="s">
        <v>39</v>
      </c>
      <c r="H137" t="s">
        <v>40</v>
      </c>
      <c r="I137" t="s">
        <v>41</v>
      </c>
      <c r="J137" t="s">
        <v>37</v>
      </c>
      <c r="K137" t="s">
        <v>37</v>
      </c>
      <c r="L137" t="s">
        <v>42</v>
      </c>
      <c r="M137" s="6">
        <v>45297.291666666664</v>
      </c>
      <c r="N137" t="s">
        <v>4265</v>
      </c>
      <c r="O137" s="1">
        <v>45297</v>
      </c>
      <c r="P137" s="1">
        <v>45297.096562500003</v>
      </c>
      <c r="Q137" t="s">
        <v>4265</v>
      </c>
      <c r="R137" s="6">
        <v>45297.416666666664</v>
      </c>
      <c r="S137" t="s">
        <v>43</v>
      </c>
      <c r="T137">
        <v>23.8</v>
      </c>
      <c r="U137">
        <v>0</v>
      </c>
      <c r="V137">
        <v>23.8</v>
      </c>
      <c r="W137">
        <v>1.19</v>
      </c>
      <c r="X137">
        <v>0</v>
      </c>
      <c r="Y137">
        <v>0</v>
      </c>
      <c r="Z137">
        <v>24.99</v>
      </c>
      <c r="AA137" t="s">
        <v>44</v>
      </c>
      <c r="AB137" t="s">
        <v>45</v>
      </c>
      <c r="AC137" t="s">
        <v>46</v>
      </c>
      <c r="AD137" t="s">
        <v>37</v>
      </c>
      <c r="AE137" t="s">
        <v>37</v>
      </c>
      <c r="AF137" t="s">
        <v>631</v>
      </c>
      <c r="AG137" t="s">
        <v>37</v>
      </c>
      <c r="AH137" t="s">
        <v>473</v>
      </c>
      <c r="AI137" t="s">
        <v>37</v>
      </c>
    </row>
    <row r="138" spans="1:35" x14ac:dyDescent="0.25">
      <c r="A138" t="s">
        <v>632</v>
      </c>
      <c r="B138" t="s">
        <v>34</v>
      </c>
      <c r="C138" t="s">
        <v>633</v>
      </c>
      <c r="D138" t="s">
        <v>634</v>
      </c>
      <c r="E138" t="s">
        <v>37</v>
      </c>
      <c r="F138" t="s">
        <v>635</v>
      </c>
      <c r="G138" t="s">
        <v>39</v>
      </c>
      <c r="H138" t="s">
        <v>40</v>
      </c>
      <c r="I138" t="s">
        <v>41</v>
      </c>
      <c r="J138" t="s">
        <v>37</v>
      </c>
      <c r="K138" t="s">
        <v>37</v>
      </c>
      <c r="L138" t="s">
        <v>42</v>
      </c>
      <c r="M138" s="6">
        <v>45297.291666666664</v>
      </c>
      <c r="N138" t="s">
        <v>4265</v>
      </c>
      <c r="O138" s="1">
        <v>45297</v>
      </c>
      <c r="P138" s="1">
        <v>45246.458553240744</v>
      </c>
      <c r="Q138" t="s">
        <v>4265</v>
      </c>
      <c r="R138" s="6">
        <v>45297.416666666664</v>
      </c>
      <c r="S138" t="s">
        <v>43</v>
      </c>
      <c r="T138">
        <v>23.8</v>
      </c>
      <c r="U138">
        <v>0</v>
      </c>
      <c r="V138">
        <v>23.8</v>
      </c>
      <c r="W138">
        <v>1.19</v>
      </c>
      <c r="X138">
        <v>0</v>
      </c>
      <c r="Y138">
        <v>0</v>
      </c>
      <c r="Z138">
        <v>24.99</v>
      </c>
      <c r="AA138" t="s">
        <v>44</v>
      </c>
      <c r="AB138" t="s">
        <v>45</v>
      </c>
      <c r="AC138" t="s">
        <v>46</v>
      </c>
      <c r="AD138" t="s">
        <v>37</v>
      </c>
      <c r="AE138" t="s">
        <v>37</v>
      </c>
      <c r="AF138" t="s">
        <v>636</v>
      </c>
      <c r="AG138" t="s">
        <v>37</v>
      </c>
      <c r="AH138" t="s">
        <v>633</v>
      </c>
      <c r="AI138" t="s">
        <v>37</v>
      </c>
    </row>
    <row r="139" spans="1:35" x14ac:dyDescent="0.25">
      <c r="A139" t="s">
        <v>715</v>
      </c>
      <c r="B139" t="s">
        <v>34</v>
      </c>
      <c r="C139" t="s">
        <v>716</v>
      </c>
      <c r="D139" t="s">
        <v>717</v>
      </c>
      <c r="E139" t="s">
        <v>37</v>
      </c>
      <c r="F139" t="s">
        <v>718</v>
      </c>
      <c r="G139" t="s">
        <v>39</v>
      </c>
      <c r="H139" t="s">
        <v>40</v>
      </c>
      <c r="I139" t="s">
        <v>41</v>
      </c>
      <c r="J139" t="s">
        <v>37</v>
      </c>
      <c r="K139" t="s">
        <v>37</v>
      </c>
      <c r="L139" t="s">
        <v>42</v>
      </c>
      <c r="M139" s="6">
        <v>45297.291666666664</v>
      </c>
      <c r="N139" t="s">
        <v>4265</v>
      </c>
      <c r="O139" s="1">
        <v>45297</v>
      </c>
      <c r="P139" s="1">
        <v>45278.712164351855</v>
      </c>
      <c r="Q139" t="s">
        <v>4265</v>
      </c>
      <c r="R139" s="6">
        <v>45297.416666666664</v>
      </c>
      <c r="S139" t="s">
        <v>43</v>
      </c>
      <c r="T139">
        <v>23.8</v>
      </c>
      <c r="U139">
        <v>0</v>
      </c>
      <c r="V139">
        <v>23.8</v>
      </c>
      <c r="W139">
        <v>1.19</v>
      </c>
      <c r="X139">
        <v>0</v>
      </c>
      <c r="Y139">
        <v>0</v>
      </c>
      <c r="Z139">
        <v>24.99</v>
      </c>
      <c r="AA139" t="s">
        <v>44</v>
      </c>
      <c r="AB139" t="s">
        <v>45</v>
      </c>
      <c r="AC139" t="s">
        <v>46</v>
      </c>
      <c r="AD139" t="s">
        <v>37</v>
      </c>
      <c r="AE139" t="s">
        <v>37</v>
      </c>
      <c r="AF139" t="s">
        <v>719</v>
      </c>
      <c r="AG139" t="s">
        <v>37</v>
      </c>
      <c r="AH139" t="s">
        <v>716</v>
      </c>
      <c r="AI139" t="s">
        <v>37</v>
      </c>
    </row>
    <row r="140" spans="1:35" x14ac:dyDescent="0.25">
      <c r="A140" t="s">
        <v>738</v>
      </c>
      <c r="B140" t="s">
        <v>34</v>
      </c>
      <c r="C140" t="s">
        <v>739</v>
      </c>
      <c r="D140" t="s">
        <v>740</v>
      </c>
      <c r="E140" t="s">
        <v>37</v>
      </c>
      <c r="F140" t="s">
        <v>741</v>
      </c>
      <c r="G140" t="s">
        <v>39</v>
      </c>
      <c r="H140" t="s">
        <v>40</v>
      </c>
      <c r="I140" t="s">
        <v>41</v>
      </c>
      <c r="J140" t="s">
        <v>37</v>
      </c>
      <c r="K140" t="s">
        <v>37</v>
      </c>
      <c r="L140" t="s">
        <v>42</v>
      </c>
      <c r="M140" s="6">
        <v>45297.291666666664</v>
      </c>
      <c r="N140" t="s">
        <v>4265</v>
      </c>
      <c r="O140" s="1">
        <v>45297</v>
      </c>
      <c r="P140" s="1">
        <v>45291.740312499998</v>
      </c>
      <c r="Q140" t="s">
        <v>4265</v>
      </c>
      <c r="R140" s="6">
        <v>45297.416666666664</v>
      </c>
      <c r="S140" t="s">
        <v>43</v>
      </c>
      <c r="T140">
        <v>23.8</v>
      </c>
      <c r="U140">
        <v>0</v>
      </c>
      <c r="V140">
        <v>23.8</v>
      </c>
      <c r="W140">
        <v>1.19</v>
      </c>
      <c r="X140">
        <v>0</v>
      </c>
      <c r="Y140">
        <v>0</v>
      </c>
      <c r="Z140">
        <v>24.99</v>
      </c>
      <c r="AA140" t="s">
        <v>44</v>
      </c>
      <c r="AB140" t="s">
        <v>45</v>
      </c>
      <c r="AC140" t="s">
        <v>46</v>
      </c>
      <c r="AD140" t="s">
        <v>37</v>
      </c>
      <c r="AE140" t="s">
        <v>37</v>
      </c>
      <c r="AF140" t="s">
        <v>742</v>
      </c>
      <c r="AG140" t="s">
        <v>37</v>
      </c>
      <c r="AH140" t="s">
        <v>739</v>
      </c>
      <c r="AI140" t="s">
        <v>37</v>
      </c>
    </row>
    <row r="141" spans="1:35" x14ac:dyDescent="0.25">
      <c r="A141" t="s">
        <v>764</v>
      </c>
      <c r="B141" t="s">
        <v>34</v>
      </c>
      <c r="C141" t="s">
        <v>765</v>
      </c>
      <c r="D141" t="s">
        <v>766</v>
      </c>
      <c r="E141" t="s">
        <v>37</v>
      </c>
      <c r="F141" t="s">
        <v>767</v>
      </c>
      <c r="G141" t="s">
        <v>39</v>
      </c>
      <c r="H141" t="s">
        <v>40</v>
      </c>
      <c r="I141" t="s">
        <v>41</v>
      </c>
      <c r="J141" t="s">
        <v>37</v>
      </c>
      <c r="K141" t="s">
        <v>37</v>
      </c>
      <c r="L141" t="s">
        <v>42</v>
      </c>
      <c r="M141" s="6">
        <v>45297.291666666664</v>
      </c>
      <c r="N141" t="s">
        <v>4265</v>
      </c>
      <c r="O141" s="1">
        <v>45297</v>
      </c>
      <c r="P141" s="1">
        <v>45292.706458333334</v>
      </c>
      <c r="Q141" t="s">
        <v>4265</v>
      </c>
      <c r="R141" s="6">
        <v>45297.416666666664</v>
      </c>
      <c r="S141" t="s">
        <v>43</v>
      </c>
      <c r="T141">
        <v>23.8</v>
      </c>
      <c r="U141">
        <v>0</v>
      </c>
      <c r="V141">
        <v>23.8</v>
      </c>
      <c r="W141">
        <v>1.19</v>
      </c>
      <c r="X141">
        <v>0</v>
      </c>
      <c r="Y141">
        <v>0</v>
      </c>
      <c r="Z141">
        <v>24.99</v>
      </c>
      <c r="AA141" t="s">
        <v>44</v>
      </c>
      <c r="AB141" t="s">
        <v>45</v>
      </c>
      <c r="AC141" t="s">
        <v>46</v>
      </c>
      <c r="AD141" t="s">
        <v>37</v>
      </c>
      <c r="AE141" t="s">
        <v>37</v>
      </c>
      <c r="AF141" t="s">
        <v>768</v>
      </c>
      <c r="AG141" t="s">
        <v>37</v>
      </c>
      <c r="AH141" t="s">
        <v>765</v>
      </c>
      <c r="AI141" t="s">
        <v>37</v>
      </c>
    </row>
    <row r="142" spans="1:35" x14ac:dyDescent="0.25">
      <c r="A142" t="s">
        <v>552</v>
      </c>
      <c r="B142" t="s">
        <v>34</v>
      </c>
      <c r="C142" t="s">
        <v>548</v>
      </c>
      <c r="D142" t="s">
        <v>549</v>
      </c>
      <c r="E142" t="s">
        <v>37</v>
      </c>
      <c r="F142" t="s">
        <v>550</v>
      </c>
      <c r="G142" t="s">
        <v>39</v>
      </c>
      <c r="H142" t="s">
        <v>40</v>
      </c>
      <c r="I142" t="s">
        <v>41</v>
      </c>
      <c r="J142" t="s">
        <v>37</v>
      </c>
      <c r="K142" t="s">
        <v>37</v>
      </c>
      <c r="L142" t="s">
        <v>42</v>
      </c>
      <c r="M142" s="6">
        <v>45298.291666666664</v>
      </c>
      <c r="N142" t="s">
        <v>4266</v>
      </c>
      <c r="O142" s="1">
        <v>45298</v>
      </c>
      <c r="P142" s="1">
        <v>45294.541388888887</v>
      </c>
      <c r="Q142" t="s">
        <v>4266</v>
      </c>
      <c r="R142" s="6">
        <v>45298.416666666664</v>
      </c>
      <c r="S142" t="s">
        <v>43</v>
      </c>
      <c r="T142">
        <v>19.04</v>
      </c>
      <c r="U142">
        <v>0</v>
      </c>
      <c r="V142">
        <v>19.04</v>
      </c>
      <c r="W142">
        <v>0.95</v>
      </c>
      <c r="X142">
        <v>0</v>
      </c>
      <c r="Y142">
        <v>0</v>
      </c>
      <c r="Z142">
        <v>19.989999999999998</v>
      </c>
      <c r="AA142" t="s">
        <v>44</v>
      </c>
      <c r="AB142" t="s">
        <v>45</v>
      </c>
      <c r="AC142" t="s">
        <v>46</v>
      </c>
      <c r="AD142" t="s">
        <v>37</v>
      </c>
      <c r="AE142" t="s">
        <v>37</v>
      </c>
      <c r="AF142" t="s">
        <v>553</v>
      </c>
      <c r="AG142" t="s">
        <v>37</v>
      </c>
      <c r="AH142" t="s">
        <v>548</v>
      </c>
      <c r="AI142" t="s">
        <v>37</v>
      </c>
    </row>
    <row r="143" spans="1:35" x14ac:dyDescent="0.25">
      <c r="A143" t="s">
        <v>565</v>
      </c>
      <c r="B143" t="s">
        <v>34</v>
      </c>
      <c r="C143" t="s">
        <v>566</v>
      </c>
      <c r="D143" t="s">
        <v>567</v>
      </c>
      <c r="E143" t="s">
        <v>37</v>
      </c>
      <c r="F143" t="s">
        <v>568</v>
      </c>
      <c r="G143" t="s">
        <v>39</v>
      </c>
      <c r="H143" t="s">
        <v>40</v>
      </c>
      <c r="I143" t="s">
        <v>41</v>
      </c>
      <c r="J143" t="s">
        <v>37</v>
      </c>
      <c r="K143" t="s">
        <v>37</v>
      </c>
      <c r="L143" t="s">
        <v>42</v>
      </c>
      <c r="M143" s="6">
        <v>45300.291666666664</v>
      </c>
      <c r="N143" t="s">
        <v>4267</v>
      </c>
      <c r="O143" s="1">
        <v>45300</v>
      </c>
      <c r="P143" s="1">
        <v>45300.461805555555</v>
      </c>
      <c r="Q143" t="s">
        <v>4267</v>
      </c>
      <c r="R143" s="6">
        <v>45300.416666666664</v>
      </c>
      <c r="S143" t="s">
        <v>43</v>
      </c>
      <c r="T143">
        <v>19.04</v>
      </c>
      <c r="U143">
        <v>0</v>
      </c>
      <c r="V143">
        <v>19.04</v>
      </c>
      <c r="W143">
        <v>0.95</v>
      </c>
      <c r="X143">
        <v>0</v>
      </c>
      <c r="Y143">
        <v>0</v>
      </c>
      <c r="Z143">
        <v>19.989999999999998</v>
      </c>
      <c r="AA143" t="s">
        <v>44</v>
      </c>
      <c r="AB143" t="s">
        <v>45</v>
      </c>
      <c r="AC143" t="s">
        <v>46</v>
      </c>
      <c r="AD143" t="s">
        <v>37</v>
      </c>
      <c r="AE143" t="s">
        <v>37</v>
      </c>
      <c r="AF143" t="s">
        <v>569</v>
      </c>
      <c r="AG143" t="s">
        <v>37</v>
      </c>
      <c r="AH143" t="s">
        <v>566</v>
      </c>
      <c r="AI143" t="s">
        <v>37</v>
      </c>
    </row>
    <row r="144" spans="1:35" x14ac:dyDescent="0.25">
      <c r="A144" t="s">
        <v>570</v>
      </c>
      <c r="B144" t="s">
        <v>34</v>
      </c>
      <c r="C144" t="s">
        <v>571</v>
      </c>
      <c r="D144" t="s">
        <v>572</v>
      </c>
      <c r="E144" t="s">
        <v>37</v>
      </c>
      <c r="F144" t="s">
        <v>573</v>
      </c>
      <c r="G144" t="s">
        <v>39</v>
      </c>
      <c r="H144" t="s">
        <v>40</v>
      </c>
      <c r="I144" t="s">
        <v>41</v>
      </c>
      <c r="J144" t="s">
        <v>37</v>
      </c>
      <c r="K144" t="s">
        <v>37</v>
      </c>
      <c r="L144" t="s">
        <v>42</v>
      </c>
      <c r="M144" s="6">
        <v>45300.291666666664</v>
      </c>
      <c r="N144" t="s">
        <v>4267</v>
      </c>
      <c r="O144" s="1">
        <v>45300</v>
      </c>
      <c r="P144" s="1">
        <v>45300.465219907404</v>
      </c>
      <c r="Q144" t="s">
        <v>4267</v>
      </c>
      <c r="R144" s="6">
        <v>45300.416666666664</v>
      </c>
      <c r="S144" t="s">
        <v>43</v>
      </c>
      <c r="T144">
        <v>19.04</v>
      </c>
      <c r="U144">
        <v>0</v>
      </c>
      <c r="V144">
        <v>19.04</v>
      </c>
      <c r="W144">
        <v>0.95</v>
      </c>
      <c r="X144">
        <v>0</v>
      </c>
      <c r="Y144">
        <v>0</v>
      </c>
      <c r="Z144">
        <v>19.989999999999998</v>
      </c>
      <c r="AA144" t="s">
        <v>44</v>
      </c>
      <c r="AB144" t="s">
        <v>45</v>
      </c>
      <c r="AC144" t="s">
        <v>46</v>
      </c>
      <c r="AD144" t="s">
        <v>37</v>
      </c>
      <c r="AE144" t="s">
        <v>37</v>
      </c>
      <c r="AF144" t="s">
        <v>574</v>
      </c>
      <c r="AG144" t="s">
        <v>37</v>
      </c>
      <c r="AH144" t="s">
        <v>571</v>
      </c>
      <c r="AI144" t="s">
        <v>37</v>
      </c>
    </row>
    <row r="145" spans="1:35" x14ac:dyDescent="0.25">
      <c r="A145" t="s">
        <v>647</v>
      </c>
      <c r="B145" t="s">
        <v>34</v>
      </c>
      <c r="C145" t="s">
        <v>648</v>
      </c>
      <c r="D145" t="s">
        <v>649</v>
      </c>
      <c r="E145" t="s">
        <v>37</v>
      </c>
      <c r="F145" t="s">
        <v>650</v>
      </c>
      <c r="G145" t="s">
        <v>39</v>
      </c>
      <c r="H145" t="s">
        <v>40</v>
      </c>
      <c r="I145" t="s">
        <v>41</v>
      </c>
      <c r="J145" t="s">
        <v>37</v>
      </c>
      <c r="K145" t="s">
        <v>37</v>
      </c>
      <c r="L145" t="s">
        <v>42</v>
      </c>
      <c r="M145" s="6">
        <v>45309.383668981478</v>
      </c>
      <c r="N145" t="s">
        <v>4264</v>
      </c>
      <c r="O145" s="1">
        <v>45309.092002314814</v>
      </c>
      <c r="P145" s="1">
        <v>45309.383726851855</v>
      </c>
      <c r="Q145" t="s">
        <v>4264</v>
      </c>
      <c r="R145" s="6">
        <v>45309.416666666664</v>
      </c>
      <c r="S145" t="s">
        <v>43</v>
      </c>
      <c r="T145">
        <v>19.04</v>
      </c>
      <c r="U145">
        <v>0</v>
      </c>
      <c r="V145">
        <v>19.04</v>
      </c>
      <c r="W145">
        <v>0.95</v>
      </c>
      <c r="X145">
        <v>0</v>
      </c>
      <c r="Y145">
        <v>0</v>
      </c>
      <c r="Z145">
        <v>19.989999999999998</v>
      </c>
      <c r="AA145" t="s">
        <v>44</v>
      </c>
      <c r="AB145" t="s">
        <v>45</v>
      </c>
      <c r="AC145" t="s">
        <v>46</v>
      </c>
      <c r="AD145" t="s">
        <v>37</v>
      </c>
      <c r="AE145" t="s">
        <v>37</v>
      </c>
      <c r="AF145" t="s">
        <v>651</v>
      </c>
      <c r="AG145" t="s">
        <v>37</v>
      </c>
      <c r="AH145" t="s">
        <v>648</v>
      </c>
      <c r="AI145" t="s">
        <v>37</v>
      </c>
    </row>
    <row r="146" spans="1:35" x14ac:dyDescent="0.25">
      <c r="A146" t="s">
        <v>585</v>
      </c>
      <c r="B146" t="s">
        <v>34</v>
      </c>
      <c r="C146" t="s">
        <v>586</v>
      </c>
      <c r="D146" t="s">
        <v>587</v>
      </c>
      <c r="E146" t="s">
        <v>37</v>
      </c>
      <c r="F146" t="s">
        <v>588</v>
      </c>
      <c r="G146" t="s">
        <v>39</v>
      </c>
      <c r="H146" t="s">
        <v>40</v>
      </c>
      <c r="I146" t="s">
        <v>41</v>
      </c>
      <c r="J146" t="s">
        <v>37</v>
      </c>
      <c r="K146" t="s">
        <v>37</v>
      </c>
      <c r="L146" t="s">
        <v>42</v>
      </c>
      <c r="M146" s="6">
        <v>45310.291666666664</v>
      </c>
      <c r="N146" t="s">
        <v>4268</v>
      </c>
      <c r="O146" s="1">
        <v>45310</v>
      </c>
      <c r="P146" s="1">
        <v>45305.739976851852</v>
      </c>
      <c r="Q146" t="s">
        <v>4268</v>
      </c>
      <c r="R146" s="6">
        <v>45310.416666666664</v>
      </c>
      <c r="S146" t="s">
        <v>43</v>
      </c>
      <c r="T146">
        <v>19.04</v>
      </c>
      <c r="U146">
        <v>0</v>
      </c>
      <c r="V146">
        <v>19.04</v>
      </c>
      <c r="W146">
        <v>0.95</v>
      </c>
      <c r="X146">
        <v>0</v>
      </c>
      <c r="Y146">
        <v>0</v>
      </c>
      <c r="Z146">
        <v>19.989999999999998</v>
      </c>
      <c r="AA146" t="s">
        <v>44</v>
      </c>
      <c r="AB146" t="s">
        <v>45</v>
      </c>
      <c r="AC146" t="s">
        <v>46</v>
      </c>
      <c r="AD146" t="s">
        <v>37</v>
      </c>
      <c r="AE146" t="s">
        <v>37</v>
      </c>
      <c r="AF146" t="s">
        <v>589</v>
      </c>
      <c r="AG146" t="s">
        <v>37</v>
      </c>
      <c r="AH146" t="s">
        <v>586</v>
      </c>
      <c r="AI146" t="s">
        <v>37</v>
      </c>
    </row>
    <row r="147" spans="1:35" x14ac:dyDescent="0.25">
      <c r="A147" t="s">
        <v>431</v>
      </c>
      <c r="B147" t="s">
        <v>34</v>
      </c>
      <c r="C147" t="s">
        <v>432</v>
      </c>
      <c r="D147" t="s">
        <v>433</v>
      </c>
      <c r="E147" t="s">
        <v>37</v>
      </c>
      <c r="F147" t="s">
        <v>434</v>
      </c>
      <c r="G147" t="s">
        <v>39</v>
      </c>
      <c r="H147" t="s">
        <v>40</v>
      </c>
      <c r="I147" t="s">
        <v>41</v>
      </c>
      <c r="J147" t="s">
        <v>37</v>
      </c>
      <c r="K147" t="s">
        <v>37</v>
      </c>
      <c r="L147" t="s">
        <v>42</v>
      </c>
      <c r="M147" s="6">
        <v>45311.291666666664</v>
      </c>
      <c r="N147" t="s">
        <v>4265</v>
      </c>
      <c r="O147" s="1">
        <v>45311</v>
      </c>
      <c r="P147" s="1">
        <v>45309.972546296296</v>
      </c>
      <c r="Q147" t="s">
        <v>4265</v>
      </c>
      <c r="R147" s="6">
        <v>45311.416666666664</v>
      </c>
      <c r="S147" t="s">
        <v>43</v>
      </c>
      <c r="T147">
        <v>23.8</v>
      </c>
      <c r="U147">
        <v>0</v>
      </c>
      <c r="V147">
        <v>23.8</v>
      </c>
      <c r="W147">
        <v>1.19</v>
      </c>
      <c r="X147">
        <v>0</v>
      </c>
      <c r="Y147">
        <v>0</v>
      </c>
      <c r="Z147">
        <v>24.99</v>
      </c>
      <c r="AA147" t="s">
        <v>44</v>
      </c>
      <c r="AB147" t="s">
        <v>45</v>
      </c>
      <c r="AC147" t="s">
        <v>46</v>
      </c>
      <c r="AD147" t="s">
        <v>37</v>
      </c>
      <c r="AE147" t="s">
        <v>37</v>
      </c>
      <c r="AF147" t="s">
        <v>435</v>
      </c>
      <c r="AG147" t="s">
        <v>37</v>
      </c>
      <c r="AH147" t="s">
        <v>432</v>
      </c>
      <c r="AI147" t="s">
        <v>37</v>
      </c>
    </row>
    <row r="148" spans="1:35" x14ac:dyDescent="0.25">
      <c r="A148" t="s">
        <v>446</v>
      </c>
      <c r="B148" t="s">
        <v>34</v>
      </c>
      <c r="C148" t="s">
        <v>447</v>
      </c>
      <c r="D148" t="s">
        <v>448</v>
      </c>
      <c r="E148" t="s">
        <v>37</v>
      </c>
      <c r="F148" t="s">
        <v>449</v>
      </c>
      <c r="G148" t="s">
        <v>39</v>
      </c>
      <c r="H148" t="s">
        <v>40</v>
      </c>
      <c r="I148" t="s">
        <v>41</v>
      </c>
      <c r="J148" t="s">
        <v>37</v>
      </c>
      <c r="K148" t="s">
        <v>37</v>
      </c>
      <c r="L148" t="s">
        <v>42</v>
      </c>
      <c r="M148" s="6">
        <v>45311.291666666664</v>
      </c>
      <c r="N148" t="s">
        <v>4265</v>
      </c>
      <c r="O148" s="1">
        <v>45311</v>
      </c>
      <c r="P148" s="1">
        <v>45310.417569444442</v>
      </c>
      <c r="Q148" t="s">
        <v>4265</v>
      </c>
      <c r="R148" s="6">
        <v>45311.416666666664</v>
      </c>
      <c r="S148" t="s">
        <v>43</v>
      </c>
      <c r="T148">
        <v>47.6</v>
      </c>
      <c r="U148">
        <v>0</v>
      </c>
      <c r="V148">
        <v>47.6</v>
      </c>
      <c r="W148">
        <v>2.38</v>
      </c>
      <c r="X148">
        <v>0</v>
      </c>
      <c r="Y148">
        <v>0</v>
      </c>
      <c r="Z148">
        <v>49.98</v>
      </c>
      <c r="AA148" t="s">
        <v>44</v>
      </c>
      <c r="AB148" t="s">
        <v>45</v>
      </c>
      <c r="AC148" t="s">
        <v>46</v>
      </c>
      <c r="AD148" t="s">
        <v>37</v>
      </c>
      <c r="AE148" t="s">
        <v>37</v>
      </c>
      <c r="AF148" t="s">
        <v>450</v>
      </c>
      <c r="AG148" t="s">
        <v>37</v>
      </c>
      <c r="AH148" t="s">
        <v>447</v>
      </c>
      <c r="AI148" t="s">
        <v>37</v>
      </c>
    </row>
    <row r="149" spans="1:35" x14ac:dyDescent="0.25">
      <c r="A149" t="s">
        <v>462</v>
      </c>
      <c r="B149" t="s">
        <v>34</v>
      </c>
      <c r="C149" t="s">
        <v>463</v>
      </c>
      <c r="D149" t="s">
        <v>464</v>
      </c>
      <c r="E149" t="s">
        <v>37</v>
      </c>
      <c r="F149" t="s">
        <v>465</v>
      </c>
      <c r="G149" t="s">
        <v>39</v>
      </c>
      <c r="H149" t="s">
        <v>40</v>
      </c>
      <c r="I149" t="s">
        <v>41</v>
      </c>
      <c r="J149" t="s">
        <v>37</v>
      </c>
      <c r="K149" t="s">
        <v>37</v>
      </c>
      <c r="L149" t="s">
        <v>42</v>
      </c>
      <c r="M149" s="6">
        <v>45311.291666666664</v>
      </c>
      <c r="N149" t="s">
        <v>4265</v>
      </c>
      <c r="O149" s="1">
        <v>45311</v>
      </c>
      <c r="P149" s="1">
        <v>45310.499942129631</v>
      </c>
      <c r="Q149" t="s">
        <v>4265</v>
      </c>
      <c r="R149" s="6">
        <v>45311.416666666664</v>
      </c>
      <c r="S149" t="s">
        <v>43</v>
      </c>
      <c r="T149">
        <v>23.8</v>
      </c>
      <c r="U149">
        <v>0</v>
      </c>
      <c r="V149">
        <v>23.8</v>
      </c>
      <c r="W149">
        <v>1.19</v>
      </c>
      <c r="X149">
        <v>0</v>
      </c>
      <c r="Y149">
        <v>0</v>
      </c>
      <c r="Z149">
        <v>24.99</v>
      </c>
      <c r="AA149" t="s">
        <v>44</v>
      </c>
      <c r="AB149" t="s">
        <v>45</v>
      </c>
      <c r="AC149" t="s">
        <v>46</v>
      </c>
      <c r="AD149" t="s">
        <v>37</v>
      </c>
      <c r="AE149" t="s">
        <v>37</v>
      </c>
      <c r="AF149" t="s">
        <v>466</v>
      </c>
      <c r="AG149" t="s">
        <v>37</v>
      </c>
      <c r="AH149" t="s">
        <v>463</v>
      </c>
      <c r="AI149" t="s">
        <v>37</v>
      </c>
    </row>
    <row r="150" spans="1:35" x14ac:dyDescent="0.25">
      <c r="A150" t="s">
        <v>467</v>
      </c>
      <c r="B150" t="s">
        <v>34</v>
      </c>
      <c r="C150" t="s">
        <v>468</v>
      </c>
      <c r="D150" t="s">
        <v>469</v>
      </c>
      <c r="E150" t="s">
        <v>37</v>
      </c>
      <c r="F150" t="s">
        <v>470</v>
      </c>
      <c r="G150" t="s">
        <v>39</v>
      </c>
      <c r="H150" t="s">
        <v>40</v>
      </c>
      <c r="I150" t="s">
        <v>41</v>
      </c>
      <c r="J150" t="s">
        <v>37</v>
      </c>
      <c r="K150" t="s">
        <v>37</v>
      </c>
      <c r="L150" t="s">
        <v>42</v>
      </c>
      <c r="M150" s="6">
        <v>45311.291666666664</v>
      </c>
      <c r="N150" t="s">
        <v>4265</v>
      </c>
      <c r="O150" s="1">
        <v>45311</v>
      </c>
      <c r="P150" s="1">
        <v>45310.520671296297</v>
      </c>
      <c r="Q150" t="s">
        <v>4265</v>
      </c>
      <c r="R150" s="6">
        <v>45311.416666666664</v>
      </c>
      <c r="S150" t="s">
        <v>43</v>
      </c>
      <c r="T150">
        <v>23.8</v>
      </c>
      <c r="U150">
        <v>0</v>
      </c>
      <c r="V150">
        <v>23.8</v>
      </c>
      <c r="W150">
        <v>1.19</v>
      </c>
      <c r="X150">
        <v>0</v>
      </c>
      <c r="Y150">
        <v>0</v>
      </c>
      <c r="Z150">
        <v>24.99</v>
      </c>
      <c r="AA150" t="s">
        <v>44</v>
      </c>
      <c r="AB150" t="s">
        <v>45</v>
      </c>
      <c r="AC150" t="s">
        <v>46</v>
      </c>
      <c r="AD150" t="s">
        <v>37</v>
      </c>
      <c r="AE150" t="s">
        <v>37</v>
      </c>
      <c r="AF150" t="s">
        <v>471</v>
      </c>
      <c r="AG150" t="s">
        <v>37</v>
      </c>
      <c r="AH150" t="s">
        <v>468</v>
      </c>
      <c r="AI150" t="s">
        <v>37</v>
      </c>
    </row>
    <row r="151" spans="1:35" x14ac:dyDescent="0.25">
      <c r="A151" t="s">
        <v>472</v>
      </c>
      <c r="B151" t="s">
        <v>34</v>
      </c>
      <c r="C151" t="s">
        <v>473</v>
      </c>
      <c r="D151" t="s">
        <v>474</v>
      </c>
      <c r="E151" t="s">
        <v>37</v>
      </c>
      <c r="F151" t="s">
        <v>475</v>
      </c>
      <c r="G151" t="s">
        <v>39</v>
      </c>
      <c r="H151" t="s">
        <v>40</v>
      </c>
      <c r="I151" t="s">
        <v>41</v>
      </c>
      <c r="J151" t="s">
        <v>37</v>
      </c>
      <c r="K151" t="s">
        <v>37</v>
      </c>
      <c r="L151" t="s">
        <v>42</v>
      </c>
      <c r="M151" s="6">
        <v>45311.291666666664</v>
      </c>
      <c r="N151" t="s">
        <v>4265</v>
      </c>
      <c r="O151" s="1">
        <v>45311</v>
      </c>
      <c r="P151" s="1">
        <v>45310.938460648147</v>
      </c>
      <c r="Q151" t="s">
        <v>4265</v>
      </c>
      <c r="R151" s="6">
        <v>45311.416666666664</v>
      </c>
      <c r="S151" t="s">
        <v>43</v>
      </c>
      <c r="T151">
        <v>23.8</v>
      </c>
      <c r="U151">
        <v>0</v>
      </c>
      <c r="V151">
        <v>23.8</v>
      </c>
      <c r="W151">
        <v>1.19</v>
      </c>
      <c r="X151">
        <v>0</v>
      </c>
      <c r="Y151">
        <v>0</v>
      </c>
      <c r="Z151">
        <v>24.99</v>
      </c>
      <c r="AA151" t="s">
        <v>44</v>
      </c>
      <c r="AB151" t="s">
        <v>45</v>
      </c>
      <c r="AC151" t="s">
        <v>46</v>
      </c>
      <c r="AD151" t="s">
        <v>37</v>
      </c>
      <c r="AE151" t="s">
        <v>37</v>
      </c>
      <c r="AF151" t="s">
        <v>476</v>
      </c>
      <c r="AG151" t="s">
        <v>37</v>
      </c>
      <c r="AH151" t="s">
        <v>473</v>
      </c>
      <c r="AI151" t="s">
        <v>37</v>
      </c>
    </row>
    <row r="152" spans="1:35" x14ac:dyDescent="0.25">
      <c r="A152" t="s">
        <v>488</v>
      </c>
      <c r="B152" t="s">
        <v>34</v>
      </c>
      <c r="C152" t="s">
        <v>489</v>
      </c>
      <c r="D152" t="s">
        <v>490</v>
      </c>
      <c r="E152" t="s">
        <v>37</v>
      </c>
      <c r="F152" t="s">
        <v>491</v>
      </c>
      <c r="G152" t="s">
        <v>39</v>
      </c>
      <c r="H152" t="s">
        <v>40</v>
      </c>
      <c r="I152" t="s">
        <v>41</v>
      </c>
      <c r="J152" t="s">
        <v>37</v>
      </c>
      <c r="K152" t="s">
        <v>37</v>
      </c>
      <c r="L152" t="s">
        <v>42</v>
      </c>
      <c r="M152" s="6">
        <v>45311.291666666664</v>
      </c>
      <c r="N152" t="s">
        <v>4265</v>
      </c>
      <c r="O152" s="1">
        <v>45311</v>
      </c>
      <c r="P152" s="1">
        <v>45311.405266203707</v>
      </c>
      <c r="Q152" t="s">
        <v>4265</v>
      </c>
      <c r="R152" s="6">
        <v>45311.416666666664</v>
      </c>
      <c r="S152" t="s">
        <v>43</v>
      </c>
      <c r="T152">
        <v>23.8</v>
      </c>
      <c r="U152">
        <v>0</v>
      </c>
      <c r="V152">
        <v>23.8</v>
      </c>
      <c r="W152">
        <v>1.19</v>
      </c>
      <c r="X152">
        <v>0</v>
      </c>
      <c r="Y152">
        <v>0</v>
      </c>
      <c r="Z152">
        <v>24.99</v>
      </c>
      <c r="AA152" t="s">
        <v>44</v>
      </c>
      <c r="AB152" t="s">
        <v>45</v>
      </c>
      <c r="AC152" t="s">
        <v>46</v>
      </c>
      <c r="AD152" t="s">
        <v>37</v>
      </c>
      <c r="AE152" t="s">
        <v>37</v>
      </c>
      <c r="AF152" t="s">
        <v>492</v>
      </c>
      <c r="AG152" t="s">
        <v>37</v>
      </c>
      <c r="AH152" t="s">
        <v>493</v>
      </c>
      <c r="AI152" t="s">
        <v>37</v>
      </c>
    </row>
    <row r="153" spans="1:35" x14ac:dyDescent="0.25">
      <c r="A153" t="s">
        <v>554</v>
      </c>
      <c r="B153" t="s">
        <v>34</v>
      </c>
      <c r="C153" t="s">
        <v>555</v>
      </c>
      <c r="D153" t="s">
        <v>556</v>
      </c>
      <c r="E153" t="s">
        <v>37</v>
      </c>
      <c r="F153" t="s">
        <v>557</v>
      </c>
      <c r="G153" t="s">
        <v>39</v>
      </c>
      <c r="H153" t="s">
        <v>40</v>
      </c>
      <c r="I153" t="s">
        <v>41</v>
      </c>
      <c r="J153" t="s">
        <v>37</v>
      </c>
      <c r="K153" t="s">
        <v>37</v>
      </c>
      <c r="L153" t="s">
        <v>42</v>
      </c>
      <c r="M153" s="6">
        <v>45311.291666666664</v>
      </c>
      <c r="N153" t="s">
        <v>4265</v>
      </c>
      <c r="O153" s="1">
        <v>45311</v>
      </c>
      <c r="P153" s="1">
        <v>45305.444293981483</v>
      </c>
      <c r="Q153" t="s">
        <v>4265</v>
      </c>
      <c r="R153" s="6">
        <v>45311.416666666664</v>
      </c>
      <c r="S153" t="s">
        <v>43</v>
      </c>
      <c r="T153">
        <v>19.04</v>
      </c>
      <c r="U153">
        <v>0</v>
      </c>
      <c r="V153">
        <v>19.04</v>
      </c>
      <c r="W153">
        <v>0.95</v>
      </c>
      <c r="X153">
        <v>0</v>
      </c>
      <c r="Y153">
        <v>0</v>
      </c>
      <c r="Z153">
        <v>19.989999999999998</v>
      </c>
      <c r="AA153" t="s">
        <v>44</v>
      </c>
      <c r="AB153" t="s">
        <v>45</v>
      </c>
      <c r="AC153" t="s">
        <v>46</v>
      </c>
      <c r="AD153" t="s">
        <v>37</v>
      </c>
      <c r="AE153" t="s">
        <v>37</v>
      </c>
      <c r="AF153" t="s">
        <v>558</v>
      </c>
      <c r="AG153" t="s">
        <v>37</v>
      </c>
      <c r="AH153" t="s">
        <v>559</v>
      </c>
      <c r="AI153" t="s">
        <v>37</v>
      </c>
    </row>
    <row r="154" spans="1:35" x14ac:dyDescent="0.25">
      <c r="A154" t="s">
        <v>590</v>
      </c>
      <c r="B154" t="s">
        <v>34</v>
      </c>
      <c r="C154" t="s">
        <v>586</v>
      </c>
      <c r="D154" t="s">
        <v>587</v>
      </c>
      <c r="E154" t="s">
        <v>37</v>
      </c>
      <c r="F154" t="s">
        <v>588</v>
      </c>
      <c r="G154" t="s">
        <v>39</v>
      </c>
      <c r="H154" t="s">
        <v>40</v>
      </c>
      <c r="I154" t="s">
        <v>41</v>
      </c>
      <c r="J154" t="s">
        <v>37</v>
      </c>
      <c r="K154" t="s">
        <v>37</v>
      </c>
      <c r="L154" t="s">
        <v>42</v>
      </c>
      <c r="M154" s="6">
        <v>45311.291666666664</v>
      </c>
      <c r="N154" t="s">
        <v>4265</v>
      </c>
      <c r="O154" s="1">
        <v>45311</v>
      </c>
      <c r="P154" s="1">
        <v>45305.744305555556</v>
      </c>
      <c r="Q154" t="s">
        <v>4265</v>
      </c>
      <c r="R154" s="6">
        <v>45311.416666666664</v>
      </c>
      <c r="S154" t="s">
        <v>43</v>
      </c>
      <c r="T154">
        <v>23.8</v>
      </c>
      <c r="U154">
        <v>0</v>
      </c>
      <c r="V154">
        <v>23.8</v>
      </c>
      <c r="W154">
        <v>1.19</v>
      </c>
      <c r="X154">
        <v>0</v>
      </c>
      <c r="Y154">
        <v>0</v>
      </c>
      <c r="Z154">
        <v>24.99</v>
      </c>
      <c r="AA154" t="s">
        <v>44</v>
      </c>
      <c r="AB154" t="s">
        <v>45</v>
      </c>
      <c r="AC154" t="s">
        <v>46</v>
      </c>
      <c r="AD154" t="s">
        <v>37</v>
      </c>
      <c r="AE154" t="s">
        <v>37</v>
      </c>
      <c r="AF154" t="s">
        <v>591</v>
      </c>
      <c r="AG154" t="s">
        <v>37</v>
      </c>
      <c r="AH154" t="s">
        <v>586</v>
      </c>
      <c r="AI154" t="s">
        <v>37</v>
      </c>
    </row>
    <row r="155" spans="1:35" x14ac:dyDescent="0.25">
      <c r="A155" t="s">
        <v>637</v>
      </c>
      <c r="B155" t="s">
        <v>34</v>
      </c>
      <c r="C155" t="s">
        <v>638</v>
      </c>
      <c r="D155" t="s">
        <v>639</v>
      </c>
      <c r="E155" t="s">
        <v>37</v>
      </c>
      <c r="F155" t="s">
        <v>640</v>
      </c>
      <c r="G155" t="s">
        <v>39</v>
      </c>
      <c r="H155" t="s">
        <v>40</v>
      </c>
      <c r="I155" t="s">
        <v>41</v>
      </c>
      <c r="J155" t="s">
        <v>37</v>
      </c>
      <c r="K155" t="s">
        <v>37</v>
      </c>
      <c r="L155" t="s">
        <v>42</v>
      </c>
      <c r="M155" s="6">
        <v>45311.291666666664</v>
      </c>
      <c r="N155" t="s">
        <v>4265</v>
      </c>
      <c r="O155" s="1">
        <v>45311</v>
      </c>
      <c r="P155" s="1">
        <v>45309.297083333331</v>
      </c>
      <c r="Q155" t="s">
        <v>4265</v>
      </c>
      <c r="R155" s="6">
        <v>45311.416666666664</v>
      </c>
      <c r="S155" t="s">
        <v>43</v>
      </c>
      <c r="T155">
        <v>23.8</v>
      </c>
      <c r="U155">
        <v>0</v>
      </c>
      <c r="V155">
        <v>23.8</v>
      </c>
      <c r="W155">
        <v>1.19</v>
      </c>
      <c r="X155">
        <v>0</v>
      </c>
      <c r="Y155">
        <v>0</v>
      </c>
      <c r="Z155">
        <v>24.99</v>
      </c>
      <c r="AA155" t="s">
        <v>44</v>
      </c>
      <c r="AB155" t="s">
        <v>45</v>
      </c>
      <c r="AC155" t="s">
        <v>46</v>
      </c>
      <c r="AD155" t="s">
        <v>37</v>
      </c>
      <c r="AE155" t="s">
        <v>37</v>
      </c>
      <c r="AF155" t="s">
        <v>641</v>
      </c>
      <c r="AG155" t="s">
        <v>37</v>
      </c>
      <c r="AH155" t="s">
        <v>638</v>
      </c>
      <c r="AI155" t="s">
        <v>37</v>
      </c>
    </row>
    <row r="156" spans="1:35" x14ac:dyDescent="0.25">
      <c r="A156" t="s">
        <v>642</v>
      </c>
      <c r="B156" t="s">
        <v>34</v>
      </c>
      <c r="C156" t="s">
        <v>643</v>
      </c>
      <c r="D156" t="s">
        <v>644</v>
      </c>
      <c r="E156" t="s">
        <v>37</v>
      </c>
      <c r="F156" t="s">
        <v>645</v>
      </c>
      <c r="G156" t="s">
        <v>39</v>
      </c>
      <c r="H156" t="s">
        <v>40</v>
      </c>
      <c r="I156" t="s">
        <v>41</v>
      </c>
      <c r="J156" t="s">
        <v>37</v>
      </c>
      <c r="K156" t="s">
        <v>37</v>
      </c>
      <c r="L156" t="s">
        <v>42</v>
      </c>
      <c r="M156" s="6">
        <v>45311.291666666664</v>
      </c>
      <c r="N156" t="s">
        <v>4265</v>
      </c>
      <c r="O156" s="1">
        <v>45311</v>
      </c>
      <c r="P156" s="1">
        <v>45309.371840277781</v>
      </c>
      <c r="Q156" t="s">
        <v>4265</v>
      </c>
      <c r="R156" s="6">
        <v>45311.416666666664</v>
      </c>
      <c r="S156" t="s">
        <v>43</v>
      </c>
      <c r="T156">
        <v>23.8</v>
      </c>
      <c r="U156">
        <v>0</v>
      </c>
      <c r="V156">
        <v>23.8</v>
      </c>
      <c r="W156">
        <v>1.19</v>
      </c>
      <c r="X156">
        <v>0</v>
      </c>
      <c r="Y156">
        <v>0</v>
      </c>
      <c r="Z156">
        <v>24.99</v>
      </c>
      <c r="AA156" t="s">
        <v>44</v>
      </c>
      <c r="AB156" t="s">
        <v>45</v>
      </c>
      <c r="AC156" t="s">
        <v>46</v>
      </c>
      <c r="AD156" t="s">
        <v>37</v>
      </c>
      <c r="AE156" t="s">
        <v>37</v>
      </c>
      <c r="AF156" t="s">
        <v>646</v>
      </c>
      <c r="AG156" t="s">
        <v>37</v>
      </c>
      <c r="AH156" t="s">
        <v>643</v>
      </c>
      <c r="AI156" t="s">
        <v>37</v>
      </c>
    </row>
    <row r="157" spans="1:35" x14ac:dyDescent="0.25">
      <c r="A157" t="s">
        <v>451</v>
      </c>
      <c r="B157" t="s">
        <v>34</v>
      </c>
      <c r="C157" t="s">
        <v>447</v>
      </c>
      <c r="D157" t="s">
        <v>448</v>
      </c>
      <c r="E157" t="s">
        <v>37</v>
      </c>
      <c r="F157" t="s">
        <v>449</v>
      </c>
      <c r="G157" t="s">
        <v>39</v>
      </c>
      <c r="H157" t="s">
        <v>40</v>
      </c>
      <c r="I157" t="s">
        <v>41</v>
      </c>
      <c r="J157" t="s">
        <v>37</v>
      </c>
      <c r="K157" t="s">
        <v>37</v>
      </c>
      <c r="L157" t="s">
        <v>42</v>
      </c>
      <c r="M157" s="6">
        <v>45312.291666666664</v>
      </c>
      <c r="N157" t="s">
        <v>4266</v>
      </c>
      <c r="O157" s="1">
        <v>45312</v>
      </c>
      <c r="P157" s="1">
        <v>45310.417569444442</v>
      </c>
      <c r="Q157" t="s">
        <v>4266</v>
      </c>
      <c r="R157" s="6">
        <v>45312.416666666664</v>
      </c>
      <c r="S157" t="s">
        <v>43</v>
      </c>
      <c r="T157">
        <v>47.6</v>
      </c>
      <c r="U157">
        <v>0</v>
      </c>
      <c r="V157">
        <v>47.6</v>
      </c>
      <c r="W157">
        <v>2.38</v>
      </c>
      <c r="X157">
        <v>0</v>
      </c>
      <c r="Y157">
        <v>0</v>
      </c>
      <c r="Z157">
        <v>49.98</v>
      </c>
      <c r="AA157" t="s">
        <v>44</v>
      </c>
      <c r="AB157" t="s">
        <v>45</v>
      </c>
      <c r="AC157" t="s">
        <v>46</v>
      </c>
      <c r="AD157" t="s">
        <v>37</v>
      </c>
      <c r="AE157" t="s">
        <v>37</v>
      </c>
      <c r="AF157" t="s">
        <v>450</v>
      </c>
      <c r="AG157" t="s">
        <v>37</v>
      </c>
      <c r="AH157" t="s">
        <v>447</v>
      </c>
      <c r="AI157" t="s">
        <v>37</v>
      </c>
    </row>
    <row r="158" spans="1:35" x14ac:dyDescent="0.25">
      <c r="A158" t="s">
        <v>652</v>
      </c>
      <c r="B158" t="s">
        <v>34</v>
      </c>
      <c r="C158" t="s">
        <v>653</v>
      </c>
      <c r="D158" t="s">
        <v>654</v>
      </c>
      <c r="E158" t="s">
        <v>37</v>
      </c>
      <c r="F158" t="s">
        <v>655</v>
      </c>
      <c r="G158" t="s">
        <v>39</v>
      </c>
      <c r="H158" t="s">
        <v>40</v>
      </c>
      <c r="I158" t="s">
        <v>41</v>
      </c>
      <c r="J158" t="s">
        <v>37</v>
      </c>
      <c r="K158" t="s">
        <v>37</v>
      </c>
      <c r="L158" t="s">
        <v>42</v>
      </c>
      <c r="M158" s="6">
        <v>45312.291666666664</v>
      </c>
      <c r="N158" t="s">
        <v>4266</v>
      </c>
      <c r="O158" s="1">
        <v>45312</v>
      </c>
      <c r="P158" s="1">
        <v>45309.451539351852</v>
      </c>
      <c r="Q158" t="s">
        <v>4266</v>
      </c>
      <c r="R158" s="6">
        <v>45312.416666666664</v>
      </c>
      <c r="S158" t="s">
        <v>43</v>
      </c>
      <c r="T158">
        <v>19.04</v>
      </c>
      <c r="U158">
        <v>0</v>
      </c>
      <c r="V158">
        <v>19.04</v>
      </c>
      <c r="W158">
        <v>0.95</v>
      </c>
      <c r="X158">
        <v>0</v>
      </c>
      <c r="Y158">
        <v>0</v>
      </c>
      <c r="Z158">
        <v>19.989999999999998</v>
      </c>
      <c r="AA158" t="s">
        <v>44</v>
      </c>
      <c r="AB158" t="s">
        <v>45</v>
      </c>
      <c r="AC158" t="s">
        <v>46</v>
      </c>
      <c r="AD158" t="s">
        <v>37</v>
      </c>
      <c r="AE158" t="s">
        <v>37</v>
      </c>
      <c r="AF158" t="s">
        <v>656</v>
      </c>
      <c r="AG158" t="s">
        <v>37</v>
      </c>
      <c r="AH158" t="s">
        <v>653</v>
      </c>
      <c r="AI158" t="s">
        <v>37</v>
      </c>
    </row>
    <row r="159" spans="1:35" x14ac:dyDescent="0.25">
      <c r="A159" t="s">
        <v>519</v>
      </c>
      <c r="B159" t="s">
        <v>34</v>
      </c>
      <c r="C159" t="s">
        <v>520</v>
      </c>
      <c r="D159" t="s">
        <v>521</v>
      </c>
      <c r="E159" t="s">
        <v>37</v>
      </c>
      <c r="F159" t="s">
        <v>522</v>
      </c>
      <c r="G159" t="s">
        <v>39</v>
      </c>
      <c r="H159" t="s">
        <v>40</v>
      </c>
      <c r="I159" t="s">
        <v>41</v>
      </c>
      <c r="J159" t="s">
        <v>37</v>
      </c>
      <c r="K159" t="s">
        <v>37</v>
      </c>
      <c r="L159" t="s">
        <v>42</v>
      </c>
      <c r="M159" s="6">
        <v>45316.291666666664</v>
      </c>
      <c r="N159" t="s">
        <v>4264</v>
      </c>
      <c r="O159" s="1">
        <v>45316</v>
      </c>
      <c r="P159" s="1">
        <v>45312.483101851853</v>
      </c>
      <c r="Q159" t="s">
        <v>4264</v>
      </c>
      <c r="R159" s="6">
        <v>45316.416666666664</v>
      </c>
      <c r="S159" t="s">
        <v>43</v>
      </c>
      <c r="T159">
        <v>19.04</v>
      </c>
      <c r="U159">
        <v>0</v>
      </c>
      <c r="V159">
        <v>19.04</v>
      </c>
      <c r="W159">
        <v>0.95</v>
      </c>
      <c r="X159">
        <v>0</v>
      </c>
      <c r="Y159">
        <v>0</v>
      </c>
      <c r="Z159">
        <v>19.989999999999998</v>
      </c>
      <c r="AA159" t="s">
        <v>44</v>
      </c>
      <c r="AB159" t="s">
        <v>45</v>
      </c>
      <c r="AC159" t="s">
        <v>46</v>
      </c>
      <c r="AD159" t="s">
        <v>37</v>
      </c>
      <c r="AE159" t="s">
        <v>37</v>
      </c>
      <c r="AF159" t="s">
        <v>523</v>
      </c>
      <c r="AG159" t="s">
        <v>37</v>
      </c>
      <c r="AH159" t="s">
        <v>524</v>
      </c>
      <c r="AI159" t="s">
        <v>37</v>
      </c>
    </row>
    <row r="160" spans="1:35" x14ac:dyDescent="0.25">
      <c r="A160" t="s">
        <v>420</v>
      </c>
      <c r="B160" t="s">
        <v>34</v>
      </c>
      <c r="C160" t="s">
        <v>421</v>
      </c>
      <c r="D160" t="s">
        <v>422</v>
      </c>
      <c r="E160" t="s">
        <v>37</v>
      </c>
      <c r="F160" t="s">
        <v>423</v>
      </c>
      <c r="G160" t="s">
        <v>39</v>
      </c>
      <c r="H160" t="s">
        <v>40</v>
      </c>
      <c r="I160" t="s">
        <v>41</v>
      </c>
      <c r="J160" t="s">
        <v>37</v>
      </c>
      <c r="K160" t="s">
        <v>37</v>
      </c>
      <c r="L160" t="s">
        <v>42</v>
      </c>
      <c r="M160" s="6">
        <v>45318.291666666664</v>
      </c>
      <c r="N160" t="s">
        <v>4265</v>
      </c>
      <c r="O160" s="1">
        <v>45318</v>
      </c>
      <c r="P160" s="1">
        <v>45317.647974537038</v>
      </c>
      <c r="Q160" t="s">
        <v>4265</v>
      </c>
      <c r="R160" s="6">
        <v>45318.416666666664</v>
      </c>
      <c r="S160" t="s">
        <v>43</v>
      </c>
      <c r="T160">
        <v>24.99</v>
      </c>
      <c r="U160">
        <v>0</v>
      </c>
      <c r="V160">
        <v>24.99</v>
      </c>
      <c r="W160">
        <v>0</v>
      </c>
      <c r="X160">
        <v>0</v>
      </c>
      <c r="Y160">
        <v>0</v>
      </c>
      <c r="Z160">
        <v>24.99</v>
      </c>
      <c r="AA160" t="s">
        <v>44</v>
      </c>
      <c r="AB160" t="s">
        <v>45</v>
      </c>
      <c r="AC160" t="s">
        <v>46</v>
      </c>
      <c r="AD160" t="s">
        <v>37</v>
      </c>
      <c r="AE160" t="s">
        <v>37</v>
      </c>
      <c r="AF160" t="s">
        <v>424</v>
      </c>
      <c r="AG160" t="s">
        <v>37</v>
      </c>
      <c r="AH160" t="s">
        <v>425</v>
      </c>
      <c r="AI160" t="s">
        <v>37</v>
      </c>
    </row>
    <row r="161" spans="1:35" x14ac:dyDescent="0.25">
      <c r="A161" t="s">
        <v>441</v>
      </c>
      <c r="B161" t="s">
        <v>34</v>
      </c>
      <c r="C161" t="s">
        <v>442</v>
      </c>
      <c r="D161" t="s">
        <v>443</v>
      </c>
      <c r="E161" t="s">
        <v>37</v>
      </c>
      <c r="F161" t="s">
        <v>444</v>
      </c>
      <c r="G161" t="s">
        <v>39</v>
      </c>
      <c r="H161" t="s">
        <v>40</v>
      </c>
      <c r="I161" t="s">
        <v>41</v>
      </c>
      <c r="J161" t="s">
        <v>37</v>
      </c>
      <c r="K161" t="s">
        <v>37</v>
      </c>
      <c r="L161" t="s">
        <v>42</v>
      </c>
      <c r="M161" s="6">
        <v>45318.291666666664</v>
      </c>
      <c r="N161" t="s">
        <v>4265</v>
      </c>
      <c r="O161" s="1">
        <v>45318</v>
      </c>
      <c r="P161" s="1">
        <v>45317.827233796299</v>
      </c>
      <c r="Q161" t="s">
        <v>4265</v>
      </c>
      <c r="R161" s="6">
        <v>45318.416666666664</v>
      </c>
      <c r="S161" t="s">
        <v>43</v>
      </c>
      <c r="T161">
        <v>24.99</v>
      </c>
      <c r="U161">
        <v>0</v>
      </c>
      <c r="V161">
        <v>24.99</v>
      </c>
      <c r="W161">
        <v>0</v>
      </c>
      <c r="X161">
        <v>0</v>
      </c>
      <c r="Y161">
        <v>0</v>
      </c>
      <c r="Z161">
        <v>24.99</v>
      </c>
      <c r="AA161" t="s">
        <v>44</v>
      </c>
      <c r="AB161" t="s">
        <v>45</v>
      </c>
      <c r="AC161" t="s">
        <v>46</v>
      </c>
      <c r="AD161" t="s">
        <v>37</v>
      </c>
      <c r="AE161" t="s">
        <v>37</v>
      </c>
      <c r="AF161" t="s">
        <v>445</v>
      </c>
      <c r="AG161" t="s">
        <v>37</v>
      </c>
      <c r="AH161" t="s">
        <v>442</v>
      </c>
      <c r="AI161" t="s">
        <v>37</v>
      </c>
    </row>
    <row r="162" spans="1:35" x14ac:dyDescent="0.25">
      <c r="A162" t="s">
        <v>452</v>
      </c>
      <c r="B162" t="s">
        <v>34</v>
      </c>
      <c r="C162" t="s">
        <v>453</v>
      </c>
      <c r="D162" t="s">
        <v>454</v>
      </c>
      <c r="E162" t="s">
        <v>37</v>
      </c>
      <c r="F162" t="s">
        <v>455</v>
      </c>
      <c r="G162" t="s">
        <v>39</v>
      </c>
      <c r="H162" t="s">
        <v>40</v>
      </c>
      <c r="I162" t="s">
        <v>41</v>
      </c>
      <c r="J162" t="s">
        <v>37</v>
      </c>
      <c r="K162" t="s">
        <v>37</v>
      </c>
      <c r="L162" t="s">
        <v>42</v>
      </c>
      <c r="M162" s="6">
        <v>45318.291666666664</v>
      </c>
      <c r="N162" t="s">
        <v>4265</v>
      </c>
      <c r="O162" s="1">
        <v>45318</v>
      </c>
      <c r="P162" s="1">
        <v>45318.399363425924</v>
      </c>
      <c r="Q162" t="s">
        <v>4265</v>
      </c>
      <c r="R162" s="6">
        <v>45318.416666666664</v>
      </c>
      <c r="S162" t="s">
        <v>43</v>
      </c>
      <c r="T162">
        <v>24.99</v>
      </c>
      <c r="U162">
        <v>0</v>
      </c>
      <c r="V162">
        <v>24.99</v>
      </c>
      <c r="W162">
        <v>0</v>
      </c>
      <c r="X162">
        <v>0</v>
      </c>
      <c r="Y162">
        <v>0</v>
      </c>
      <c r="Z162">
        <v>24.99</v>
      </c>
      <c r="AA162" t="s">
        <v>44</v>
      </c>
      <c r="AB162" t="s">
        <v>45</v>
      </c>
      <c r="AC162" t="s">
        <v>46</v>
      </c>
      <c r="AD162" t="s">
        <v>37</v>
      </c>
      <c r="AE162" t="s">
        <v>37</v>
      </c>
      <c r="AF162" t="s">
        <v>456</v>
      </c>
      <c r="AG162" t="s">
        <v>37</v>
      </c>
      <c r="AH162" t="s">
        <v>453</v>
      </c>
      <c r="AI162" t="s">
        <v>37</v>
      </c>
    </row>
    <row r="163" spans="1:35" x14ac:dyDescent="0.25">
      <c r="A163" t="s">
        <v>530</v>
      </c>
      <c r="B163" t="s">
        <v>34</v>
      </c>
      <c r="C163" t="s">
        <v>531</v>
      </c>
      <c r="D163" t="s">
        <v>532</v>
      </c>
      <c r="E163" t="s">
        <v>37</v>
      </c>
      <c r="F163" t="s">
        <v>533</v>
      </c>
      <c r="G163" t="s">
        <v>39</v>
      </c>
      <c r="H163" t="s">
        <v>40</v>
      </c>
      <c r="I163" t="s">
        <v>41</v>
      </c>
      <c r="J163" t="s">
        <v>37</v>
      </c>
      <c r="K163" t="s">
        <v>37</v>
      </c>
      <c r="L163" t="s">
        <v>42</v>
      </c>
      <c r="M163" s="6">
        <v>45318.291666666664</v>
      </c>
      <c r="N163" t="s">
        <v>4265</v>
      </c>
      <c r="O163" s="1">
        <v>45318</v>
      </c>
      <c r="P163" s="1">
        <v>45312.599027777775</v>
      </c>
      <c r="Q163" t="s">
        <v>4265</v>
      </c>
      <c r="R163" s="6">
        <v>45318.416666666664</v>
      </c>
      <c r="S163" t="s">
        <v>43</v>
      </c>
      <c r="T163">
        <v>47.6</v>
      </c>
      <c r="U163">
        <v>0</v>
      </c>
      <c r="V163">
        <v>47.6</v>
      </c>
      <c r="W163">
        <v>2.38</v>
      </c>
      <c r="X163">
        <v>0</v>
      </c>
      <c r="Y163">
        <v>0</v>
      </c>
      <c r="Z163">
        <v>49.98</v>
      </c>
      <c r="AA163" t="s">
        <v>44</v>
      </c>
      <c r="AB163" t="s">
        <v>45</v>
      </c>
      <c r="AC163" t="s">
        <v>46</v>
      </c>
      <c r="AD163" t="s">
        <v>37</v>
      </c>
      <c r="AE163" t="s">
        <v>37</v>
      </c>
      <c r="AF163" t="s">
        <v>534</v>
      </c>
      <c r="AG163" t="s">
        <v>37</v>
      </c>
      <c r="AH163" t="s">
        <v>531</v>
      </c>
      <c r="AI163" t="s">
        <v>37</v>
      </c>
    </row>
    <row r="164" spans="1:35" x14ac:dyDescent="0.25">
      <c r="A164" t="s">
        <v>575</v>
      </c>
      <c r="B164" t="s">
        <v>34</v>
      </c>
      <c r="C164" t="s">
        <v>576</v>
      </c>
      <c r="D164" t="s">
        <v>577</v>
      </c>
      <c r="E164" t="s">
        <v>37</v>
      </c>
      <c r="F164" t="s">
        <v>578</v>
      </c>
      <c r="G164" t="s">
        <v>39</v>
      </c>
      <c r="H164" t="s">
        <v>40</v>
      </c>
      <c r="I164" t="s">
        <v>41</v>
      </c>
      <c r="J164" t="s">
        <v>37</v>
      </c>
      <c r="K164" t="s">
        <v>37</v>
      </c>
      <c r="L164" t="s">
        <v>42</v>
      </c>
      <c r="M164" s="6">
        <v>45318.291666666664</v>
      </c>
      <c r="N164" t="s">
        <v>4265</v>
      </c>
      <c r="O164" s="1">
        <v>45318</v>
      </c>
      <c r="P164" s="1">
        <v>45308.428333333337</v>
      </c>
      <c r="Q164" t="s">
        <v>4265</v>
      </c>
      <c r="R164" s="6">
        <v>45318.416666666664</v>
      </c>
      <c r="S164" t="s">
        <v>43</v>
      </c>
      <c r="T164">
        <v>23.8</v>
      </c>
      <c r="U164">
        <v>0</v>
      </c>
      <c r="V164">
        <v>23.8</v>
      </c>
      <c r="W164">
        <v>1.19</v>
      </c>
      <c r="X164">
        <v>0</v>
      </c>
      <c r="Y164">
        <v>0</v>
      </c>
      <c r="Z164">
        <v>24.99</v>
      </c>
      <c r="AA164" t="s">
        <v>44</v>
      </c>
      <c r="AB164" t="s">
        <v>45</v>
      </c>
      <c r="AC164" t="s">
        <v>46</v>
      </c>
      <c r="AD164" t="s">
        <v>37</v>
      </c>
      <c r="AE164" t="s">
        <v>37</v>
      </c>
      <c r="AF164" t="s">
        <v>579</v>
      </c>
      <c r="AG164" t="s">
        <v>37</v>
      </c>
      <c r="AH164" t="s">
        <v>576</v>
      </c>
      <c r="AI164" t="s">
        <v>37</v>
      </c>
    </row>
    <row r="165" spans="1:35" x14ac:dyDescent="0.25">
      <c r="A165" t="s">
        <v>580</v>
      </c>
      <c r="B165" t="s">
        <v>34</v>
      </c>
      <c r="C165" t="s">
        <v>581</v>
      </c>
      <c r="D165" t="s">
        <v>582</v>
      </c>
      <c r="E165" t="s">
        <v>37</v>
      </c>
      <c r="F165" t="s">
        <v>583</v>
      </c>
      <c r="G165" t="s">
        <v>39</v>
      </c>
      <c r="H165" t="s">
        <v>40</v>
      </c>
      <c r="I165" t="s">
        <v>41</v>
      </c>
      <c r="J165" t="s">
        <v>37</v>
      </c>
      <c r="K165" t="s">
        <v>37</v>
      </c>
      <c r="L165" t="s">
        <v>42</v>
      </c>
      <c r="M165" s="6">
        <v>45318.291666666664</v>
      </c>
      <c r="N165" t="s">
        <v>4265</v>
      </c>
      <c r="O165" s="1">
        <v>45318</v>
      </c>
      <c r="P165" s="1">
        <v>45314.473749999997</v>
      </c>
      <c r="Q165" t="s">
        <v>4265</v>
      </c>
      <c r="R165" s="6">
        <v>45318.416666666664</v>
      </c>
      <c r="S165" t="s">
        <v>43</v>
      </c>
      <c r="T165">
        <v>24.99</v>
      </c>
      <c r="U165">
        <v>0</v>
      </c>
      <c r="V165">
        <v>24.99</v>
      </c>
      <c r="W165">
        <v>0</v>
      </c>
      <c r="X165">
        <v>0</v>
      </c>
      <c r="Y165">
        <v>0</v>
      </c>
      <c r="Z165">
        <v>24.99</v>
      </c>
      <c r="AA165" t="s">
        <v>44</v>
      </c>
      <c r="AB165" t="s">
        <v>45</v>
      </c>
      <c r="AC165" t="s">
        <v>46</v>
      </c>
      <c r="AD165" t="s">
        <v>37</v>
      </c>
      <c r="AE165" t="s">
        <v>37</v>
      </c>
      <c r="AF165" t="s">
        <v>584</v>
      </c>
      <c r="AG165" t="s">
        <v>37</v>
      </c>
      <c r="AH165" t="s">
        <v>581</v>
      </c>
      <c r="AI165" t="s">
        <v>37</v>
      </c>
    </row>
    <row r="166" spans="1:35" x14ac:dyDescent="0.25">
      <c r="A166" t="s">
        <v>657</v>
      </c>
      <c r="B166" t="s">
        <v>34</v>
      </c>
      <c r="C166" t="s">
        <v>658</v>
      </c>
      <c r="D166" t="s">
        <v>659</v>
      </c>
      <c r="E166" t="s">
        <v>37</v>
      </c>
      <c r="F166" t="s">
        <v>660</v>
      </c>
      <c r="G166" t="s">
        <v>39</v>
      </c>
      <c r="H166" t="s">
        <v>40</v>
      </c>
      <c r="I166" t="s">
        <v>41</v>
      </c>
      <c r="J166" t="s">
        <v>37</v>
      </c>
      <c r="K166" t="s">
        <v>37</v>
      </c>
      <c r="L166" t="s">
        <v>42</v>
      </c>
      <c r="M166" s="6">
        <v>45318.291666666664</v>
      </c>
      <c r="N166" t="s">
        <v>4265</v>
      </c>
      <c r="O166" s="1">
        <v>45318</v>
      </c>
      <c r="P166" s="1">
        <v>45306.914687500001</v>
      </c>
      <c r="Q166" t="s">
        <v>4265</v>
      </c>
      <c r="R166" s="6">
        <v>45318.416666666664</v>
      </c>
      <c r="S166" t="s">
        <v>43</v>
      </c>
      <c r="T166">
        <v>19.04</v>
      </c>
      <c r="U166">
        <v>0</v>
      </c>
      <c r="V166">
        <v>19.04</v>
      </c>
      <c r="W166">
        <v>0.95</v>
      </c>
      <c r="X166">
        <v>0</v>
      </c>
      <c r="Y166">
        <v>0</v>
      </c>
      <c r="Z166">
        <v>19.989999999999998</v>
      </c>
      <c r="AA166" t="s">
        <v>44</v>
      </c>
      <c r="AB166" t="s">
        <v>45</v>
      </c>
      <c r="AC166" t="s">
        <v>46</v>
      </c>
      <c r="AD166" t="s">
        <v>37</v>
      </c>
      <c r="AE166" t="s">
        <v>37</v>
      </c>
      <c r="AF166" t="s">
        <v>661</v>
      </c>
      <c r="AG166" t="s">
        <v>37</v>
      </c>
      <c r="AH166" t="s">
        <v>658</v>
      </c>
      <c r="AI166" t="s">
        <v>37</v>
      </c>
    </row>
    <row r="167" spans="1:35" x14ac:dyDescent="0.25">
      <c r="A167" t="s">
        <v>667</v>
      </c>
      <c r="B167" t="s">
        <v>34</v>
      </c>
      <c r="C167" t="s">
        <v>365</v>
      </c>
      <c r="D167" t="s">
        <v>366</v>
      </c>
      <c r="E167" t="s">
        <v>37</v>
      </c>
      <c r="F167" t="s">
        <v>367</v>
      </c>
      <c r="G167" t="s">
        <v>39</v>
      </c>
      <c r="H167" t="s">
        <v>40</v>
      </c>
      <c r="I167" t="s">
        <v>41</v>
      </c>
      <c r="J167" t="s">
        <v>37</v>
      </c>
      <c r="K167" t="s">
        <v>37</v>
      </c>
      <c r="L167" t="s">
        <v>42</v>
      </c>
      <c r="M167" s="6">
        <v>45318.291666666664</v>
      </c>
      <c r="N167" t="s">
        <v>4265</v>
      </c>
      <c r="O167" s="1">
        <v>45318</v>
      </c>
      <c r="P167" s="1">
        <v>45316.973726851851</v>
      </c>
      <c r="Q167" t="s">
        <v>4265</v>
      </c>
      <c r="R167" s="6">
        <v>45318.416666666664</v>
      </c>
      <c r="S167" t="s">
        <v>43</v>
      </c>
      <c r="T167">
        <v>24.99</v>
      </c>
      <c r="U167">
        <v>0</v>
      </c>
      <c r="V167">
        <v>24.99</v>
      </c>
      <c r="W167">
        <v>0</v>
      </c>
      <c r="X167">
        <v>0</v>
      </c>
      <c r="Y167">
        <v>0</v>
      </c>
      <c r="Z167">
        <v>24.99</v>
      </c>
      <c r="AA167" t="s">
        <v>44</v>
      </c>
      <c r="AB167" t="s">
        <v>45</v>
      </c>
      <c r="AC167" t="s">
        <v>46</v>
      </c>
      <c r="AD167" t="s">
        <v>37</v>
      </c>
      <c r="AE167" t="s">
        <v>37</v>
      </c>
      <c r="AF167" t="s">
        <v>668</v>
      </c>
      <c r="AG167" t="s">
        <v>37</v>
      </c>
      <c r="AH167" t="s">
        <v>365</v>
      </c>
      <c r="AI167" t="s">
        <v>37</v>
      </c>
    </row>
    <row r="168" spans="1:35" x14ac:dyDescent="0.25">
      <c r="A168" t="s">
        <v>672</v>
      </c>
      <c r="B168" t="s">
        <v>34</v>
      </c>
      <c r="C168" t="s">
        <v>673</v>
      </c>
      <c r="D168" t="s">
        <v>674</v>
      </c>
      <c r="E168" t="s">
        <v>37</v>
      </c>
      <c r="F168" t="s">
        <v>675</v>
      </c>
      <c r="G168" t="s">
        <v>39</v>
      </c>
      <c r="H168" t="s">
        <v>40</v>
      </c>
      <c r="I168" t="s">
        <v>41</v>
      </c>
      <c r="J168" t="s">
        <v>37</v>
      </c>
      <c r="K168" t="s">
        <v>37</v>
      </c>
      <c r="L168" t="s">
        <v>42</v>
      </c>
      <c r="M168" s="6">
        <v>45318.291666666664</v>
      </c>
      <c r="N168" t="s">
        <v>4265</v>
      </c>
      <c r="O168" s="1">
        <v>45318</v>
      </c>
      <c r="P168" s="1">
        <v>45313.557395833333</v>
      </c>
      <c r="Q168" t="s">
        <v>4265</v>
      </c>
      <c r="R168" s="6">
        <v>45318.416666666664</v>
      </c>
      <c r="S168" t="s">
        <v>43</v>
      </c>
      <c r="T168">
        <v>47.6</v>
      </c>
      <c r="U168">
        <v>0</v>
      </c>
      <c r="V168">
        <v>47.6</v>
      </c>
      <c r="W168">
        <v>2.38</v>
      </c>
      <c r="X168">
        <v>0</v>
      </c>
      <c r="Y168">
        <v>0</v>
      </c>
      <c r="Z168">
        <v>49.98</v>
      </c>
      <c r="AA168" t="s">
        <v>44</v>
      </c>
      <c r="AB168" t="s">
        <v>45</v>
      </c>
      <c r="AC168" t="s">
        <v>46</v>
      </c>
      <c r="AD168" t="s">
        <v>37</v>
      </c>
      <c r="AE168" t="s">
        <v>37</v>
      </c>
      <c r="AF168" t="s">
        <v>676</v>
      </c>
      <c r="AG168" t="s">
        <v>37</v>
      </c>
      <c r="AH168" t="s">
        <v>673</v>
      </c>
      <c r="AI168" t="s">
        <v>37</v>
      </c>
    </row>
    <row r="169" spans="1:35" x14ac:dyDescent="0.25">
      <c r="A169" t="s">
        <v>680</v>
      </c>
      <c r="B169" t="s">
        <v>34</v>
      </c>
      <c r="C169" t="s">
        <v>681</v>
      </c>
      <c r="D169" t="s">
        <v>682</v>
      </c>
      <c r="E169" t="s">
        <v>37</v>
      </c>
      <c r="F169" t="s">
        <v>683</v>
      </c>
      <c r="G169" t="s">
        <v>39</v>
      </c>
      <c r="H169" t="s">
        <v>40</v>
      </c>
      <c r="I169" t="s">
        <v>41</v>
      </c>
      <c r="J169" t="s">
        <v>37</v>
      </c>
      <c r="K169" t="s">
        <v>37</v>
      </c>
      <c r="L169" t="s">
        <v>42</v>
      </c>
      <c r="M169" s="6">
        <v>45318.291666666664</v>
      </c>
      <c r="N169" t="s">
        <v>4265</v>
      </c>
      <c r="O169" s="1">
        <v>45318</v>
      </c>
      <c r="P169" s="1">
        <v>45317.036898148152</v>
      </c>
      <c r="Q169" t="s">
        <v>4265</v>
      </c>
      <c r="R169" s="6">
        <v>45318.416666666664</v>
      </c>
      <c r="S169" t="s">
        <v>43</v>
      </c>
      <c r="T169">
        <v>49.98</v>
      </c>
      <c r="U169">
        <v>0</v>
      </c>
      <c r="V169">
        <v>49.98</v>
      </c>
      <c r="W169">
        <v>0</v>
      </c>
      <c r="X169">
        <v>0</v>
      </c>
      <c r="Y169">
        <v>0</v>
      </c>
      <c r="Z169">
        <v>49.98</v>
      </c>
      <c r="AA169" t="s">
        <v>44</v>
      </c>
      <c r="AB169" t="s">
        <v>45</v>
      </c>
      <c r="AC169" t="s">
        <v>46</v>
      </c>
      <c r="AD169" t="s">
        <v>37</v>
      </c>
      <c r="AE169" t="s">
        <v>37</v>
      </c>
      <c r="AF169" t="s">
        <v>684</v>
      </c>
      <c r="AG169" t="s">
        <v>37</v>
      </c>
      <c r="AH169" t="s">
        <v>681</v>
      </c>
      <c r="AI169" t="s">
        <v>37</v>
      </c>
    </row>
    <row r="170" spans="1:35" x14ac:dyDescent="0.25">
      <c r="A170" t="s">
        <v>457</v>
      </c>
      <c r="B170" t="s">
        <v>34</v>
      </c>
      <c r="C170" t="s">
        <v>458</v>
      </c>
      <c r="D170" t="s">
        <v>459</v>
      </c>
      <c r="E170" t="s">
        <v>37</v>
      </c>
      <c r="F170" t="s">
        <v>460</v>
      </c>
      <c r="G170" t="s">
        <v>39</v>
      </c>
      <c r="H170" t="s">
        <v>40</v>
      </c>
      <c r="I170" t="s">
        <v>41</v>
      </c>
      <c r="J170" t="s">
        <v>37</v>
      </c>
      <c r="K170" t="s">
        <v>37</v>
      </c>
      <c r="L170" t="s">
        <v>42</v>
      </c>
      <c r="M170" s="6">
        <v>45318.564328703702</v>
      </c>
      <c r="N170" t="s">
        <v>4265</v>
      </c>
      <c r="O170" s="1">
        <v>45318.272662037038</v>
      </c>
      <c r="P170" s="1">
        <v>45318.564375000002</v>
      </c>
      <c r="Q170" t="s">
        <v>4265</v>
      </c>
      <c r="R170" s="6">
        <v>45318.416666666664</v>
      </c>
      <c r="S170" t="s">
        <v>43</v>
      </c>
      <c r="T170">
        <v>24.99</v>
      </c>
      <c r="U170">
        <v>0</v>
      </c>
      <c r="V170">
        <v>24.99</v>
      </c>
      <c r="W170">
        <v>0</v>
      </c>
      <c r="X170">
        <v>0</v>
      </c>
      <c r="Y170">
        <v>0</v>
      </c>
      <c r="Z170">
        <v>24.99</v>
      </c>
      <c r="AA170" t="s">
        <v>44</v>
      </c>
      <c r="AB170" t="s">
        <v>45</v>
      </c>
      <c r="AC170" t="s">
        <v>46</v>
      </c>
      <c r="AD170" t="s">
        <v>37</v>
      </c>
      <c r="AE170" t="s">
        <v>37</v>
      </c>
      <c r="AF170" t="s">
        <v>461</v>
      </c>
      <c r="AG170" t="s">
        <v>37</v>
      </c>
      <c r="AH170" t="s">
        <v>458</v>
      </c>
      <c r="AI170" t="s">
        <v>37</v>
      </c>
    </row>
    <row r="171" spans="1:35" x14ac:dyDescent="0.25">
      <c r="A171" t="s">
        <v>415</v>
      </c>
      <c r="B171" t="s">
        <v>34</v>
      </c>
      <c r="C171" t="s">
        <v>416</v>
      </c>
      <c r="D171" t="s">
        <v>417</v>
      </c>
      <c r="E171" t="s">
        <v>37</v>
      </c>
      <c r="F171" t="s">
        <v>418</v>
      </c>
      <c r="G171" t="s">
        <v>39</v>
      </c>
      <c r="H171" t="s">
        <v>40</v>
      </c>
      <c r="I171" t="s">
        <v>41</v>
      </c>
      <c r="J171" t="s">
        <v>37</v>
      </c>
      <c r="K171" t="s">
        <v>37</v>
      </c>
      <c r="L171" t="s">
        <v>42</v>
      </c>
      <c r="M171" s="6">
        <v>45319.291666666664</v>
      </c>
      <c r="N171" t="s">
        <v>4266</v>
      </c>
      <c r="O171" s="1">
        <v>45319</v>
      </c>
      <c r="P171" s="1">
        <v>45307.609872685185</v>
      </c>
      <c r="Q171" t="s">
        <v>4266</v>
      </c>
      <c r="R171" s="6">
        <v>45319.416666666664</v>
      </c>
      <c r="S171" t="s">
        <v>43</v>
      </c>
      <c r="T171">
        <v>23.8</v>
      </c>
      <c r="U171">
        <v>0</v>
      </c>
      <c r="V171">
        <v>23.8</v>
      </c>
      <c r="W171">
        <v>1.19</v>
      </c>
      <c r="X171">
        <v>0</v>
      </c>
      <c r="Y171">
        <v>0</v>
      </c>
      <c r="Z171">
        <v>24.99</v>
      </c>
      <c r="AA171" t="s">
        <v>44</v>
      </c>
      <c r="AB171" t="s">
        <v>45</v>
      </c>
      <c r="AC171" t="s">
        <v>46</v>
      </c>
      <c r="AD171" t="s">
        <v>37</v>
      </c>
      <c r="AE171" t="s">
        <v>37</v>
      </c>
      <c r="AF171" t="s">
        <v>419</v>
      </c>
      <c r="AG171" t="s">
        <v>37</v>
      </c>
      <c r="AH171" t="s">
        <v>416</v>
      </c>
      <c r="AI171" t="s">
        <v>37</v>
      </c>
    </row>
    <row r="172" spans="1:35" x14ac:dyDescent="0.25">
      <c r="A172" t="s">
        <v>535</v>
      </c>
      <c r="B172" t="s">
        <v>34</v>
      </c>
      <c r="C172" t="s">
        <v>531</v>
      </c>
      <c r="D172" t="s">
        <v>532</v>
      </c>
      <c r="E172" t="s">
        <v>37</v>
      </c>
      <c r="F172" t="s">
        <v>533</v>
      </c>
      <c r="G172" t="s">
        <v>39</v>
      </c>
      <c r="H172" t="s">
        <v>40</v>
      </c>
      <c r="I172" t="s">
        <v>41</v>
      </c>
      <c r="J172" t="s">
        <v>37</v>
      </c>
      <c r="K172" t="s">
        <v>37</v>
      </c>
      <c r="L172" t="s">
        <v>42</v>
      </c>
      <c r="M172" s="6">
        <v>45319.291666666664</v>
      </c>
      <c r="N172" t="s">
        <v>4266</v>
      </c>
      <c r="O172" s="1">
        <v>45319</v>
      </c>
      <c r="P172" s="1">
        <v>45312.599027777775</v>
      </c>
      <c r="Q172" t="s">
        <v>4266</v>
      </c>
      <c r="R172" s="6">
        <v>45319.416666666664</v>
      </c>
      <c r="S172" t="s">
        <v>43</v>
      </c>
      <c r="T172">
        <v>47.6</v>
      </c>
      <c r="U172">
        <v>0</v>
      </c>
      <c r="V172">
        <v>47.6</v>
      </c>
      <c r="W172">
        <v>2.38</v>
      </c>
      <c r="X172">
        <v>0</v>
      </c>
      <c r="Y172">
        <v>0</v>
      </c>
      <c r="Z172">
        <v>49.98</v>
      </c>
      <c r="AA172" t="s">
        <v>44</v>
      </c>
      <c r="AB172" t="s">
        <v>45</v>
      </c>
      <c r="AC172" t="s">
        <v>46</v>
      </c>
      <c r="AD172" t="s">
        <v>37</v>
      </c>
      <c r="AE172" t="s">
        <v>37</v>
      </c>
      <c r="AF172" t="s">
        <v>534</v>
      </c>
      <c r="AG172" t="s">
        <v>37</v>
      </c>
      <c r="AH172" t="s">
        <v>531</v>
      </c>
      <c r="AI172" t="s">
        <v>37</v>
      </c>
    </row>
    <row r="173" spans="1:35" x14ac:dyDescent="0.25">
      <c r="A173" t="s">
        <v>662</v>
      </c>
      <c r="B173" t="s">
        <v>34</v>
      </c>
      <c r="C173" t="s">
        <v>663</v>
      </c>
      <c r="D173" t="s">
        <v>664</v>
      </c>
      <c r="E173" t="s">
        <v>37</v>
      </c>
      <c r="F173" t="s">
        <v>665</v>
      </c>
      <c r="G173" t="s">
        <v>39</v>
      </c>
      <c r="H173" t="s">
        <v>40</v>
      </c>
      <c r="I173" t="s">
        <v>41</v>
      </c>
      <c r="J173" t="s">
        <v>37</v>
      </c>
      <c r="K173" t="s">
        <v>37</v>
      </c>
      <c r="L173" t="s">
        <v>42</v>
      </c>
      <c r="M173" s="6">
        <v>45319.291666666664</v>
      </c>
      <c r="N173" t="s">
        <v>4266</v>
      </c>
      <c r="O173" s="1">
        <v>45319</v>
      </c>
      <c r="P173" s="1">
        <v>45316.969293981485</v>
      </c>
      <c r="Q173" t="s">
        <v>4266</v>
      </c>
      <c r="R173" s="6">
        <v>45319.416666666664</v>
      </c>
      <c r="S173" t="s">
        <v>43</v>
      </c>
      <c r="T173">
        <v>19.989999999999998</v>
      </c>
      <c r="U173">
        <v>0</v>
      </c>
      <c r="V173">
        <v>19.989999999999998</v>
      </c>
      <c r="W173">
        <v>0</v>
      </c>
      <c r="X173">
        <v>0</v>
      </c>
      <c r="Y173">
        <v>0</v>
      </c>
      <c r="Z173">
        <v>19.989999999999998</v>
      </c>
      <c r="AA173" t="s">
        <v>44</v>
      </c>
      <c r="AB173" t="s">
        <v>45</v>
      </c>
      <c r="AC173" t="s">
        <v>46</v>
      </c>
      <c r="AD173" t="s">
        <v>37</v>
      </c>
      <c r="AE173" t="s">
        <v>37</v>
      </c>
      <c r="AF173" t="s">
        <v>666</v>
      </c>
      <c r="AG173" t="s">
        <v>37</v>
      </c>
      <c r="AH173" t="s">
        <v>663</v>
      </c>
      <c r="AI173" t="s">
        <v>37</v>
      </c>
    </row>
    <row r="174" spans="1:35" x14ac:dyDescent="0.25">
      <c r="A174" t="s">
        <v>677</v>
      </c>
      <c r="B174" t="s">
        <v>34</v>
      </c>
      <c r="C174" t="s">
        <v>673</v>
      </c>
      <c r="D174" t="s">
        <v>674</v>
      </c>
      <c r="E174" t="s">
        <v>37</v>
      </c>
      <c r="F174" t="s">
        <v>675</v>
      </c>
      <c r="G174" t="s">
        <v>39</v>
      </c>
      <c r="H174" t="s">
        <v>40</v>
      </c>
      <c r="I174" t="s">
        <v>41</v>
      </c>
      <c r="J174" t="s">
        <v>37</v>
      </c>
      <c r="K174" t="s">
        <v>37</v>
      </c>
      <c r="L174" t="s">
        <v>42</v>
      </c>
      <c r="M174" s="6">
        <v>45319.291666666664</v>
      </c>
      <c r="N174" t="s">
        <v>4266</v>
      </c>
      <c r="O174" s="1">
        <v>45319</v>
      </c>
      <c r="P174" s="1">
        <v>45313.557395833333</v>
      </c>
      <c r="Q174" t="s">
        <v>4266</v>
      </c>
      <c r="R174" s="6">
        <v>45319.416666666664</v>
      </c>
      <c r="S174" t="s">
        <v>43</v>
      </c>
      <c r="T174">
        <v>47.6</v>
      </c>
      <c r="U174">
        <v>0</v>
      </c>
      <c r="V174">
        <v>47.6</v>
      </c>
      <c r="W174">
        <v>2.38</v>
      </c>
      <c r="X174">
        <v>0</v>
      </c>
      <c r="Y174">
        <v>0</v>
      </c>
      <c r="Z174">
        <v>49.98</v>
      </c>
      <c r="AA174" t="s">
        <v>44</v>
      </c>
      <c r="AB174" t="s">
        <v>45</v>
      </c>
      <c r="AC174" t="s">
        <v>46</v>
      </c>
      <c r="AD174" t="s">
        <v>37</v>
      </c>
      <c r="AE174" t="s">
        <v>37</v>
      </c>
      <c r="AF174" t="s">
        <v>676</v>
      </c>
      <c r="AG174" t="s">
        <v>37</v>
      </c>
      <c r="AH174" t="s">
        <v>673</v>
      </c>
      <c r="AI174" t="s">
        <v>37</v>
      </c>
    </row>
    <row r="175" spans="1:35" x14ac:dyDescent="0.25">
      <c r="A175" t="s">
        <v>685</v>
      </c>
      <c r="B175" t="s">
        <v>34</v>
      </c>
      <c r="C175" t="s">
        <v>681</v>
      </c>
      <c r="D175" t="s">
        <v>682</v>
      </c>
      <c r="E175" t="s">
        <v>37</v>
      </c>
      <c r="F175" t="s">
        <v>683</v>
      </c>
      <c r="G175" t="s">
        <v>39</v>
      </c>
      <c r="H175" t="s">
        <v>40</v>
      </c>
      <c r="I175" t="s">
        <v>41</v>
      </c>
      <c r="J175" t="s">
        <v>37</v>
      </c>
      <c r="K175" t="s">
        <v>37</v>
      </c>
      <c r="L175" t="s">
        <v>42</v>
      </c>
      <c r="M175" s="6">
        <v>45319.291666666664</v>
      </c>
      <c r="N175" t="s">
        <v>4266</v>
      </c>
      <c r="O175" s="1">
        <v>45319</v>
      </c>
      <c r="P175" s="1">
        <v>45317.036898148152</v>
      </c>
      <c r="Q175" t="s">
        <v>4266</v>
      </c>
      <c r="R175" s="6">
        <v>45319.416666666664</v>
      </c>
      <c r="S175" t="s">
        <v>43</v>
      </c>
      <c r="T175">
        <v>49.98</v>
      </c>
      <c r="U175">
        <v>0</v>
      </c>
      <c r="V175">
        <v>49.98</v>
      </c>
      <c r="W175">
        <v>0</v>
      </c>
      <c r="X175">
        <v>0</v>
      </c>
      <c r="Y175">
        <v>0</v>
      </c>
      <c r="Z175">
        <v>49.98</v>
      </c>
      <c r="AA175" t="s">
        <v>44</v>
      </c>
      <c r="AB175" t="s">
        <v>45</v>
      </c>
      <c r="AC175" t="s">
        <v>46</v>
      </c>
      <c r="AD175" t="s">
        <v>37</v>
      </c>
      <c r="AE175" t="s">
        <v>37</v>
      </c>
      <c r="AF175" t="s">
        <v>684</v>
      </c>
      <c r="AG175" t="s">
        <v>37</v>
      </c>
      <c r="AH175" t="s">
        <v>681</v>
      </c>
      <c r="AI175" t="s">
        <v>37</v>
      </c>
    </row>
    <row r="176" spans="1:35" x14ac:dyDescent="0.25">
      <c r="A176" t="s">
        <v>494</v>
      </c>
      <c r="B176" t="s">
        <v>34</v>
      </c>
      <c r="C176" t="s">
        <v>495</v>
      </c>
      <c r="D176" t="s">
        <v>496</v>
      </c>
      <c r="E176" t="s">
        <v>37</v>
      </c>
      <c r="F176" t="s">
        <v>497</v>
      </c>
      <c r="G176" t="s">
        <v>39</v>
      </c>
      <c r="H176" t="s">
        <v>40</v>
      </c>
      <c r="I176" t="s">
        <v>41</v>
      </c>
      <c r="J176" t="s">
        <v>37</v>
      </c>
      <c r="K176" t="s">
        <v>37</v>
      </c>
      <c r="L176" t="s">
        <v>42</v>
      </c>
      <c r="M176" s="6">
        <v>45319.315034722225</v>
      </c>
      <c r="N176" t="s">
        <v>4266</v>
      </c>
      <c r="O176" s="1">
        <v>45319.023368055554</v>
      </c>
      <c r="P176" s="1">
        <v>45319.315081018518</v>
      </c>
      <c r="Q176" t="s">
        <v>4266</v>
      </c>
      <c r="R176" s="6">
        <v>45319.416666666664</v>
      </c>
      <c r="S176" t="s">
        <v>43</v>
      </c>
      <c r="T176">
        <v>24.99</v>
      </c>
      <c r="U176">
        <v>0</v>
      </c>
      <c r="V176">
        <v>24.99</v>
      </c>
      <c r="W176">
        <v>0</v>
      </c>
      <c r="X176">
        <v>0</v>
      </c>
      <c r="Y176">
        <v>0</v>
      </c>
      <c r="Z176">
        <v>24.99</v>
      </c>
      <c r="AA176" t="s">
        <v>44</v>
      </c>
      <c r="AB176" t="s">
        <v>45</v>
      </c>
      <c r="AC176" t="s">
        <v>46</v>
      </c>
      <c r="AD176" t="s">
        <v>37</v>
      </c>
      <c r="AE176" t="s">
        <v>37</v>
      </c>
      <c r="AF176" t="s">
        <v>498</v>
      </c>
      <c r="AG176" t="s">
        <v>37</v>
      </c>
      <c r="AH176" t="s">
        <v>495</v>
      </c>
      <c r="AI176" t="s">
        <v>37</v>
      </c>
    </row>
    <row r="177" spans="1:35" x14ac:dyDescent="0.25">
      <c r="A177" t="s">
        <v>499</v>
      </c>
      <c r="B177" t="s">
        <v>34</v>
      </c>
      <c r="C177" t="s">
        <v>500</v>
      </c>
      <c r="D177" t="s">
        <v>501</v>
      </c>
      <c r="E177" t="s">
        <v>37</v>
      </c>
      <c r="F177" t="s">
        <v>502</v>
      </c>
      <c r="G177" t="s">
        <v>39</v>
      </c>
      <c r="H177" t="s">
        <v>40</v>
      </c>
      <c r="I177" t="s">
        <v>41</v>
      </c>
      <c r="J177" t="s">
        <v>37</v>
      </c>
      <c r="K177" t="s">
        <v>37</v>
      </c>
      <c r="L177" t="s">
        <v>42</v>
      </c>
      <c r="M177" s="6">
        <v>45320.291666666664</v>
      </c>
      <c r="N177" t="s">
        <v>4262</v>
      </c>
      <c r="O177" s="1">
        <v>45320</v>
      </c>
      <c r="P177" s="1">
        <v>45319.403136574074</v>
      </c>
      <c r="Q177" t="s">
        <v>4262</v>
      </c>
      <c r="R177" s="6">
        <v>45320.416666666664</v>
      </c>
      <c r="S177" t="s">
        <v>43</v>
      </c>
      <c r="T177">
        <v>19.989999999999998</v>
      </c>
      <c r="U177">
        <v>0</v>
      </c>
      <c r="V177">
        <v>19.989999999999998</v>
      </c>
      <c r="W177">
        <v>0</v>
      </c>
      <c r="X177">
        <v>0</v>
      </c>
      <c r="Y177">
        <v>0</v>
      </c>
      <c r="Z177">
        <v>19.989999999999998</v>
      </c>
      <c r="AA177" t="s">
        <v>44</v>
      </c>
      <c r="AB177" t="s">
        <v>45</v>
      </c>
      <c r="AC177" t="s">
        <v>46</v>
      </c>
      <c r="AD177" t="s">
        <v>37</v>
      </c>
      <c r="AE177" t="s">
        <v>37</v>
      </c>
      <c r="AF177" t="s">
        <v>503</v>
      </c>
      <c r="AG177" t="s">
        <v>37</v>
      </c>
      <c r="AH177" t="s">
        <v>504</v>
      </c>
      <c r="AI177" t="s">
        <v>37</v>
      </c>
    </row>
    <row r="178" spans="1:35" x14ac:dyDescent="0.25">
      <c r="A178" t="s">
        <v>604</v>
      </c>
      <c r="B178" t="s">
        <v>34</v>
      </c>
      <c r="C178" t="s">
        <v>605</v>
      </c>
      <c r="D178" t="s">
        <v>606</v>
      </c>
      <c r="E178" t="s">
        <v>37</v>
      </c>
      <c r="F178" t="s">
        <v>607</v>
      </c>
      <c r="G178" t="s">
        <v>39</v>
      </c>
      <c r="H178" t="s">
        <v>40</v>
      </c>
      <c r="I178" t="s">
        <v>41</v>
      </c>
      <c r="J178" t="s">
        <v>37</v>
      </c>
      <c r="K178" t="s">
        <v>37</v>
      </c>
      <c r="L178" t="s">
        <v>42</v>
      </c>
      <c r="M178" s="6">
        <v>45320.291666666664</v>
      </c>
      <c r="N178" t="s">
        <v>4262</v>
      </c>
      <c r="O178" s="1">
        <v>45320</v>
      </c>
      <c r="P178" s="1">
        <v>45316.712743055556</v>
      </c>
      <c r="Q178" t="s">
        <v>4262</v>
      </c>
      <c r="R178" s="6">
        <v>45320.416666666664</v>
      </c>
      <c r="S178" t="s">
        <v>43</v>
      </c>
      <c r="T178">
        <v>19.989999999999998</v>
      </c>
      <c r="U178">
        <v>0</v>
      </c>
      <c r="V178">
        <v>19.989999999999998</v>
      </c>
      <c r="W178">
        <v>0</v>
      </c>
      <c r="X178">
        <v>0</v>
      </c>
      <c r="Y178">
        <v>0</v>
      </c>
      <c r="Z178">
        <v>19.989999999999998</v>
      </c>
      <c r="AA178" t="s">
        <v>44</v>
      </c>
      <c r="AB178" t="s">
        <v>45</v>
      </c>
      <c r="AC178" t="s">
        <v>46</v>
      </c>
      <c r="AD178" t="s">
        <v>37</v>
      </c>
      <c r="AE178" t="s">
        <v>37</v>
      </c>
      <c r="AF178" t="s">
        <v>608</v>
      </c>
      <c r="AG178" t="s">
        <v>37</v>
      </c>
      <c r="AH178" t="s">
        <v>609</v>
      </c>
      <c r="AI178" t="s">
        <v>37</v>
      </c>
    </row>
    <row r="179" spans="1:35" x14ac:dyDescent="0.25">
      <c r="A179" t="s">
        <v>678</v>
      </c>
      <c r="B179" t="s">
        <v>34</v>
      </c>
      <c r="C179" t="s">
        <v>478</v>
      </c>
      <c r="D179" t="s">
        <v>479</v>
      </c>
      <c r="E179" t="s">
        <v>37</v>
      </c>
      <c r="F179" t="s">
        <v>480</v>
      </c>
      <c r="G179" t="s">
        <v>39</v>
      </c>
      <c r="H179" t="s">
        <v>40</v>
      </c>
      <c r="I179" t="s">
        <v>41</v>
      </c>
      <c r="J179" t="s">
        <v>37</v>
      </c>
      <c r="K179" t="s">
        <v>37</v>
      </c>
      <c r="L179" t="s">
        <v>42</v>
      </c>
      <c r="M179" s="6">
        <v>45320.291666666664</v>
      </c>
      <c r="N179" t="s">
        <v>4262</v>
      </c>
      <c r="O179" s="1">
        <v>45320</v>
      </c>
      <c r="P179" s="1">
        <v>45319.892766203702</v>
      </c>
      <c r="Q179" t="s">
        <v>4262</v>
      </c>
      <c r="R179" s="6">
        <v>45320.416666666664</v>
      </c>
      <c r="S179" t="s">
        <v>43</v>
      </c>
      <c r="T179">
        <v>19.989999999999998</v>
      </c>
      <c r="U179">
        <v>0</v>
      </c>
      <c r="V179">
        <v>19.989999999999998</v>
      </c>
      <c r="W179">
        <v>0</v>
      </c>
      <c r="X179">
        <v>0</v>
      </c>
      <c r="Y179">
        <v>0</v>
      </c>
      <c r="Z179">
        <v>19.989999999999998</v>
      </c>
      <c r="AA179" t="s">
        <v>44</v>
      </c>
      <c r="AB179" t="s">
        <v>45</v>
      </c>
      <c r="AC179" t="s">
        <v>46</v>
      </c>
      <c r="AD179" t="s">
        <v>37</v>
      </c>
      <c r="AE179" t="s">
        <v>37</v>
      </c>
      <c r="AF179" t="s">
        <v>679</v>
      </c>
      <c r="AG179" t="s">
        <v>37</v>
      </c>
      <c r="AH179" t="s">
        <v>478</v>
      </c>
      <c r="AI179" t="s">
        <v>37</v>
      </c>
    </row>
    <row r="180" spans="1:35" x14ac:dyDescent="0.25">
      <c r="A180" t="s">
        <v>691</v>
      </c>
      <c r="B180" t="s">
        <v>34</v>
      </c>
      <c r="C180" t="s">
        <v>687</v>
      </c>
      <c r="D180" t="s">
        <v>688</v>
      </c>
      <c r="E180" t="s">
        <v>37</v>
      </c>
      <c r="F180" t="s">
        <v>689</v>
      </c>
      <c r="G180" t="s">
        <v>39</v>
      </c>
      <c r="H180" t="s">
        <v>40</v>
      </c>
      <c r="I180" t="s">
        <v>41</v>
      </c>
      <c r="J180" t="s">
        <v>37</v>
      </c>
      <c r="K180" t="s">
        <v>37</v>
      </c>
      <c r="L180" t="s">
        <v>42</v>
      </c>
      <c r="M180" s="6">
        <v>45320.291666666664</v>
      </c>
      <c r="N180" t="s">
        <v>4262</v>
      </c>
      <c r="O180" s="1">
        <v>45320</v>
      </c>
      <c r="P180" s="1">
        <v>45307.466527777775</v>
      </c>
      <c r="Q180" t="s">
        <v>4262</v>
      </c>
      <c r="R180" s="6">
        <v>45320.416666666664</v>
      </c>
      <c r="S180" t="s">
        <v>43</v>
      </c>
      <c r="T180">
        <v>38.08</v>
      </c>
      <c r="U180">
        <v>0</v>
      </c>
      <c r="V180">
        <v>38.08</v>
      </c>
      <c r="W180">
        <v>1.9</v>
      </c>
      <c r="X180">
        <v>0</v>
      </c>
      <c r="Y180">
        <v>0</v>
      </c>
      <c r="Z180">
        <v>39.979999999999997</v>
      </c>
      <c r="AA180" t="s">
        <v>44</v>
      </c>
      <c r="AB180" t="s">
        <v>45</v>
      </c>
      <c r="AC180" t="s">
        <v>46</v>
      </c>
      <c r="AD180" t="s">
        <v>37</v>
      </c>
      <c r="AE180" t="s">
        <v>37</v>
      </c>
      <c r="AF180" t="s">
        <v>690</v>
      </c>
      <c r="AG180" t="s">
        <v>37</v>
      </c>
      <c r="AH180" t="s">
        <v>687</v>
      </c>
      <c r="AI180" t="s">
        <v>37</v>
      </c>
    </row>
    <row r="181" spans="1:35" x14ac:dyDescent="0.25">
      <c r="A181" t="s">
        <v>610</v>
      </c>
      <c r="B181" t="s">
        <v>34</v>
      </c>
      <c r="C181" t="s">
        <v>605</v>
      </c>
      <c r="D181" t="s">
        <v>606</v>
      </c>
      <c r="E181" t="s">
        <v>37</v>
      </c>
      <c r="F181" t="s">
        <v>607</v>
      </c>
      <c r="G181" t="s">
        <v>39</v>
      </c>
      <c r="H181" t="s">
        <v>40</v>
      </c>
      <c r="I181" t="s">
        <v>41</v>
      </c>
      <c r="J181" t="s">
        <v>37</v>
      </c>
      <c r="K181" t="s">
        <v>37</v>
      </c>
      <c r="L181" t="s">
        <v>42</v>
      </c>
      <c r="M181" s="6">
        <v>45321.291666666664</v>
      </c>
      <c r="N181" t="s">
        <v>4267</v>
      </c>
      <c r="O181" s="1">
        <v>45321</v>
      </c>
      <c r="P181" s="1">
        <v>45320.681608796294</v>
      </c>
      <c r="Q181" t="s">
        <v>4267</v>
      </c>
      <c r="R181" s="6">
        <v>45321.416666666664</v>
      </c>
      <c r="S181" t="s">
        <v>43</v>
      </c>
      <c r="T181">
        <v>19.989999999999998</v>
      </c>
      <c r="U181">
        <v>0</v>
      </c>
      <c r="V181">
        <v>19.989999999999998</v>
      </c>
      <c r="W181">
        <v>0</v>
      </c>
      <c r="X181">
        <v>0</v>
      </c>
      <c r="Y181">
        <v>0</v>
      </c>
      <c r="Z181">
        <v>19.989999999999998</v>
      </c>
      <c r="AA181" t="s">
        <v>44</v>
      </c>
      <c r="AB181" t="s">
        <v>45</v>
      </c>
      <c r="AC181" t="s">
        <v>46</v>
      </c>
      <c r="AD181" t="s">
        <v>37</v>
      </c>
      <c r="AE181" t="s">
        <v>37</v>
      </c>
      <c r="AF181" t="s">
        <v>611</v>
      </c>
      <c r="AG181" t="s">
        <v>37</v>
      </c>
      <c r="AH181" t="s">
        <v>609</v>
      </c>
      <c r="AI181" t="s">
        <v>37</v>
      </c>
    </row>
    <row r="182" spans="1:35" x14ac:dyDescent="0.25">
      <c r="A182" t="s">
        <v>669</v>
      </c>
      <c r="B182" t="s">
        <v>34</v>
      </c>
      <c r="C182" t="s">
        <v>478</v>
      </c>
      <c r="D182" t="s">
        <v>479</v>
      </c>
      <c r="E182" t="s">
        <v>37</v>
      </c>
      <c r="F182" t="s">
        <v>670</v>
      </c>
      <c r="G182" t="s">
        <v>39</v>
      </c>
      <c r="H182" t="s">
        <v>40</v>
      </c>
      <c r="I182" t="s">
        <v>41</v>
      </c>
      <c r="J182" t="s">
        <v>37</v>
      </c>
      <c r="K182" t="s">
        <v>37</v>
      </c>
      <c r="L182" t="s">
        <v>42</v>
      </c>
      <c r="M182" s="6">
        <v>45321.291666666664</v>
      </c>
      <c r="N182" t="s">
        <v>4267</v>
      </c>
      <c r="O182" s="1">
        <v>45321</v>
      </c>
      <c r="P182" s="1">
        <v>45319.892268518517</v>
      </c>
      <c r="Q182" t="s">
        <v>4267</v>
      </c>
      <c r="R182" s="6">
        <v>45321.416666666664</v>
      </c>
      <c r="S182" t="s">
        <v>43</v>
      </c>
      <c r="T182">
        <v>19.989999999999998</v>
      </c>
      <c r="U182">
        <v>0</v>
      </c>
      <c r="V182">
        <v>19.989999999999998</v>
      </c>
      <c r="W182">
        <v>0</v>
      </c>
      <c r="X182">
        <v>0</v>
      </c>
      <c r="Y182">
        <v>0</v>
      </c>
      <c r="Z182">
        <v>19.989999999999998</v>
      </c>
      <c r="AA182" t="s">
        <v>44</v>
      </c>
      <c r="AB182" t="s">
        <v>45</v>
      </c>
      <c r="AC182" t="s">
        <v>46</v>
      </c>
      <c r="AD182" t="s">
        <v>37</v>
      </c>
      <c r="AE182" t="s">
        <v>37</v>
      </c>
      <c r="AF182" t="s">
        <v>671</v>
      </c>
      <c r="AG182" t="s">
        <v>37</v>
      </c>
      <c r="AH182" t="s">
        <v>478</v>
      </c>
      <c r="AI182" t="s">
        <v>37</v>
      </c>
    </row>
    <row r="183" spans="1:35" x14ac:dyDescent="0.25">
      <c r="A183" t="s">
        <v>686</v>
      </c>
      <c r="B183" t="s">
        <v>34</v>
      </c>
      <c r="C183" t="s">
        <v>687</v>
      </c>
      <c r="D183" t="s">
        <v>688</v>
      </c>
      <c r="E183" t="s">
        <v>37</v>
      </c>
      <c r="F183" t="s">
        <v>689</v>
      </c>
      <c r="G183" t="s">
        <v>39</v>
      </c>
      <c r="H183" t="s">
        <v>40</v>
      </c>
      <c r="I183" t="s">
        <v>41</v>
      </c>
      <c r="J183" t="s">
        <v>37</v>
      </c>
      <c r="K183" t="s">
        <v>37</v>
      </c>
      <c r="L183" t="s">
        <v>42</v>
      </c>
      <c r="M183" s="6">
        <v>45321.291666666664</v>
      </c>
      <c r="N183" t="s">
        <v>4267</v>
      </c>
      <c r="O183" s="1">
        <v>45321</v>
      </c>
      <c r="P183" s="1">
        <v>45307.466527777775</v>
      </c>
      <c r="Q183" t="s">
        <v>4267</v>
      </c>
      <c r="R183" s="6">
        <v>45321.416666666664</v>
      </c>
      <c r="S183" t="s">
        <v>43</v>
      </c>
      <c r="T183">
        <v>38.08</v>
      </c>
      <c r="U183">
        <v>0</v>
      </c>
      <c r="V183">
        <v>38.08</v>
      </c>
      <c r="W183">
        <v>1.9</v>
      </c>
      <c r="X183">
        <v>0</v>
      </c>
      <c r="Y183">
        <v>0</v>
      </c>
      <c r="Z183">
        <v>39.979999999999997</v>
      </c>
      <c r="AA183" t="s">
        <v>44</v>
      </c>
      <c r="AB183" t="s">
        <v>45</v>
      </c>
      <c r="AC183" t="s">
        <v>46</v>
      </c>
      <c r="AD183" t="s">
        <v>37</v>
      </c>
      <c r="AE183" t="s">
        <v>37</v>
      </c>
      <c r="AF183" t="s">
        <v>690</v>
      </c>
      <c r="AG183" t="s">
        <v>37</v>
      </c>
      <c r="AH183" t="s">
        <v>687</v>
      </c>
      <c r="AI183" t="s">
        <v>37</v>
      </c>
    </row>
    <row r="184" spans="1:35" x14ac:dyDescent="0.25">
      <c r="A184" t="s">
        <v>525</v>
      </c>
      <c r="B184" t="s">
        <v>34</v>
      </c>
      <c r="C184" t="s">
        <v>526</v>
      </c>
      <c r="D184" t="s">
        <v>527</v>
      </c>
      <c r="E184" t="s">
        <v>37</v>
      </c>
      <c r="F184" t="s">
        <v>528</v>
      </c>
      <c r="G184" t="s">
        <v>39</v>
      </c>
      <c r="H184" t="s">
        <v>40</v>
      </c>
      <c r="I184" t="s">
        <v>41</v>
      </c>
      <c r="J184" t="s">
        <v>37</v>
      </c>
      <c r="K184" t="s">
        <v>37</v>
      </c>
      <c r="L184" t="s">
        <v>42</v>
      </c>
      <c r="M184" s="6">
        <v>45322.291666666664</v>
      </c>
      <c r="N184" t="s">
        <v>4263</v>
      </c>
      <c r="O184" s="1">
        <v>45322</v>
      </c>
      <c r="P184" s="1">
        <v>45320.516597222224</v>
      </c>
      <c r="Q184" t="s">
        <v>4263</v>
      </c>
      <c r="R184" s="6">
        <v>45322.416666666664</v>
      </c>
      <c r="S184" t="s">
        <v>43</v>
      </c>
      <c r="T184">
        <v>19.989999999999998</v>
      </c>
      <c r="U184">
        <v>0</v>
      </c>
      <c r="V184">
        <v>19.989999999999998</v>
      </c>
      <c r="W184">
        <v>0</v>
      </c>
      <c r="X184">
        <v>0</v>
      </c>
      <c r="Y184">
        <v>0</v>
      </c>
      <c r="Z184">
        <v>19.989999999999998</v>
      </c>
      <c r="AA184" t="s">
        <v>44</v>
      </c>
      <c r="AB184" t="s">
        <v>45</v>
      </c>
      <c r="AC184" t="s">
        <v>46</v>
      </c>
      <c r="AD184" t="s">
        <v>37</v>
      </c>
      <c r="AE184" t="s">
        <v>37</v>
      </c>
      <c r="AF184" t="s">
        <v>529</v>
      </c>
      <c r="AG184" t="s">
        <v>37</v>
      </c>
      <c r="AH184" t="s">
        <v>526</v>
      </c>
      <c r="AI184" t="s">
        <v>37</v>
      </c>
    </row>
    <row r="185" spans="1:35" x14ac:dyDescent="0.25">
      <c r="A185" t="s">
        <v>692</v>
      </c>
      <c r="B185" t="s">
        <v>34</v>
      </c>
      <c r="C185" t="s">
        <v>605</v>
      </c>
      <c r="D185" t="s">
        <v>606</v>
      </c>
      <c r="E185" t="s">
        <v>37</v>
      </c>
      <c r="F185" t="s">
        <v>607</v>
      </c>
      <c r="G185" t="s">
        <v>39</v>
      </c>
      <c r="H185" t="s">
        <v>40</v>
      </c>
      <c r="I185" t="s">
        <v>41</v>
      </c>
      <c r="J185" t="s">
        <v>37</v>
      </c>
      <c r="K185" t="s">
        <v>37</v>
      </c>
      <c r="L185" t="s">
        <v>42</v>
      </c>
      <c r="M185" s="6">
        <v>45322.291666666664</v>
      </c>
      <c r="N185" t="s">
        <v>4263</v>
      </c>
      <c r="O185" s="1">
        <v>45322</v>
      </c>
      <c r="P185" s="1">
        <v>45321.851111111115</v>
      </c>
      <c r="Q185" t="s">
        <v>4263</v>
      </c>
      <c r="R185" s="6">
        <v>45322.416666666664</v>
      </c>
      <c r="S185" t="s">
        <v>43</v>
      </c>
      <c r="T185">
        <v>19.989999999999998</v>
      </c>
      <c r="U185">
        <v>0</v>
      </c>
      <c r="V185">
        <v>19.989999999999998</v>
      </c>
      <c r="W185">
        <v>0</v>
      </c>
      <c r="X185">
        <v>0</v>
      </c>
      <c r="Y185">
        <v>0</v>
      </c>
      <c r="Z185">
        <v>19.989999999999998</v>
      </c>
      <c r="AA185" t="s">
        <v>44</v>
      </c>
      <c r="AB185" t="s">
        <v>45</v>
      </c>
      <c r="AC185" t="s">
        <v>46</v>
      </c>
      <c r="AD185" t="s">
        <v>37</v>
      </c>
      <c r="AE185" t="s">
        <v>37</v>
      </c>
      <c r="AF185" t="s">
        <v>693</v>
      </c>
      <c r="AG185" t="s">
        <v>37</v>
      </c>
      <c r="AH185" t="s">
        <v>609</v>
      </c>
      <c r="AI185" t="s">
        <v>37</v>
      </c>
    </row>
    <row r="186" spans="1:35" x14ac:dyDescent="0.25">
      <c r="A186" t="s">
        <v>694</v>
      </c>
      <c r="B186" t="s">
        <v>34</v>
      </c>
      <c r="C186" t="s">
        <v>695</v>
      </c>
      <c r="D186" t="s">
        <v>696</v>
      </c>
      <c r="E186" t="s">
        <v>37</v>
      </c>
      <c r="F186" t="s">
        <v>697</v>
      </c>
      <c r="G186" t="s">
        <v>39</v>
      </c>
      <c r="H186" t="s">
        <v>40</v>
      </c>
      <c r="I186" t="s">
        <v>41</v>
      </c>
      <c r="J186" t="s">
        <v>37</v>
      </c>
      <c r="K186" t="s">
        <v>37</v>
      </c>
      <c r="L186" t="s">
        <v>42</v>
      </c>
      <c r="M186" s="6">
        <v>45322.291666666664</v>
      </c>
      <c r="N186" t="s">
        <v>4263</v>
      </c>
      <c r="O186" s="1">
        <v>45322</v>
      </c>
      <c r="P186" s="1">
        <v>45322.519293981481</v>
      </c>
      <c r="Q186" t="s">
        <v>4263</v>
      </c>
      <c r="R186" s="6">
        <v>45322.416666666664</v>
      </c>
      <c r="S186" t="s">
        <v>43</v>
      </c>
      <c r="T186">
        <v>19.989999999999998</v>
      </c>
      <c r="U186">
        <v>0</v>
      </c>
      <c r="V186">
        <v>19.989999999999998</v>
      </c>
      <c r="W186">
        <v>0</v>
      </c>
      <c r="X186">
        <v>0</v>
      </c>
      <c r="Y186">
        <v>0</v>
      </c>
      <c r="Z186">
        <v>19.989999999999998</v>
      </c>
      <c r="AA186" t="s">
        <v>44</v>
      </c>
      <c r="AB186" t="s">
        <v>45</v>
      </c>
      <c r="AC186" t="s">
        <v>46</v>
      </c>
      <c r="AD186" t="s">
        <v>37</v>
      </c>
      <c r="AE186" t="s">
        <v>37</v>
      </c>
      <c r="AF186" t="s">
        <v>698</v>
      </c>
      <c r="AG186" t="s">
        <v>37</v>
      </c>
      <c r="AH186" t="s">
        <v>695</v>
      </c>
      <c r="AI186" t="s">
        <v>37</v>
      </c>
    </row>
    <row r="187" spans="1:35" x14ac:dyDescent="0.25">
      <c r="A187" t="s">
        <v>799</v>
      </c>
      <c r="B187" t="s">
        <v>34</v>
      </c>
      <c r="C187" t="s">
        <v>780</v>
      </c>
      <c r="D187" t="s">
        <v>781</v>
      </c>
      <c r="E187" t="s">
        <v>37</v>
      </c>
      <c r="F187" t="s">
        <v>800</v>
      </c>
      <c r="G187" t="s">
        <v>39</v>
      </c>
      <c r="H187" t="s">
        <v>40</v>
      </c>
      <c r="I187" t="s">
        <v>41</v>
      </c>
      <c r="J187" t="s">
        <v>37</v>
      </c>
      <c r="K187" t="s">
        <v>37</v>
      </c>
      <c r="L187" t="s">
        <v>42</v>
      </c>
      <c r="M187" s="6">
        <v>45324.291666666664</v>
      </c>
      <c r="N187" t="s">
        <v>4268</v>
      </c>
      <c r="O187" s="1">
        <v>45324</v>
      </c>
      <c r="P187" s="1">
        <v>45320.794004629628</v>
      </c>
      <c r="Q187" t="s">
        <v>4268</v>
      </c>
      <c r="R187" s="6">
        <v>45324.416666666664</v>
      </c>
      <c r="S187" t="s">
        <v>43</v>
      </c>
      <c r="T187">
        <v>19.989999999999998</v>
      </c>
      <c r="U187">
        <v>0</v>
      </c>
      <c r="V187">
        <v>19.989999999999998</v>
      </c>
      <c r="W187">
        <v>0</v>
      </c>
      <c r="X187">
        <v>0</v>
      </c>
      <c r="Y187">
        <v>0</v>
      </c>
      <c r="Z187">
        <v>19.989999999999998</v>
      </c>
      <c r="AA187" t="s">
        <v>44</v>
      </c>
      <c r="AB187" t="s">
        <v>45</v>
      </c>
      <c r="AC187" t="s">
        <v>46</v>
      </c>
      <c r="AD187" t="s">
        <v>37</v>
      </c>
      <c r="AE187" t="s">
        <v>37</v>
      </c>
      <c r="AF187" t="s">
        <v>801</v>
      </c>
      <c r="AG187" t="s">
        <v>37</v>
      </c>
      <c r="AH187" t="s">
        <v>784</v>
      </c>
      <c r="AI187" t="s">
        <v>37</v>
      </c>
    </row>
    <row r="188" spans="1:35" x14ac:dyDescent="0.25">
      <c r="A188" t="s">
        <v>834</v>
      </c>
      <c r="B188" t="s">
        <v>34</v>
      </c>
      <c r="C188" t="s">
        <v>830</v>
      </c>
      <c r="D188" t="s">
        <v>831</v>
      </c>
      <c r="E188" t="s">
        <v>37</v>
      </c>
      <c r="F188" t="s">
        <v>832</v>
      </c>
      <c r="G188" t="s">
        <v>39</v>
      </c>
      <c r="H188" t="s">
        <v>40</v>
      </c>
      <c r="I188" t="s">
        <v>41</v>
      </c>
      <c r="J188" t="s">
        <v>37</v>
      </c>
      <c r="K188" t="s">
        <v>37</v>
      </c>
      <c r="L188" t="s">
        <v>42</v>
      </c>
      <c r="M188" s="6">
        <v>45324.291666666664</v>
      </c>
      <c r="N188" t="s">
        <v>4268</v>
      </c>
      <c r="O188" s="1">
        <v>45324</v>
      </c>
      <c r="P188" s="1">
        <v>45322.548946759256</v>
      </c>
      <c r="Q188" t="s">
        <v>4268</v>
      </c>
      <c r="R188" s="6">
        <v>45324.416666666664</v>
      </c>
      <c r="S188" t="s">
        <v>43</v>
      </c>
      <c r="T188">
        <v>19.989999999999998</v>
      </c>
      <c r="U188">
        <v>0</v>
      </c>
      <c r="V188">
        <v>19.989999999999998</v>
      </c>
      <c r="W188">
        <v>0</v>
      </c>
      <c r="X188">
        <v>0</v>
      </c>
      <c r="Y188">
        <v>0</v>
      </c>
      <c r="Z188">
        <v>19.989999999999998</v>
      </c>
      <c r="AA188" t="s">
        <v>44</v>
      </c>
      <c r="AB188" t="s">
        <v>45</v>
      </c>
      <c r="AC188" t="s">
        <v>46</v>
      </c>
      <c r="AD188" t="s">
        <v>37</v>
      </c>
      <c r="AE188" t="s">
        <v>37</v>
      </c>
      <c r="AF188" t="s">
        <v>835</v>
      </c>
      <c r="AG188" t="s">
        <v>37</v>
      </c>
      <c r="AH188" t="s">
        <v>830</v>
      </c>
      <c r="AI188" t="s">
        <v>37</v>
      </c>
    </row>
    <row r="189" spans="1:35" x14ac:dyDescent="0.25">
      <c r="A189" t="s">
        <v>932</v>
      </c>
      <c r="B189" t="s">
        <v>34</v>
      </c>
      <c r="C189" t="s">
        <v>933</v>
      </c>
      <c r="D189" t="s">
        <v>934</v>
      </c>
      <c r="E189" t="s">
        <v>37</v>
      </c>
      <c r="F189" t="s">
        <v>935</v>
      </c>
      <c r="G189" t="s">
        <v>39</v>
      </c>
      <c r="H189" t="s">
        <v>40</v>
      </c>
      <c r="I189" t="s">
        <v>41</v>
      </c>
      <c r="J189" t="s">
        <v>37</v>
      </c>
      <c r="K189" t="s">
        <v>37</v>
      </c>
      <c r="L189" t="s">
        <v>42</v>
      </c>
      <c r="M189" s="6">
        <v>45324.291666666664</v>
      </c>
      <c r="N189" t="s">
        <v>4268</v>
      </c>
      <c r="O189" s="1">
        <v>45324</v>
      </c>
      <c r="P189" s="1">
        <v>45324.372094907405</v>
      </c>
      <c r="Q189" t="s">
        <v>4268</v>
      </c>
      <c r="R189" s="6">
        <v>45324.416666666664</v>
      </c>
      <c r="S189" t="s">
        <v>43</v>
      </c>
      <c r="T189">
        <v>19.989999999999998</v>
      </c>
      <c r="U189">
        <v>0</v>
      </c>
      <c r="V189">
        <v>19.989999999999998</v>
      </c>
      <c r="W189">
        <v>0</v>
      </c>
      <c r="X189">
        <v>0</v>
      </c>
      <c r="Y189">
        <v>0</v>
      </c>
      <c r="Z189">
        <v>19.989999999999998</v>
      </c>
      <c r="AA189" t="s">
        <v>44</v>
      </c>
      <c r="AB189" t="s">
        <v>45</v>
      </c>
      <c r="AC189" t="s">
        <v>46</v>
      </c>
      <c r="AD189" t="s">
        <v>37</v>
      </c>
      <c r="AE189" t="s">
        <v>37</v>
      </c>
      <c r="AF189" t="s">
        <v>936</v>
      </c>
      <c r="AG189" t="s">
        <v>37</v>
      </c>
      <c r="AH189" t="s">
        <v>937</v>
      </c>
      <c r="AI189" t="s">
        <v>37</v>
      </c>
    </row>
    <row r="190" spans="1:35" x14ac:dyDescent="0.25">
      <c r="A190" t="s">
        <v>774</v>
      </c>
      <c r="B190" t="s">
        <v>34</v>
      </c>
      <c r="C190" t="s">
        <v>775</v>
      </c>
      <c r="D190" t="s">
        <v>776</v>
      </c>
      <c r="E190" t="s">
        <v>37</v>
      </c>
      <c r="F190" t="s">
        <v>777</v>
      </c>
      <c r="G190" t="s">
        <v>39</v>
      </c>
      <c r="H190" t="s">
        <v>40</v>
      </c>
      <c r="I190" t="s">
        <v>41</v>
      </c>
      <c r="J190" t="s">
        <v>37</v>
      </c>
      <c r="K190" t="s">
        <v>37</v>
      </c>
      <c r="L190" t="s">
        <v>42</v>
      </c>
      <c r="M190" s="6">
        <v>45325.291666666664</v>
      </c>
      <c r="N190" t="s">
        <v>4265</v>
      </c>
      <c r="O190" s="1">
        <v>45325</v>
      </c>
      <c r="P190" s="1">
        <v>45320.285405092596</v>
      </c>
      <c r="Q190" t="s">
        <v>4265</v>
      </c>
      <c r="R190" s="6">
        <v>45325.416666666664</v>
      </c>
      <c r="S190" t="s">
        <v>43</v>
      </c>
      <c r="T190">
        <v>24.99</v>
      </c>
      <c r="U190">
        <v>0</v>
      </c>
      <c r="V190">
        <v>24.99</v>
      </c>
      <c r="W190">
        <v>0</v>
      </c>
      <c r="X190">
        <v>0</v>
      </c>
      <c r="Y190">
        <v>0</v>
      </c>
      <c r="Z190">
        <v>24.99</v>
      </c>
      <c r="AA190" t="s">
        <v>44</v>
      </c>
      <c r="AB190" t="s">
        <v>45</v>
      </c>
      <c r="AC190" t="s">
        <v>46</v>
      </c>
      <c r="AD190" t="s">
        <v>37</v>
      </c>
      <c r="AE190" t="s">
        <v>37</v>
      </c>
      <c r="AF190" t="s">
        <v>778</v>
      </c>
      <c r="AG190" t="s">
        <v>37</v>
      </c>
      <c r="AH190" t="s">
        <v>775</v>
      </c>
      <c r="AI190" t="s">
        <v>37</v>
      </c>
    </row>
    <row r="191" spans="1:35" x14ac:dyDescent="0.25">
      <c r="A191" t="s">
        <v>779</v>
      </c>
      <c r="B191" t="s">
        <v>34</v>
      </c>
      <c r="C191" t="s">
        <v>780</v>
      </c>
      <c r="D191" t="s">
        <v>781</v>
      </c>
      <c r="E191" t="s">
        <v>37</v>
      </c>
      <c r="F191" t="s">
        <v>782</v>
      </c>
      <c r="G191" t="s">
        <v>39</v>
      </c>
      <c r="H191" t="s">
        <v>40</v>
      </c>
      <c r="I191" t="s">
        <v>41</v>
      </c>
      <c r="J191" t="s">
        <v>37</v>
      </c>
      <c r="K191" t="s">
        <v>37</v>
      </c>
      <c r="L191" t="s">
        <v>42</v>
      </c>
      <c r="M191" s="6">
        <v>45325.291666666664</v>
      </c>
      <c r="N191" t="s">
        <v>4265</v>
      </c>
      <c r="O191" s="1">
        <v>45325</v>
      </c>
      <c r="P191" s="1">
        <v>45321.6328587963</v>
      </c>
      <c r="Q191" t="s">
        <v>4265</v>
      </c>
      <c r="R191" s="6">
        <v>45325.416666666664</v>
      </c>
      <c r="S191" t="s">
        <v>43</v>
      </c>
      <c r="T191">
        <v>24.99</v>
      </c>
      <c r="U191">
        <v>0</v>
      </c>
      <c r="V191">
        <v>24.99</v>
      </c>
      <c r="W191">
        <v>0</v>
      </c>
      <c r="X191">
        <v>0</v>
      </c>
      <c r="Y191">
        <v>0</v>
      </c>
      <c r="Z191">
        <v>24.99</v>
      </c>
      <c r="AA191" t="s">
        <v>44</v>
      </c>
      <c r="AB191" t="s">
        <v>45</v>
      </c>
      <c r="AC191" t="s">
        <v>46</v>
      </c>
      <c r="AD191" t="s">
        <v>37</v>
      </c>
      <c r="AE191" t="s">
        <v>37</v>
      </c>
      <c r="AF191" t="s">
        <v>783</v>
      </c>
      <c r="AG191" t="s">
        <v>37</v>
      </c>
      <c r="AH191" t="s">
        <v>784</v>
      </c>
      <c r="AI191" t="s">
        <v>37</v>
      </c>
    </row>
    <row r="192" spans="1:35" x14ac:dyDescent="0.25">
      <c r="A192" t="s">
        <v>794</v>
      </c>
      <c r="B192" t="s">
        <v>34</v>
      </c>
      <c r="C192" t="s">
        <v>795</v>
      </c>
      <c r="D192" t="s">
        <v>796</v>
      </c>
      <c r="E192" t="s">
        <v>37</v>
      </c>
      <c r="F192" t="s">
        <v>797</v>
      </c>
      <c r="G192" t="s">
        <v>39</v>
      </c>
      <c r="H192" t="s">
        <v>40</v>
      </c>
      <c r="I192" t="s">
        <v>41</v>
      </c>
      <c r="J192" t="s">
        <v>37</v>
      </c>
      <c r="K192" t="s">
        <v>37</v>
      </c>
      <c r="L192" t="s">
        <v>42</v>
      </c>
      <c r="M192" s="6">
        <v>45325.291666666664</v>
      </c>
      <c r="N192" t="s">
        <v>4265</v>
      </c>
      <c r="O192" s="1">
        <v>45325</v>
      </c>
      <c r="P192" s="1">
        <v>45313.402627314812</v>
      </c>
      <c r="Q192" t="s">
        <v>4265</v>
      </c>
      <c r="R192" s="6">
        <v>45325.416666666664</v>
      </c>
      <c r="S192" t="s">
        <v>43</v>
      </c>
      <c r="T192">
        <v>19.04</v>
      </c>
      <c r="U192">
        <v>0</v>
      </c>
      <c r="V192">
        <v>19.04</v>
      </c>
      <c r="W192">
        <v>0.95</v>
      </c>
      <c r="X192">
        <v>0</v>
      </c>
      <c r="Y192">
        <v>0</v>
      </c>
      <c r="Z192">
        <v>19.989999999999998</v>
      </c>
      <c r="AA192" t="s">
        <v>44</v>
      </c>
      <c r="AB192" t="s">
        <v>45</v>
      </c>
      <c r="AC192" t="s">
        <v>46</v>
      </c>
      <c r="AD192" t="s">
        <v>37</v>
      </c>
      <c r="AE192" t="s">
        <v>37</v>
      </c>
      <c r="AF192" t="s">
        <v>798</v>
      </c>
      <c r="AG192" t="s">
        <v>37</v>
      </c>
      <c r="AH192" t="s">
        <v>795</v>
      </c>
      <c r="AI192" t="s">
        <v>37</v>
      </c>
    </row>
    <row r="193" spans="1:35" x14ac:dyDescent="0.25">
      <c r="A193" t="s">
        <v>829</v>
      </c>
      <c r="B193" t="s">
        <v>34</v>
      </c>
      <c r="C193" t="s">
        <v>830</v>
      </c>
      <c r="D193" t="s">
        <v>831</v>
      </c>
      <c r="E193" t="s">
        <v>37</v>
      </c>
      <c r="F193" t="s">
        <v>832</v>
      </c>
      <c r="G193" t="s">
        <v>39</v>
      </c>
      <c r="H193" t="s">
        <v>40</v>
      </c>
      <c r="I193" t="s">
        <v>41</v>
      </c>
      <c r="J193" t="s">
        <v>37</v>
      </c>
      <c r="K193" t="s">
        <v>37</v>
      </c>
      <c r="L193" t="s">
        <v>42</v>
      </c>
      <c r="M193" s="6">
        <v>45325.291666666664</v>
      </c>
      <c r="N193" t="s">
        <v>4265</v>
      </c>
      <c r="O193" s="1">
        <v>45325</v>
      </c>
      <c r="P193" s="1">
        <v>45322.436898148146</v>
      </c>
      <c r="Q193" t="s">
        <v>4265</v>
      </c>
      <c r="R193" s="6">
        <v>45325.416666666664</v>
      </c>
      <c r="S193" t="s">
        <v>43</v>
      </c>
      <c r="T193">
        <v>24.99</v>
      </c>
      <c r="U193">
        <v>0</v>
      </c>
      <c r="V193">
        <v>24.99</v>
      </c>
      <c r="W193">
        <v>0</v>
      </c>
      <c r="X193">
        <v>0</v>
      </c>
      <c r="Y193">
        <v>0</v>
      </c>
      <c r="Z193">
        <v>24.99</v>
      </c>
      <c r="AA193" t="s">
        <v>44</v>
      </c>
      <c r="AB193" t="s">
        <v>45</v>
      </c>
      <c r="AC193" t="s">
        <v>46</v>
      </c>
      <c r="AD193" t="s">
        <v>37</v>
      </c>
      <c r="AE193" t="s">
        <v>37</v>
      </c>
      <c r="AF193" t="s">
        <v>833</v>
      </c>
      <c r="AG193" t="s">
        <v>37</v>
      </c>
      <c r="AH193" t="s">
        <v>830</v>
      </c>
      <c r="AI193" t="s">
        <v>37</v>
      </c>
    </row>
    <row r="194" spans="1:35" x14ac:dyDescent="0.25">
      <c r="A194" t="s">
        <v>922</v>
      </c>
      <c r="B194" t="s">
        <v>34</v>
      </c>
      <c r="C194" t="s">
        <v>638</v>
      </c>
      <c r="D194" t="s">
        <v>639</v>
      </c>
      <c r="E194" t="s">
        <v>37</v>
      </c>
      <c r="F194" t="s">
        <v>640</v>
      </c>
      <c r="G194" t="s">
        <v>39</v>
      </c>
      <c r="H194" t="s">
        <v>40</v>
      </c>
      <c r="I194" t="s">
        <v>41</v>
      </c>
      <c r="J194" t="s">
        <v>37</v>
      </c>
      <c r="K194" t="s">
        <v>37</v>
      </c>
      <c r="L194" t="s">
        <v>42</v>
      </c>
      <c r="M194" s="6">
        <v>45325.291666666664</v>
      </c>
      <c r="N194" t="s">
        <v>4265</v>
      </c>
      <c r="O194" s="1">
        <v>45325</v>
      </c>
      <c r="P194" s="1">
        <v>45323.829699074071</v>
      </c>
      <c r="Q194" t="s">
        <v>4265</v>
      </c>
      <c r="R194" s="6">
        <v>45325.416666666664</v>
      </c>
      <c r="S194" t="s">
        <v>43</v>
      </c>
      <c r="T194">
        <v>24.99</v>
      </c>
      <c r="U194">
        <v>0</v>
      </c>
      <c r="V194">
        <v>24.99</v>
      </c>
      <c r="W194">
        <v>0</v>
      </c>
      <c r="X194">
        <v>0</v>
      </c>
      <c r="Y194">
        <v>0</v>
      </c>
      <c r="Z194">
        <v>24.99</v>
      </c>
      <c r="AA194" t="s">
        <v>44</v>
      </c>
      <c r="AB194" t="s">
        <v>45</v>
      </c>
      <c r="AC194" t="s">
        <v>46</v>
      </c>
      <c r="AD194" t="s">
        <v>37</v>
      </c>
      <c r="AE194" t="s">
        <v>37</v>
      </c>
      <c r="AF194" t="s">
        <v>923</v>
      </c>
      <c r="AG194" t="s">
        <v>37</v>
      </c>
      <c r="AH194" t="s">
        <v>638</v>
      </c>
      <c r="AI194" t="s">
        <v>37</v>
      </c>
    </row>
    <row r="195" spans="1:35" x14ac:dyDescent="0.25">
      <c r="A195" t="s">
        <v>924</v>
      </c>
      <c r="B195" t="s">
        <v>34</v>
      </c>
      <c r="C195" t="s">
        <v>925</v>
      </c>
      <c r="D195" t="s">
        <v>926</v>
      </c>
      <c r="E195" t="s">
        <v>37</v>
      </c>
      <c r="F195" t="s">
        <v>927</v>
      </c>
      <c r="G195" t="s">
        <v>39</v>
      </c>
      <c r="H195" t="s">
        <v>40</v>
      </c>
      <c r="I195" t="s">
        <v>41</v>
      </c>
      <c r="J195" t="s">
        <v>37</v>
      </c>
      <c r="K195" t="s">
        <v>37</v>
      </c>
      <c r="L195" t="s">
        <v>42</v>
      </c>
      <c r="M195" s="6">
        <v>45325.291666666664</v>
      </c>
      <c r="N195" t="s">
        <v>4265</v>
      </c>
      <c r="O195" s="1">
        <v>45325</v>
      </c>
      <c r="P195" s="1">
        <v>45323.929976851854</v>
      </c>
      <c r="Q195" t="s">
        <v>4265</v>
      </c>
      <c r="R195" s="6">
        <v>45325.416666666664</v>
      </c>
      <c r="S195" t="s">
        <v>43</v>
      </c>
      <c r="T195">
        <v>24.99</v>
      </c>
      <c r="U195">
        <v>0</v>
      </c>
      <c r="V195">
        <v>24.99</v>
      </c>
      <c r="W195">
        <v>0</v>
      </c>
      <c r="X195">
        <v>0</v>
      </c>
      <c r="Y195">
        <v>0</v>
      </c>
      <c r="Z195">
        <v>24.99</v>
      </c>
      <c r="AA195" t="s">
        <v>44</v>
      </c>
      <c r="AB195" t="s">
        <v>115</v>
      </c>
      <c r="AC195" t="s">
        <v>116</v>
      </c>
      <c r="AD195" t="s">
        <v>37</v>
      </c>
      <c r="AE195" t="s">
        <v>37</v>
      </c>
      <c r="AF195" t="s">
        <v>928</v>
      </c>
      <c r="AG195" t="s">
        <v>37</v>
      </c>
      <c r="AH195" t="s">
        <v>929</v>
      </c>
      <c r="AI195" t="s">
        <v>37</v>
      </c>
    </row>
    <row r="196" spans="1:35" x14ac:dyDescent="0.25">
      <c r="A196" t="s">
        <v>938</v>
      </c>
      <c r="B196" t="s">
        <v>34</v>
      </c>
      <c r="C196" t="s">
        <v>939</v>
      </c>
      <c r="D196" t="s">
        <v>940</v>
      </c>
      <c r="E196" t="s">
        <v>37</v>
      </c>
      <c r="F196" t="s">
        <v>941</v>
      </c>
      <c r="G196" t="s">
        <v>39</v>
      </c>
      <c r="H196" t="s">
        <v>40</v>
      </c>
      <c r="I196" t="s">
        <v>41</v>
      </c>
      <c r="J196" t="s">
        <v>37</v>
      </c>
      <c r="K196" t="s">
        <v>37</v>
      </c>
      <c r="L196" t="s">
        <v>42</v>
      </c>
      <c r="M196" s="6">
        <v>45325.291666666664</v>
      </c>
      <c r="N196" t="s">
        <v>4265</v>
      </c>
      <c r="O196" s="1">
        <v>45325</v>
      </c>
      <c r="P196" s="1">
        <v>45324.912314814814</v>
      </c>
      <c r="Q196" t="s">
        <v>4265</v>
      </c>
      <c r="R196" s="6">
        <v>45325.416666666664</v>
      </c>
      <c r="S196" t="s">
        <v>43</v>
      </c>
      <c r="T196">
        <v>24.99</v>
      </c>
      <c r="U196">
        <v>0</v>
      </c>
      <c r="V196">
        <v>24.99</v>
      </c>
      <c r="W196">
        <v>0</v>
      </c>
      <c r="X196">
        <v>0</v>
      </c>
      <c r="Y196">
        <v>0</v>
      </c>
      <c r="Z196">
        <v>24.99</v>
      </c>
      <c r="AA196" t="s">
        <v>44</v>
      </c>
      <c r="AB196" t="s">
        <v>45</v>
      </c>
      <c r="AC196" t="s">
        <v>46</v>
      </c>
      <c r="AD196" t="s">
        <v>37</v>
      </c>
      <c r="AE196" t="s">
        <v>37</v>
      </c>
      <c r="AF196" t="s">
        <v>942</v>
      </c>
      <c r="AG196" t="s">
        <v>37</v>
      </c>
      <c r="AH196" t="s">
        <v>939</v>
      </c>
      <c r="AI196" t="s">
        <v>37</v>
      </c>
    </row>
    <row r="197" spans="1:35" x14ac:dyDescent="0.25">
      <c r="A197" t="s">
        <v>955</v>
      </c>
      <c r="B197" t="s">
        <v>34</v>
      </c>
      <c r="C197" t="s">
        <v>933</v>
      </c>
      <c r="D197" t="s">
        <v>934</v>
      </c>
      <c r="E197" t="s">
        <v>37</v>
      </c>
      <c r="F197" t="s">
        <v>935</v>
      </c>
      <c r="G197" t="s">
        <v>39</v>
      </c>
      <c r="H197" t="s">
        <v>40</v>
      </c>
      <c r="I197" t="s">
        <v>41</v>
      </c>
      <c r="J197" t="s">
        <v>37</v>
      </c>
      <c r="K197" t="s">
        <v>37</v>
      </c>
      <c r="L197" t="s">
        <v>42</v>
      </c>
      <c r="M197" s="6">
        <v>45325.291666666664</v>
      </c>
      <c r="N197" t="s">
        <v>4265</v>
      </c>
      <c r="O197" s="1">
        <v>45325</v>
      </c>
      <c r="P197" s="1">
        <v>45325.395011574074</v>
      </c>
      <c r="Q197" t="s">
        <v>4265</v>
      </c>
      <c r="R197" s="6">
        <v>45325.416666666664</v>
      </c>
      <c r="S197" t="s">
        <v>43</v>
      </c>
      <c r="T197">
        <v>24.99</v>
      </c>
      <c r="U197">
        <v>0</v>
      </c>
      <c r="V197">
        <v>24.99</v>
      </c>
      <c r="W197">
        <v>0</v>
      </c>
      <c r="X197">
        <v>0</v>
      </c>
      <c r="Y197">
        <v>0</v>
      </c>
      <c r="Z197">
        <v>24.99</v>
      </c>
      <c r="AA197" t="s">
        <v>44</v>
      </c>
      <c r="AB197" t="s">
        <v>45</v>
      </c>
      <c r="AC197" t="s">
        <v>46</v>
      </c>
      <c r="AD197" t="s">
        <v>37</v>
      </c>
      <c r="AE197" t="s">
        <v>37</v>
      </c>
      <c r="AF197" t="s">
        <v>956</v>
      </c>
      <c r="AG197" t="s">
        <v>37</v>
      </c>
      <c r="AH197" t="s">
        <v>937</v>
      </c>
      <c r="AI197" t="s">
        <v>37</v>
      </c>
    </row>
    <row r="198" spans="1:35" x14ac:dyDescent="0.25">
      <c r="A198" t="s">
        <v>1254</v>
      </c>
      <c r="B198" t="s">
        <v>34</v>
      </c>
      <c r="C198" t="s">
        <v>1255</v>
      </c>
      <c r="D198" t="s">
        <v>1256</v>
      </c>
      <c r="E198" t="s">
        <v>37</v>
      </c>
      <c r="F198" t="s">
        <v>1257</v>
      </c>
      <c r="G198" t="s">
        <v>39</v>
      </c>
      <c r="H198" t="s">
        <v>40</v>
      </c>
      <c r="I198" t="s">
        <v>41</v>
      </c>
      <c r="J198" t="s">
        <v>37</v>
      </c>
      <c r="K198" t="s">
        <v>37</v>
      </c>
      <c r="L198" t="s">
        <v>42</v>
      </c>
      <c r="M198" s="6">
        <v>45325.291666666664</v>
      </c>
      <c r="N198" t="s">
        <v>4265</v>
      </c>
      <c r="O198" s="1">
        <v>45325</v>
      </c>
      <c r="P198" s="1">
        <v>45277.776643518519</v>
      </c>
      <c r="Q198" t="s">
        <v>4265</v>
      </c>
      <c r="R198" s="6">
        <v>45325.416666666664</v>
      </c>
      <c r="S198" t="s">
        <v>43</v>
      </c>
      <c r="T198">
        <v>23.8</v>
      </c>
      <c r="U198">
        <v>0</v>
      </c>
      <c r="V198">
        <v>23.8</v>
      </c>
      <c r="W198">
        <v>1.19</v>
      </c>
      <c r="X198">
        <v>0</v>
      </c>
      <c r="Y198">
        <v>0</v>
      </c>
      <c r="Z198">
        <v>24.99</v>
      </c>
      <c r="AA198" t="s">
        <v>44</v>
      </c>
      <c r="AB198" t="s">
        <v>45</v>
      </c>
      <c r="AC198" t="s">
        <v>46</v>
      </c>
      <c r="AD198" t="s">
        <v>37</v>
      </c>
      <c r="AE198" t="s">
        <v>37</v>
      </c>
      <c r="AF198" t="s">
        <v>1258</v>
      </c>
      <c r="AG198" t="s">
        <v>37</v>
      </c>
      <c r="AH198" t="s">
        <v>1259</v>
      </c>
      <c r="AI198" t="s">
        <v>37</v>
      </c>
    </row>
    <row r="199" spans="1:35" x14ac:dyDescent="0.25">
      <c r="A199" t="s">
        <v>949</v>
      </c>
      <c r="B199" t="s">
        <v>34</v>
      </c>
      <c r="C199" t="s">
        <v>950</v>
      </c>
      <c r="D199" t="s">
        <v>951</v>
      </c>
      <c r="E199" t="s">
        <v>37</v>
      </c>
      <c r="F199" t="s">
        <v>952</v>
      </c>
      <c r="G199" t="s">
        <v>39</v>
      </c>
      <c r="H199" t="s">
        <v>40</v>
      </c>
      <c r="I199" t="s">
        <v>41</v>
      </c>
      <c r="J199" t="s">
        <v>37</v>
      </c>
      <c r="K199" t="s">
        <v>37</v>
      </c>
      <c r="L199" t="s">
        <v>42</v>
      </c>
      <c r="M199" s="6">
        <v>45325.358402777776</v>
      </c>
      <c r="N199" t="s">
        <v>4265</v>
      </c>
      <c r="O199" s="1">
        <v>45325.066736111112</v>
      </c>
      <c r="P199" s="1">
        <v>45325.358425925922</v>
      </c>
      <c r="Q199" t="s">
        <v>4265</v>
      </c>
      <c r="R199" s="6">
        <v>45325.416666666664</v>
      </c>
      <c r="S199" t="s">
        <v>43</v>
      </c>
      <c r="T199">
        <v>24.99</v>
      </c>
      <c r="U199">
        <v>0</v>
      </c>
      <c r="V199">
        <v>0</v>
      </c>
      <c r="W199">
        <v>0</v>
      </c>
      <c r="X199">
        <v>0</v>
      </c>
      <c r="Y199">
        <v>0</v>
      </c>
      <c r="Z199">
        <v>24.99</v>
      </c>
      <c r="AA199" t="s">
        <v>44</v>
      </c>
      <c r="AB199" t="s">
        <v>115</v>
      </c>
      <c r="AC199" t="s">
        <v>116</v>
      </c>
      <c r="AD199" t="s">
        <v>37</v>
      </c>
      <c r="AE199" t="s">
        <v>37</v>
      </c>
      <c r="AF199" t="s">
        <v>37</v>
      </c>
      <c r="AG199" t="s">
        <v>37</v>
      </c>
      <c r="AH199" t="s">
        <v>950</v>
      </c>
      <c r="AI199" t="s">
        <v>37</v>
      </c>
    </row>
    <row r="200" spans="1:35" x14ac:dyDescent="0.25">
      <c r="A200" t="s">
        <v>953</v>
      </c>
      <c r="B200" t="s">
        <v>34</v>
      </c>
      <c r="C200" t="s">
        <v>950</v>
      </c>
      <c r="D200" t="s">
        <v>951</v>
      </c>
      <c r="E200" t="s">
        <v>37</v>
      </c>
      <c r="F200" t="s">
        <v>952</v>
      </c>
      <c r="G200" t="s">
        <v>39</v>
      </c>
      <c r="H200" t="s">
        <v>40</v>
      </c>
      <c r="I200" t="s">
        <v>41</v>
      </c>
      <c r="J200" t="s">
        <v>37</v>
      </c>
      <c r="K200" t="s">
        <v>37</v>
      </c>
      <c r="L200" t="s">
        <v>42</v>
      </c>
      <c r="M200" s="6">
        <v>45325.358807870369</v>
      </c>
      <c r="N200" t="s">
        <v>4265</v>
      </c>
      <c r="O200" s="1">
        <v>45325.067141203705</v>
      </c>
      <c r="P200" s="1">
        <v>45325.358865740738</v>
      </c>
      <c r="Q200" t="s">
        <v>4265</v>
      </c>
      <c r="R200" s="6">
        <v>45325.416666666664</v>
      </c>
      <c r="S200" t="s">
        <v>43</v>
      </c>
      <c r="T200">
        <v>24.99</v>
      </c>
      <c r="U200">
        <v>0</v>
      </c>
      <c r="V200">
        <v>24.99</v>
      </c>
      <c r="W200">
        <v>0</v>
      </c>
      <c r="X200">
        <v>0</v>
      </c>
      <c r="Y200">
        <v>0</v>
      </c>
      <c r="Z200">
        <v>24.99</v>
      </c>
      <c r="AA200" t="s">
        <v>44</v>
      </c>
      <c r="AB200" t="s">
        <v>45</v>
      </c>
      <c r="AC200" t="s">
        <v>46</v>
      </c>
      <c r="AD200" t="s">
        <v>37</v>
      </c>
      <c r="AE200" t="s">
        <v>37</v>
      </c>
      <c r="AF200" t="s">
        <v>954</v>
      </c>
      <c r="AG200" t="s">
        <v>37</v>
      </c>
      <c r="AH200" t="s">
        <v>950</v>
      </c>
      <c r="AI200" t="s">
        <v>37</v>
      </c>
    </row>
    <row r="201" spans="1:35" x14ac:dyDescent="0.25">
      <c r="A201" t="s">
        <v>930</v>
      </c>
      <c r="B201" t="s">
        <v>34</v>
      </c>
      <c r="C201" t="s">
        <v>925</v>
      </c>
      <c r="D201" t="s">
        <v>926</v>
      </c>
      <c r="E201" t="s">
        <v>37</v>
      </c>
      <c r="F201" t="s">
        <v>927</v>
      </c>
      <c r="G201" t="s">
        <v>39</v>
      </c>
      <c r="H201" t="s">
        <v>40</v>
      </c>
      <c r="I201" t="s">
        <v>41</v>
      </c>
      <c r="J201" t="s">
        <v>37</v>
      </c>
      <c r="K201" t="s">
        <v>37</v>
      </c>
      <c r="L201" t="s">
        <v>42</v>
      </c>
      <c r="M201" s="6">
        <v>45326.291666666664</v>
      </c>
      <c r="N201" t="s">
        <v>4266</v>
      </c>
      <c r="O201" s="1">
        <v>45326</v>
      </c>
      <c r="P201" s="1">
        <v>45323.932754629626</v>
      </c>
      <c r="Q201" t="s">
        <v>4266</v>
      </c>
      <c r="R201" s="6">
        <v>45326.416666666664</v>
      </c>
      <c r="S201" t="s">
        <v>43</v>
      </c>
      <c r="T201">
        <v>24.99</v>
      </c>
      <c r="U201">
        <v>0</v>
      </c>
      <c r="V201">
        <v>24.99</v>
      </c>
      <c r="W201">
        <v>0</v>
      </c>
      <c r="X201">
        <v>0</v>
      </c>
      <c r="Y201">
        <v>0</v>
      </c>
      <c r="Z201">
        <v>24.99</v>
      </c>
      <c r="AA201" t="s">
        <v>44</v>
      </c>
      <c r="AB201" t="s">
        <v>45</v>
      </c>
      <c r="AC201" t="s">
        <v>46</v>
      </c>
      <c r="AD201" t="s">
        <v>37</v>
      </c>
      <c r="AE201" t="s">
        <v>37</v>
      </c>
      <c r="AF201" t="s">
        <v>931</v>
      </c>
      <c r="AG201" t="s">
        <v>37</v>
      </c>
      <c r="AH201" t="s">
        <v>929</v>
      </c>
      <c r="AI201" t="s">
        <v>37</v>
      </c>
    </row>
    <row r="202" spans="1:35" x14ac:dyDescent="0.25">
      <c r="A202" t="s">
        <v>1186</v>
      </c>
      <c r="B202" t="s">
        <v>34</v>
      </c>
      <c r="C202" t="s">
        <v>1187</v>
      </c>
      <c r="D202" t="s">
        <v>1188</v>
      </c>
      <c r="E202" t="s">
        <v>37</v>
      </c>
      <c r="F202" t="s">
        <v>1189</v>
      </c>
      <c r="G202" t="s">
        <v>39</v>
      </c>
      <c r="H202" t="s">
        <v>40</v>
      </c>
      <c r="I202" t="s">
        <v>41</v>
      </c>
      <c r="J202" t="s">
        <v>37</v>
      </c>
      <c r="K202" t="s">
        <v>37</v>
      </c>
      <c r="L202" t="s">
        <v>42</v>
      </c>
      <c r="M202" s="6">
        <v>45330.291666666664</v>
      </c>
      <c r="N202" t="s">
        <v>4264</v>
      </c>
      <c r="O202" s="1">
        <v>45330</v>
      </c>
      <c r="P202" s="1">
        <v>45330.471759259257</v>
      </c>
      <c r="Q202" t="s">
        <v>4264</v>
      </c>
      <c r="R202" s="6">
        <v>45330.416666666664</v>
      </c>
      <c r="S202" t="s">
        <v>43</v>
      </c>
      <c r="T202">
        <v>19.989999999999998</v>
      </c>
      <c r="U202">
        <v>0</v>
      </c>
      <c r="V202">
        <v>19.989999999999998</v>
      </c>
      <c r="W202">
        <v>0</v>
      </c>
      <c r="X202">
        <v>0</v>
      </c>
      <c r="Y202">
        <v>0</v>
      </c>
      <c r="Z202">
        <v>19.989999999999998</v>
      </c>
      <c r="AA202" t="s">
        <v>44</v>
      </c>
      <c r="AB202" t="s">
        <v>45</v>
      </c>
      <c r="AC202" t="s">
        <v>46</v>
      </c>
      <c r="AD202" t="s">
        <v>37</v>
      </c>
      <c r="AE202" t="s">
        <v>37</v>
      </c>
      <c r="AF202" t="s">
        <v>1190</v>
      </c>
      <c r="AG202" t="s">
        <v>37</v>
      </c>
      <c r="AH202" t="s">
        <v>1187</v>
      </c>
      <c r="AI202" t="s">
        <v>37</v>
      </c>
    </row>
    <row r="203" spans="1:35" x14ac:dyDescent="0.25">
      <c r="A203" t="s">
        <v>1191</v>
      </c>
      <c r="B203" t="s">
        <v>34</v>
      </c>
      <c r="C203" t="s">
        <v>1192</v>
      </c>
      <c r="D203" t="s">
        <v>1193</v>
      </c>
      <c r="E203" t="s">
        <v>37</v>
      </c>
      <c r="F203" t="s">
        <v>1194</v>
      </c>
      <c r="G203" t="s">
        <v>39</v>
      </c>
      <c r="H203" t="s">
        <v>40</v>
      </c>
      <c r="I203" t="s">
        <v>41</v>
      </c>
      <c r="J203" t="s">
        <v>37</v>
      </c>
      <c r="K203" t="s">
        <v>37</v>
      </c>
      <c r="L203" t="s">
        <v>42</v>
      </c>
      <c r="M203" s="6">
        <v>45330.478819444441</v>
      </c>
      <c r="N203" t="s">
        <v>4264</v>
      </c>
      <c r="O203" s="1">
        <v>45330.187152777777</v>
      </c>
      <c r="P203" s="1">
        <v>45330.478877314818</v>
      </c>
      <c r="Q203" t="s">
        <v>4264</v>
      </c>
      <c r="R203" s="6">
        <v>45330.416666666664</v>
      </c>
      <c r="S203" t="s">
        <v>43</v>
      </c>
      <c r="T203">
        <v>19.989999999999998</v>
      </c>
      <c r="U203">
        <v>0</v>
      </c>
      <c r="V203">
        <v>19.989999999999998</v>
      </c>
      <c r="W203">
        <v>0</v>
      </c>
      <c r="X203">
        <v>0</v>
      </c>
      <c r="Y203">
        <v>0</v>
      </c>
      <c r="Z203">
        <v>19.989999999999998</v>
      </c>
      <c r="AA203" t="s">
        <v>44</v>
      </c>
      <c r="AB203" t="s">
        <v>45</v>
      </c>
      <c r="AC203" t="s">
        <v>46</v>
      </c>
      <c r="AD203" t="s">
        <v>37</v>
      </c>
      <c r="AE203" t="s">
        <v>37</v>
      </c>
      <c r="AF203" t="s">
        <v>1195</v>
      </c>
      <c r="AG203" t="s">
        <v>37</v>
      </c>
      <c r="AH203" t="s">
        <v>1192</v>
      </c>
      <c r="AI203" t="s">
        <v>37</v>
      </c>
    </row>
    <row r="204" spans="1:35" x14ac:dyDescent="0.25">
      <c r="A204" t="s">
        <v>957</v>
      </c>
      <c r="B204" t="s">
        <v>34</v>
      </c>
      <c r="C204" t="s">
        <v>958</v>
      </c>
      <c r="D204" t="s">
        <v>959</v>
      </c>
      <c r="E204" t="s">
        <v>37</v>
      </c>
      <c r="F204" t="s">
        <v>960</v>
      </c>
      <c r="G204" t="s">
        <v>39</v>
      </c>
      <c r="H204" t="s">
        <v>40</v>
      </c>
      <c r="I204" t="s">
        <v>41</v>
      </c>
      <c r="J204" t="s">
        <v>37</v>
      </c>
      <c r="K204" t="s">
        <v>37</v>
      </c>
      <c r="L204" t="s">
        <v>42</v>
      </c>
      <c r="M204" s="6">
        <v>45331.291666666664</v>
      </c>
      <c r="N204" t="s">
        <v>4268</v>
      </c>
      <c r="O204" s="1">
        <v>45331</v>
      </c>
      <c r="P204" s="1">
        <v>45325.75104166667</v>
      </c>
      <c r="Q204" t="s">
        <v>4268</v>
      </c>
      <c r="R204" s="6">
        <v>45331.416666666664</v>
      </c>
      <c r="S204" t="s">
        <v>43</v>
      </c>
      <c r="T204">
        <v>19.989999999999998</v>
      </c>
      <c r="U204">
        <v>0</v>
      </c>
      <c r="V204">
        <v>19.989999999999998</v>
      </c>
      <c r="W204">
        <v>0</v>
      </c>
      <c r="X204">
        <v>0</v>
      </c>
      <c r="Y204">
        <v>0</v>
      </c>
      <c r="Z204">
        <v>19.989999999999998</v>
      </c>
      <c r="AA204" t="s">
        <v>44</v>
      </c>
      <c r="AB204" t="s">
        <v>45</v>
      </c>
      <c r="AC204" t="s">
        <v>46</v>
      </c>
      <c r="AD204" t="s">
        <v>37</v>
      </c>
      <c r="AE204" t="s">
        <v>37</v>
      </c>
      <c r="AF204" t="s">
        <v>961</v>
      </c>
      <c r="AG204" t="s">
        <v>37</v>
      </c>
      <c r="AH204" t="s">
        <v>958</v>
      </c>
      <c r="AI204" t="s">
        <v>37</v>
      </c>
    </row>
    <row r="205" spans="1:35" x14ac:dyDescent="0.25">
      <c r="A205" t="s">
        <v>1209</v>
      </c>
      <c r="B205" t="s">
        <v>34</v>
      </c>
      <c r="C205" t="s">
        <v>1210</v>
      </c>
      <c r="D205" t="s">
        <v>1211</v>
      </c>
      <c r="E205" t="s">
        <v>37</v>
      </c>
      <c r="F205" t="s">
        <v>1212</v>
      </c>
      <c r="G205" t="s">
        <v>39</v>
      </c>
      <c r="H205" t="s">
        <v>40</v>
      </c>
      <c r="I205" t="s">
        <v>41</v>
      </c>
      <c r="J205" t="s">
        <v>37</v>
      </c>
      <c r="K205" t="s">
        <v>37</v>
      </c>
      <c r="L205" t="s">
        <v>42</v>
      </c>
      <c r="M205" s="6">
        <v>45331.291666666664</v>
      </c>
      <c r="N205" t="s">
        <v>4268</v>
      </c>
      <c r="O205" s="1">
        <v>45331</v>
      </c>
      <c r="P205" s="1">
        <v>45330.843368055554</v>
      </c>
      <c r="Q205" t="s">
        <v>4268</v>
      </c>
      <c r="R205" s="6">
        <v>45331.416666666664</v>
      </c>
      <c r="S205" t="s">
        <v>43</v>
      </c>
      <c r="T205">
        <v>19.989999999999998</v>
      </c>
      <c r="U205">
        <v>0</v>
      </c>
      <c r="V205">
        <v>19.989999999999998</v>
      </c>
      <c r="W205">
        <v>0</v>
      </c>
      <c r="X205">
        <v>0</v>
      </c>
      <c r="Y205">
        <v>0</v>
      </c>
      <c r="Z205">
        <v>19.989999999999998</v>
      </c>
      <c r="AA205" t="s">
        <v>44</v>
      </c>
      <c r="AB205" t="s">
        <v>45</v>
      </c>
      <c r="AC205" t="s">
        <v>46</v>
      </c>
      <c r="AD205" t="s">
        <v>37</v>
      </c>
      <c r="AE205" t="s">
        <v>37</v>
      </c>
      <c r="AF205" t="s">
        <v>1213</v>
      </c>
      <c r="AG205" t="s">
        <v>37</v>
      </c>
      <c r="AH205" t="s">
        <v>1210</v>
      </c>
      <c r="AI205" t="s">
        <v>37</v>
      </c>
    </row>
    <row r="206" spans="1:35" x14ac:dyDescent="0.25">
      <c r="A206" t="s">
        <v>977</v>
      </c>
      <c r="B206" t="s">
        <v>34</v>
      </c>
      <c r="C206" t="s">
        <v>978</v>
      </c>
      <c r="D206" t="s">
        <v>979</v>
      </c>
      <c r="E206" t="s">
        <v>37</v>
      </c>
      <c r="F206" t="s">
        <v>980</v>
      </c>
      <c r="G206" t="s">
        <v>39</v>
      </c>
      <c r="H206" t="s">
        <v>40</v>
      </c>
      <c r="I206" t="s">
        <v>41</v>
      </c>
      <c r="J206" t="s">
        <v>37</v>
      </c>
      <c r="K206" t="s">
        <v>37</v>
      </c>
      <c r="L206" t="s">
        <v>42</v>
      </c>
      <c r="M206" s="6">
        <v>45332.291666666664</v>
      </c>
      <c r="N206" t="s">
        <v>4265</v>
      </c>
      <c r="O206" s="1">
        <v>45332</v>
      </c>
      <c r="P206" s="1">
        <v>45326.738391203704</v>
      </c>
      <c r="Q206" t="s">
        <v>4265</v>
      </c>
      <c r="R206" s="6">
        <v>45332.416666666664</v>
      </c>
      <c r="S206" t="s">
        <v>43</v>
      </c>
      <c r="T206">
        <v>24.99</v>
      </c>
      <c r="U206">
        <v>0</v>
      </c>
      <c r="V206">
        <v>24.99</v>
      </c>
      <c r="W206">
        <v>0</v>
      </c>
      <c r="X206">
        <v>0</v>
      </c>
      <c r="Y206">
        <v>0</v>
      </c>
      <c r="Z206">
        <v>24.99</v>
      </c>
      <c r="AA206" t="s">
        <v>44</v>
      </c>
      <c r="AB206" t="s">
        <v>45</v>
      </c>
      <c r="AC206" t="s">
        <v>46</v>
      </c>
      <c r="AD206" t="s">
        <v>37</v>
      </c>
      <c r="AE206" t="s">
        <v>37</v>
      </c>
      <c r="AF206" t="s">
        <v>981</v>
      </c>
      <c r="AG206" t="s">
        <v>37</v>
      </c>
      <c r="AH206" t="s">
        <v>978</v>
      </c>
      <c r="AI206" t="s">
        <v>37</v>
      </c>
    </row>
    <row r="207" spans="1:35" x14ac:dyDescent="0.25">
      <c r="A207" t="s">
        <v>992</v>
      </c>
      <c r="B207" t="s">
        <v>34</v>
      </c>
      <c r="C207" t="s">
        <v>993</v>
      </c>
      <c r="D207" t="s">
        <v>994</v>
      </c>
      <c r="E207" t="s">
        <v>37</v>
      </c>
      <c r="F207" t="s">
        <v>995</v>
      </c>
      <c r="G207" t="s">
        <v>39</v>
      </c>
      <c r="H207" t="s">
        <v>40</v>
      </c>
      <c r="I207" t="s">
        <v>41</v>
      </c>
      <c r="J207" t="s">
        <v>37</v>
      </c>
      <c r="K207" t="s">
        <v>37</v>
      </c>
      <c r="L207" t="s">
        <v>42</v>
      </c>
      <c r="M207" s="6">
        <v>45332.291666666664</v>
      </c>
      <c r="N207" t="s">
        <v>4265</v>
      </c>
      <c r="O207" s="1">
        <v>45332</v>
      </c>
      <c r="P207" s="1">
        <v>45326.868194444447</v>
      </c>
      <c r="Q207" t="s">
        <v>4265</v>
      </c>
      <c r="R207" s="6">
        <v>45332.416666666664</v>
      </c>
      <c r="S207" t="s">
        <v>43</v>
      </c>
      <c r="T207">
        <v>24.99</v>
      </c>
      <c r="U207">
        <v>0</v>
      </c>
      <c r="V207">
        <v>24.99</v>
      </c>
      <c r="W207">
        <v>0</v>
      </c>
      <c r="X207">
        <v>0</v>
      </c>
      <c r="Y207">
        <v>0</v>
      </c>
      <c r="Z207">
        <v>24.99</v>
      </c>
      <c r="AA207" t="s">
        <v>44</v>
      </c>
      <c r="AB207" t="s">
        <v>45</v>
      </c>
      <c r="AC207" t="s">
        <v>46</v>
      </c>
      <c r="AD207" t="s">
        <v>37</v>
      </c>
      <c r="AE207" t="s">
        <v>37</v>
      </c>
      <c r="AF207" t="s">
        <v>996</v>
      </c>
      <c r="AG207" t="s">
        <v>37</v>
      </c>
      <c r="AH207" t="s">
        <v>997</v>
      </c>
      <c r="AI207" t="s">
        <v>37</v>
      </c>
    </row>
    <row r="208" spans="1:35" x14ac:dyDescent="0.25">
      <c r="A208" t="s">
        <v>1125</v>
      </c>
      <c r="B208" t="s">
        <v>34</v>
      </c>
      <c r="C208" t="s">
        <v>1126</v>
      </c>
      <c r="D208" t="s">
        <v>1127</v>
      </c>
      <c r="E208" t="s">
        <v>37</v>
      </c>
      <c r="F208" t="s">
        <v>1128</v>
      </c>
      <c r="G208" t="s">
        <v>39</v>
      </c>
      <c r="H208" t="s">
        <v>40</v>
      </c>
      <c r="I208" t="s">
        <v>41</v>
      </c>
      <c r="J208" t="s">
        <v>37</v>
      </c>
      <c r="K208" t="s">
        <v>37</v>
      </c>
      <c r="L208" t="s">
        <v>42</v>
      </c>
      <c r="M208" s="6">
        <v>45332.291666666664</v>
      </c>
      <c r="N208" t="s">
        <v>4265</v>
      </c>
      <c r="O208" s="1">
        <v>45332</v>
      </c>
      <c r="P208" s="1">
        <v>45327.860601851855</v>
      </c>
      <c r="Q208" t="s">
        <v>4265</v>
      </c>
      <c r="R208" s="6">
        <v>45332.416666666664</v>
      </c>
      <c r="S208" t="s">
        <v>43</v>
      </c>
      <c r="T208">
        <v>24.99</v>
      </c>
      <c r="U208">
        <v>0</v>
      </c>
      <c r="V208">
        <v>24.99</v>
      </c>
      <c r="W208">
        <v>0</v>
      </c>
      <c r="X208">
        <v>0</v>
      </c>
      <c r="Y208">
        <v>0</v>
      </c>
      <c r="Z208">
        <v>24.99</v>
      </c>
      <c r="AA208" t="s">
        <v>44</v>
      </c>
      <c r="AB208" t="s">
        <v>45</v>
      </c>
      <c r="AC208" t="s">
        <v>46</v>
      </c>
      <c r="AD208" t="s">
        <v>37</v>
      </c>
      <c r="AE208" t="s">
        <v>37</v>
      </c>
      <c r="AF208" t="s">
        <v>1129</v>
      </c>
      <c r="AG208" t="s">
        <v>37</v>
      </c>
      <c r="AH208" t="s">
        <v>1126</v>
      </c>
      <c r="AI208" t="s">
        <v>37</v>
      </c>
    </row>
    <row r="209" spans="1:35" x14ac:dyDescent="0.25">
      <c r="A209" t="s">
        <v>1171</v>
      </c>
      <c r="B209" t="s">
        <v>34</v>
      </c>
      <c r="C209" t="s">
        <v>1172</v>
      </c>
      <c r="D209" t="s">
        <v>1173</v>
      </c>
      <c r="E209" t="s">
        <v>37</v>
      </c>
      <c r="F209" t="s">
        <v>1174</v>
      </c>
      <c r="G209" t="s">
        <v>39</v>
      </c>
      <c r="H209" t="s">
        <v>40</v>
      </c>
      <c r="I209" t="s">
        <v>41</v>
      </c>
      <c r="J209" t="s">
        <v>37</v>
      </c>
      <c r="K209" t="s">
        <v>37</v>
      </c>
      <c r="L209" t="s">
        <v>42</v>
      </c>
      <c r="M209" s="6">
        <v>45332.291666666664</v>
      </c>
      <c r="N209" t="s">
        <v>4265</v>
      </c>
      <c r="O209" s="1">
        <v>45332</v>
      </c>
      <c r="P209" s="1">
        <v>45328.61383101852</v>
      </c>
      <c r="Q209" t="s">
        <v>4265</v>
      </c>
      <c r="R209" s="6">
        <v>45332.416666666664</v>
      </c>
      <c r="S209" t="s">
        <v>43</v>
      </c>
      <c r="T209">
        <v>24.99</v>
      </c>
      <c r="U209">
        <v>0</v>
      </c>
      <c r="V209">
        <v>24.99</v>
      </c>
      <c r="W209">
        <v>0</v>
      </c>
      <c r="X209">
        <v>0</v>
      </c>
      <c r="Y209">
        <v>0</v>
      </c>
      <c r="Z209">
        <v>24.99</v>
      </c>
      <c r="AA209" t="s">
        <v>44</v>
      </c>
      <c r="AB209" t="s">
        <v>45</v>
      </c>
      <c r="AC209" t="s">
        <v>46</v>
      </c>
      <c r="AD209" t="s">
        <v>37</v>
      </c>
      <c r="AE209" t="s">
        <v>37</v>
      </c>
      <c r="AF209" t="s">
        <v>1175</v>
      </c>
      <c r="AG209" t="s">
        <v>37</v>
      </c>
      <c r="AH209" t="s">
        <v>1172</v>
      </c>
      <c r="AI209" t="s">
        <v>37</v>
      </c>
    </row>
    <row r="210" spans="1:35" x14ac:dyDescent="0.25">
      <c r="A210" t="s">
        <v>1214</v>
      </c>
      <c r="B210" t="s">
        <v>34</v>
      </c>
      <c r="C210" t="s">
        <v>1215</v>
      </c>
      <c r="D210" t="s">
        <v>1216</v>
      </c>
      <c r="E210" t="s">
        <v>37</v>
      </c>
      <c r="F210" t="s">
        <v>1217</v>
      </c>
      <c r="G210" t="s">
        <v>39</v>
      </c>
      <c r="H210" t="s">
        <v>40</v>
      </c>
      <c r="I210" t="s">
        <v>41</v>
      </c>
      <c r="J210" t="s">
        <v>37</v>
      </c>
      <c r="K210" t="s">
        <v>37</v>
      </c>
      <c r="L210" t="s">
        <v>42</v>
      </c>
      <c r="M210" s="6">
        <v>45332.291666666664</v>
      </c>
      <c r="N210" t="s">
        <v>4265</v>
      </c>
      <c r="O210" s="1">
        <v>45332</v>
      </c>
      <c r="P210" s="1">
        <v>45331.447824074072</v>
      </c>
      <c r="Q210" t="s">
        <v>4265</v>
      </c>
      <c r="R210" s="6">
        <v>45332.416666666664</v>
      </c>
      <c r="S210" t="s">
        <v>43</v>
      </c>
      <c r="T210">
        <v>24.99</v>
      </c>
      <c r="U210">
        <v>0</v>
      </c>
      <c r="V210">
        <v>24.99</v>
      </c>
      <c r="W210">
        <v>0</v>
      </c>
      <c r="X210">
        <v>0</v>
      </c>
      <c r="Y210">
        <v>0</v>
      </c>
      <c r="Z210">
        <v>24.99</v>
      </c>
      <c r="AA210" t="s">
        <v>44</v>
      </c>
      <c r="AB210" t="s">
        <v>45</v>
      </c>
      <c r="AC210" t="s">
        <v>46</v>
      </c>
      <c r="AD210" t="s">
        <v>37</v>
      </c>
      <c r="AE210" t="s">
        <v>37</v>
      </c>
      <c r="AF210" t="s">
        <v>1218</v>
      </c>
      <c r="AG210" t="s">
        <v>37</v>
      </c>
      <c r="AH210" t="s">
        <v>1215</v>
      </c>
      <c r="AI210" t="s">
        <v>37</v>
      </c>
    </row>
    <row r="211" spans="1:35" x14ac:dyDescent="0.25">
      <c r="A211" t="s">
        <v>1219</v>
      </c>
      <c r="B211" t="s">
        <v>34</v>
      </c>
      <c r="C211" t="s">
        <v>1220</v>
      </c>
      <c r="D211" t="s">
        <v>1221</v>
      </c>
      <c r="E211" t="s">
        <v>37</v>
      </c>
      <c r="F211" t="s">
        <v>1222</v>
      </c>
      <c r="G211" t="s">
        <v>39</v>
      </c>
      <c r="H211" t="s">
        <v>40</v>
      </c>
      <c r="I211" t="s">
        <v>41</v>
      </c>
      <c r="J211" t="s">
        <v>37</v>
      </c>
      <c r="K211" t="s">
        <v>37</v>
      </c>
      <c r="L211" t="s">
        <v>42</v>
      </c>
      <c r="M211" s="6">
        <v>45332.291666666664</v>
      </c>
      <c r="N211" t="s">
        <v>4265</v>
      </c>
      <c r="O211" s="1">
        <v>45332</v>
      </c>
      <c r="P211" s="1">
        <v>45331.696342592593</v>
      </c>
      <c r="Q211" t="s">
        <v>4265</v>
      </c>
      <c r="R211" s="6">
        <v>45332.416666666664</v>
      </c>
      <c r="S211" t="s">
        <v>43</v>
      </c>
      <c r="T211">
        <v>24.99</v>
      </c>
      <c r="U211">
        <v>0</v>
      </c>
      <c r="V211">
        <v>24.99</v>
      </c>
      <c r="W211">
        <v>0</v>
      </c>
      <c r="X211">
        <v>0</v>
      </c>
      <c r="Y211">
        <v>0</v>
      </c>
      <c r="Z211">
        <v>24.99</v>
      </c>
      <c r="AA211" t="s">
        <v>44</v>
      </c>
      <c r="AB211" t="s">
        <v>45</v>
      </c>
      <c r="AC211" t="s">
        <v>46</v>
      </c>
      <c r="AD211" t="s">
        <v>37</v>
      </c>
      <c r="AE211" t="s">
        <v>37</v>
      </c>
      <c r="AF211" t="s">
        <v>1223</v>
      </c>
      <c r="AG211" t="s">
        <v>37</v>
      </c>
      <c r="AH211" t="s">
        <v>1224</v>
      </c>
      <c r="AI211" t="s">
        <v>37</v>
      </c>
    </row>
    <row r="212" spans="1:35" x14ac:dyDescent="0.25">
      <c r="A212" t="s">
        <v>1232</v>
      </c>
      <c r="B212" t="s">
        <v>34</v>
      </c>
      <c r="C212" t="s">
        <v>1233</v>
      </c>
      <c r="D212" t="s">
        <v>1234</v>
      </c>
      <c r="E212" t="s">
        <v>37</v>
      </c>
      <c r="F212" t="s">
        <v>1235</v>
      </c>
      <c r="G212" t="s">
        <v>39</v>
      </c>
      <c r="H212" t="s">
        <v>40</v>
      </c>
      <c r="I212" t="s">
        <v>41</v>
      </c>
      <c r="J212" t="s">
        <v>37</v>
      </c>
      <c r="K212" t="s">
        <v>37</v>
      </c>
      <c r="L212" t="s">
        <v>42</v>
      </c>
      <c r="M212" s="6">
        <v>45332.291666666664</v>
      </c>
      <c r="N212" t="s">
        <v>4265</v>
      </c>
      <c r="O212" s="1">
        <v>45332</v>
      </c>
      <c r="P212" s="1">
        <v>45332.426979166667</v>
      </c>
      <c r="Q212" t="s">
        <v>4265</v>
      </c>
      <c r="R212" s="6">
        <v>45332.416666666664</v>
      </c>
      <c r="S212" t="s">
        <v>43</v>
      </c>
      <c r="T212">
        <v>24.99</v>
      </c>
      <c r="U212">
        <v>0</v>
      </c>
      <c r="V212">
        <v>24.99</v>
      </c>
      <c r="W212">
        <v>0</v>
      </c>
      <c r="X212">
        <v>0</v>
      </c>
      <c r="Y212">
        <v>0</v>
      </c>
      <c r="Z212">
        <v>24.99</v>
      </c>
      <c r="AA212" t="s">
        <v>44</v>
      </c>
      <c r="AB212" t="s">
        <v>45</v>
      </c>
      <c r="AC212" t="s">
        <v>46</v>
      </c>
      <c r="AD212" t="s">
        <v>37</v>
      </c>
      <c r="AE212" t="s">
        <v>37</v>
      </c>
      <c r="AF212" t="s">
        <v>1236</v>
      </c>
      <c r="AG212" t="s">
        <v>37</v>
      </c>
      <c r="AH212" t="s">
        <v>1233</v>
      </c>
      <c r="AI212" t="s">
        <v>37</v>
      </c>
    </row>
    <row r="213" spans="1:35" x14ac:dyDescent="0.25">
      <c r="A213" t="s">
        <v>1242</v>
      </c>
      <c r="B213" t="s">
        <v>34</v>
      </c>
      <c r="C213" t="s">
        <v>1243</v>
      </c>
      <c r="D213" t="s">
        <v>1244</v>
      </c>
      <c r="E213" t="s">
        <v>37</v>
      </c>
      <c r="F213" t="s">
        <v>1245</v>
      </c>
      <c r="G213" t="s">
        <v>39</v>
      </c>
      <c r="H213" t="s">
        <v>40</v>
      </c>
      <c r="I213" t="s">
        <v>41</v>
      </c>
      <c r="J213" t="s">
        <v>37</v>
      </c>
      <c r="K213" t="s">
        <v>37</v>
      </c>
      <c r="L213" t="s">
        <v>42</v>
      </c>
      <c r="M213" s="6">
        <v>45332.291666666664</v>
      </c>
      <c r="N213" t="s">
        <v>4265</v>
      </c>
      <c r="O213" s="1">
        <v>45332</v>
      </c>
      <c r="P213" s="1">
        <v>45301.806423611109</v>
      </c>
      <c r="Q213" t="s">
        <v>4265</v>
      </c>
      <c r="R213" s="6">
        <v>45332.416666666664</v>
      </c>
      <c r="S213" t="s">
        <v>43</v>
      </c>
      <c r="T213">
        <v>19.04</v>
      </c>
      <c r="U213">
        <v>0</v>
      </c>
      <c r="V213">
        <v>19.04</v>
      </c>
      <c r="W213">
        <v>0.95</v>
      </c>
      <c r="X213">
        <v>0</v>
      </c>
      <c r="Y213">
        <v>0</v>
      </c>
      <c r="Z213">
        <v>19.989999999999998</v>
      </c>
      <c r="AA213" t="s">
        <v>44</v>
      </c>
      <c r="AB213" t="s">
        <v>45</v>
      </c>
      <c r="AC213" t="s">
        <v>46</v>
      </c>
      <c r="AD213" t="s">
        <v>37</v>
      </c>
      <c r="AE213" t="s">
        <v>37</v>
      </c>
      <c r="AF213" t="s">
        <v>1246</v>
      </c>
      <c r="AG213" t="s">
        <v>37</v>
      </c>
      <c r="AH213" t="s">
        <v>1243</v>
      </c>
      <c r="AI213" t="s">
        <v>37</v>
      </c>
    </row>
    <row r="214" spans="1:35" x14ac:dyDescent="0.25">
      <c r="A214" t="s">
        <v>1230</v>
      </c>
      <c r="B214" t="s">
        <v>34</v>
      </c>
      <c r="C214" t="s">
        <v>473</v>
      </c>
      <c r="D214" t="s">
        <v>474</v>
      </c>
      <c r="E214" t="s">
        <v>37</v>
      </c>
      <c r="F214" t="s">
        <v>475</v>
      </c>
      <c r="G214" t="s">
        <v>39</v>
      </c>
      <c r="H214" t="s">
        <v>40</v>
      </c>
      <c r="I214" t="s">
        <v>41</v>
      </c>
      <c r="J214" t="s">
        <v>37</v>
      </c>
      <c r="K214" t="s">
        <v>37</v>
      </c>
      <c r="L214" t="s">
        <v>42</v>
      </c>
      <c r="M214" s="6">
        <v>45332.396597222221</v>
      </c>
      <c r="N214" t="s">
        <v>4265</v>
      </c>
      <c r="O214" s="1">
        <v>45332.104930555557</v>
      </c>
      <c r="P214" s="1">
        <v>45332.396643518521</v>
      </c>
      <c r="Q214" t="s">
        <v>4265</v>
      </c>
      <c r="R214" s="6">
        <v>45332.416666666664</v>
      </c>
      <c r="S214" t="s">
        <v>43</v>
      </c>
      <c r="T214">
        <v>24.99</v>
      </c>
      <c r="U214">
        <v>0</v>
      </c>
      <c r="V214">
        <v>24.99</v>
      </c>
      <c r="W214">
        <v>0</v>
      </c>
      <c r="X214">
        <v>0</v>
      </c>
      <c r="Y214">
        <v>0</v>
      </c>
      <c r="Z214">
        <v>24.99</v>
      </c>
      <c r="AA214" t="s">
        <v>44</v>
      </c>
      <c r="AB214" t="s">
        <v>45</v>
      </c>
      <c r="AC214" t="s">
        <v>46</v>
      </c>
      <c r="AD214" t="s">
        <v>37</v>
      </c>
      <c r="AE214" t="s">
        <v>37</v>
      </c>
      <c r="AF214" t="s">
        <v>1231</v>
      </c>
      <c r="AG214" t="s">
        <v>37</v>
      </c>
      <c r="AH214" t="s">
        <v>473</v>
      </c>
      <c r="AI214" t="s">
        <v>37</v>
      </c>
    </row>
    <row r="215" spans="1:35" x14ac:dyDescent="0.25">
      <c r="A215" t="s">
        <v>1247</v>
      </c>
      <c r="B215" t="s">
        <v>34</v>
      </c>
      <c r="C215" t="s">
        <v>1220</v>
      </c>
      <c r="D215" t="s">
        <v>1221</v>
      </c>
      <c r="E215" t="s">
        <v>37</v>
      </c>
      <c r="F215" t="s">
        <v>1222</v>
      </c>
      <c r="G215" t="s">
        <v>39</v>
      </c>
      <c r="H215" t="s">
        <v>40</v>
      </c>
      <c r="I215" t="s">
        <v>41</v>
      </c>
      <c r="J215" t="s">
        <v>37</v>
      </c>
      <c r="K215" t="s">
        <v>37</v>
      </c>
      <c r="L215" t="s">
        <v>42</v>
      </c>
      <c r="M215" s="6">
        <v>45333.291666666664</v>
      </c>
      <c r="N215" t="s">
        <v>4266</v>
      </c>
      <c r="O215" s="1">
        <v>45333</v>
      </c>
      <c r="P215" s="1">
        <v>45332.823923611111</v>
      </c>
      <c r="Q215" t="s">
        <v>4266</v>
      </c>
      <c r="R215" s="6">
        <v>45333.416666666664</v>
      </c>
      <c r="S215" t="s">
        <v>43</v>
      </c>
      <c r="T215">
        <v>24.99</v>
      </c>
      <c r="U215">
        <v>0</v>
      </c>
      <c r="V215">
        <v>24.99</v>
      </c>
      <c r="W215">
        <v>0</v>
      </c>
      <c r="X215">
        <v>0</v>
      </c>
      <c r="Y215">
        <v>0</v>
      </c>
      <c r="Z215">
        <v>24.99</v>
      </c>
      <c r="AA215" t="s">
        <v>44</v>
      </c>
      <c r="AB215" t="s">
        <v>45</v>
      </c>
      <c r="AC215" t="s">
        <v>46</v>
      </c>
      <c r="AD215" t="s">
        <v>37</v>
      </c>
      <c r="AE215" t="s">
        <v>37</v>
      </c>
      <c r="AF215" t="s">
        <v>1248</v>
      </c>
      <c r="AG215" t="s">
        <v>37</v>
      </c>
      <c r="AH215" t="s">
        <v>1224</v>
      </c>
      <c r="AI215" t="s">
        <v>37</v>
      </c>
    </row>
    <row r="216" spans="1:35" x14ac:dyDescent="0.25">
      <c r="A216" t="s">
        <v>815</v>
      </c>
      <c r="B216" t="s">
        <v>34</v>
      </c>
      <c r="C216" t="s">
        <v>816</v>
      </c>
      <c r="D216" t="s">
        <v>817</v>
      </c>
      <c r="E216" t="s">
        <v>37</v>
      </c>
      <c r="F216" t="s">
        <v>818</v>
      </c>
      <c r="G216" t="s">
        <v>39</v>
      </c>
      <c r="H216" t="s">
        <v>40</v>
      </c>
      <c r="I216" t="s">
        <v>41</v>
      </c>
      <c r="J216" t="s">
        <v>37</v>
      </c>
      <c r="K216" t="s">
        <v>37</v>
      </c>
      <c r="L216" t="s">
        <v>42</v>
      </c>
      <c r="M216" s="6">
        <v>45338.291666666664</v>
      </c>
      <c r="N216" t="s">
        <v>4268</v>
      </c>
      <c r="O216" s="1">
        <v>45338</v>
      </c>
      <c r="P216" s="1">
        <v>45334.389687499999</v>
      </c>
      <c r="Q216" t="s">
        <v>4268</v>
      </c>
      <c r="R216" s="6">
        <v>45338.416666666664</v>
      </c>
      <c r="S216" t="s">
        <v>43</v>
      </c>
      <c r="T216">
        <v>19.989999999999998</v>
      </c>
      <c r="U216">
        <v>0</v>
      </c>
      <c r="V216">
        <v>19.989999999999998</v>
      </c>
      <c r="W216">
        <v>0</v>
      </c>
      <c r="X216">
        <v>0</v>
      </c>
      <c r="Y216">
        <v>0</v>
      </c>
      <c r="Z216">
        <v>19.989999999999998</v>
      </c>
      <c r="AA216" t="s">
        <v>44</v>
      </c>
      <c r="AB216" t="s">
        <v>45</v>
      </c>
      <c r="AC216" t="s">
        <v>46</v>
      </c>
      <c r="AD216" t="s">
        <v>37</v>
      </c>
      <c r="AE216" t="s">
        <v>37</v>
      </c>
      <c r="AF216" t="s">
        <v>819</v>
      </c>
      <c r="AG216" t="s">
        <v>37</v>
      </c>
      <c r="AH216" t="s">
        <v>816</v>
      </c>
      <c r="AI216" t="s">
        <v>37</v>
      </c>
    </row>
    <row r="217" spans="1:35" x14ac:dyDescent="0.25">
      <c r="A217" t="s">
        <v>943</v>
      </c>
      <c r="B217" t="s">
        <v>34</v>
      </c>
      <c r="C217" t="s">
        <v>944</v>
      </c>
      <c r="D217" t="s">
        <v>945</v>
      </c>
      <c r="E217" t="s">
        <v>37</v>
      </c>
      <c r="F217" t="s">
        <v>946</v>
      </c>
      <c r="G217" t="s">
        <v>39</v>
      </c>
      <c r="H217" t="s">
        <v>40</v>
      </c>
      <c r="I217" t="s">
        <v>41</v>
      </c>
      <c r="J217" t="s">
        <v>37</v>
      </c>
      <c r="K217" t="s">
        <v>37</v>
      </c>
      <c r="L217" t="s">
        <v>42</v>
      </c>
      <c r="M217" s="6">
        <v>45338.291666666664</v>
      </c>
      <c r="N217" t="s">
        <v>4268</v>
      </c>
      <c r="O217" s="1">
        <v>45338</v>
      </c>
      <c r="P217" s="1">
        <v>45336.852835648147</v>
      </c>
      <c r="Q217" t="s">
        <v>4268</v>
      </c>
      <c r="R217" s="6">
        <v>45338.416666666664</v>
      </c>
      <c r="S217" t="s">
        <v>43</v>
      </c>
      <c r="T217">
        <v>19.989999999999998</v>
      </c>
      <c r="U217">
        <v>0</v>
      </c>
      <c r="V217">
        <v>19.989999999999998</v>
      </c>
      <c r="W217">
        <v>0</v>
      </c>
      <c r="X217">
        <v>0</v>
      </c>
      <c r="Y217">
        <v>0</v>
      </c>
      <c r="Z217">
        <v>19.989999999999998</v>
      </c>
      <c r="AA217" t="s">
        <v>44</v>
      </c>
      <c r="AB217" t="s">
        <v>45</v>
      </c>
      <c r="AC217" t="s">
        <v>46</v>
      </c>
      <c r="AD217" t="s">
        <v>37</v>
      </c>
      <c r="AE217" t="s">
        <v>37</v>
      </c>
      <c r="AF217" t="s">
        <v>947</v>
      </c>
      <c r="AG217" t="s">
        <v>37</v>
      </c>
      <c r="AH217" t="s">
        <v>948</v>
      </c>
      <c r="AI217" t="s">
        <v>37</v>
      </c>
    </row>
    <row r="218" spans="1:35" x14ac:dyDescent="0.25">
      <c r="A218" t="s">
        <v>790</v>
      </c>
      <c r="B218" t="s">
        <v>34</v>
      </c>
      <c r="C218" t="s">
        <v>786</v>
      </c>
      <c r="D218" t="s">
        <v>787</v>
      </c>
      <c r="E218" t="s">
        <v>37</v>
      </c>
      <c r="F218" t="s">
        <v>788</v>
      </c>
      <c r="G218" t="s">
        <v>39</v>
      </c>
      <c r="H218" t="s">
        <v>40</v>
      </c>
      <c r="I218" t="s">
        <v>41</v>
      </c>
      <c r="J218" t="s">
        <v>37</v>
      </c>
      <c r="K218" t="s">
        <v>37</v>
      </c>
      <c r="L218" t="s">
        <v>42</v>
      </c>
      <c r="M218" s="6">
        <v>45339.291666666664</v>
      </c>
      <c r="N218" t="s">
        <v>4265</v>
      </c>
      <c r="O218" s="1">
        <v>45339</v>
      </c>
      <c r="P218" s="1">
        <v>45300.460856481484</v>
      </c>
      <c r="Q218" t="s">
        <v>4265</v>
      </c>
      <c r="R218" s="6">
        <v>45339.416666666664</v>
      </c>
      <c r="S218" t="s">
        <v>43</v>
      </c>
      <c r="T218">
        <v>47.6</v>
      </c>
      <c r="U218">
        <v>0</v>
      </c>
      <c r="V218">
        <v>47.6</v>
      </c>
      <c r="W218">
        <v>2.38</v>
      </c>
      <c r="X218">
        <v>0</v>
      </c>
      <c r="Y218">
        <v>0</v>
      </c>
      <c r="Z218">
        <v>49.98</v>
      </c>
      <c r="AA218" t="s">
        <v>44</v>
      </c>
      <c r="AB218" t="s">
        <v>45</v>
      </c>
      <c r="AC218" t="s">
        <v>46</v>
      </c>
      <c r="AD218" t="s">
        <v>37</v>
      </c>
      <c r="AE218" t="s">
        <v>37</v>
      </c>
      <c r="AF218" t="s">
        <v>789</v>
      </c>
      <c r="AG218" t="s">
        <v>37</v>
      </c>
      <c r="AH218" t="s">
        <v>786</v>
      </c>
      <c r="AI218" t="s">
        <v>37</v>
      </c>
    </row>
    <row r="219" spans="1:35" x14ac:dyDescent="0.25">
      <c r="A219" t="s">
        <v>791</v>
      </c>
      <c r="B219" t="s">
        <v>34</v>
      </c>
      <c r="C219" t="s">
        <v>416</v>
      </c>
      <c r="D219" t="s">
        <v>417</v>
      </c>
      <c r="E219" t="s">
        <v>37</v>
      </c>
      <c r="F219" t="s">
        <v>418</v>
      </c>
      <c r="G219" t="s">
        <v>39</v>
      </c>
      <c r="H219" t="s">
        <v>40</v>
      </c>
      <c r="I219" t="s">
        <v>41</v>
      </c>
      <c r="J219" t="s">
        <v>37</v>
      </c>
      <c r="K219" t="s">
        <v>37</v>
      </c>
      <c r="L219" t="s">
        <v>42</v>
      </c>
      <c r="M219" s="6">
        <v>45339.291666666664</v>
      </c>
      <c r="N219" t="s">
        <v>4265</v>
      </c>
      <c r="O219" s="1">
        <v>45339</v>
      </c>
      <c r="P219" s="1">
        <v>45305.788240740738</v>
      </c>
      <c r="Q219" t="s">
        <v>4265</v>
      </c>
      <c r="R219" s="6">
        <v>45339.416666666664</v>
      </c>
      <c r="S219" t="s">
        <v>43</v>
      </c>
      <c r="T219">
        <v>38.08</v>
      </c>
      <c r="U219">
        <v>0</v>
      </c>
      <c r="V219">
        <v>38.08</v>
      </c>
      <c r="W219">
        <v>1.9</v>
      </c>
      <c r="X219">
        <v>0</v>
      </c>
      <c r="Y219">
        <v>0</v>
      </c>
      <c r="Z219">
        <v>39.979999999999997</v>
      </c>
      <c r="AA219" t="s">
        <v>44</v>
      </c>
      <c r="AB219" t="s">
        <v>45</v>
      </c>
      <c r="AC219" t="s">
        <v>46</v>
      </c>
      <c r="AD219" t="s">
        <v>37</v>
      </c>
      <c r="AE219" t="s">
        <v>37</v>
      </c>
      <c r="AF219" t="s">
        <v>792</v>
      </c>
      <c r="AG219" t="s">
        <v>37</v>
      </c>
      <c r="AH219" t="s">
        <v>416</v>
      </c>
      <c r="AI219" t="s">
        <v>37</v>
      </c>
    </row>
    <row r="220" spans="1:35" x14ac:dyDescent="0.25">
      <c r="A220" t="s">
        <v>825</v>
      </c>
      <c r="B220" t="s">
        <v>34</v>
      </c>
      <c r="C220" t="s">
        <v>821</v>
      </c>
      <c r="D220" t="s">
        <v>822</v>
      </c>
      <c r="E220" t="s">
        <v>37</v>
      </c>
      <c r="F220" t="s">
        <v>823</v>
      </c>
      <c r="G220" t="s">
        <v>39</v>
      </c>
      <c r="H220" t="s">
        <v>40</v>
      </c>
      <c r="I220" t="s">
        <v>41</v>
      </c>
      <c r="J220" t="s">
        <v>37</v>
      </c>
      <c r="K220" t="s">
        <v>37</v>
      </c>
      <c r="L220" t="s">
        <v>42</v>
      </c>
      <c r="M220" s="6">
        <v>45339.291666666664</v>
      </c>
      <c r="N220" t="s">
        <v>4265</v>
      </c>
      <c r="O220" s="1">
        <v>45339</v>
      </c>
      <c r="P220" s="1">
        <v>45334.437523148146</v>
      </c>
      <c r="Q220" t="s">
        <v>4265</v>
      </c>
      <c r="R220" s="6">
        <v>45339.416666666664</v>
      </c>
      <c r="S220" t="s">
        <v>43</v>
      </c>
      <c r="T220">
        <v>24.99</v>
      </c>
      <c r="U220">
        <v>0</v>
      </c>
      <c r="V220">
        <v>24.99</v>
      </c>
      <c r="W220">
        <v>0</v>
      </c>
      <c r="X220">
        <v>0</v>
      </c>
      <c r="Y220">
        <v>0</v>
      </c>
      <c r="Z220">
        <v>24.99</v>
      </c>
      <c r="AA220" t="s">
        <v>44</v>
      </c>
      <c r="AB220" t="s">
        <v>45</v>
      </c>
      <c r="AC220" t="s">
        <v>46</v>
      </c>
      <c r="AD220" t="s">
        <v>37</v>
      </c>
      <c r="AE220" t="s">
        <v>37</v>
      </c>
      <c r="AF220" t="s">
        <v>826</v>
      </c>
      <c r="AG220" t="s">
        <v>37</v>
      </c>
      <c r="AH220" t="s">
        <v>821</v>
      </c>
      <c r="AI220" t="s">
        <v>37</v>
      </c>
    </row>
    <row r="221" spans="1:35" x14ac:dyDescent="0.25">
      <c r="A221" t="s">
        <v>888</v>
      </c>
      <c r="B221" t="s">
        <v>34</v>
      </c>
      <c r="C221" t="s">
        <v>889</v>
      </c>
      <c r="D221" t="s">
        <v>890</v>
      </c>
      <c r="E221" t="s">
        <v>37</v>
      </c>
      <c r="F221" t="s">
        <v>891</v>
      </c>
      <c r="G221" t="s">
        <v>39</v>
      </c>
      <c r="H221" t="s">
        <v>40</v>
      </c>
      <c r="I221" t="s">
        <v>41</v>
      </c>
      <c r="J221" t="s">
        <v>37</v>
      </c>
      <c r="K221" t="s">
        <v>37</v>
      </c>
      <c r="L221" t="s">
        <v>42</v>
      </c>
      <c r="M221" s="6">
        <v>45339.291666666664</v>
      </c>
      <c r="N221" t="s">
        <v>4265</v>
      </c>
      <c r="O221" s="1">
        <v>45339</v>
      </c>
      <c r="P221" s="1">
        <v>45323.306215277778</v>
      </c>
      <c r="Q221" t="s">
        <v>4265</v>
      </c>
      <c r="R221" s="6">
        <v>45339.416666666664</v>
      </c>
      <c r="S221" t="s">
        <v>43</v>
      </c>
      <c r="T221">
        <v>24.99</v>
      </c>
      <c r="U221">
        <v>0</v>
      </c>
      <c r="V221">
        <v>24.99</v>
      </c>
      <c r="W221">
        <v>0</v>
      </c>
      <c r="X221">
        <v>0</v>
      </c>
      <c r="Y221">
        <v>0</v>
      </c>
      <c r="Z221">
        <v>24.99</v>
      </c>
      <c r="AA221" t="s">
        <v>44</v>
      </c>
      <c r="AB221" t="s">
        <v>45</v>
      </c>
      <c r="AC221" t="s">
        <v>46</v>
      </c>
      <c r="AD221" t="s">
        <v>37</v>
      </c>
      <c r="AE221" t="s">
        <v>37</v>
      </c>
      <c r="AF221" t="s">
        <v>892</v>
      </c>
      <c r="AG221" t="s">
        <v>37</v>
      </c>
      <c r="AH221" t="s">
        <v>889</v>
      </c>
      <c r="AI221" t="s">
        <v>37</v>
      </c>
    </row>
    <row r="222" spans="1:35" x14ac:dyDescent="0.25">
      <c r="A222" t="s">
        <v>893</v>
      </c>
      <c r="B222" t="s">
        <v>34</v>
      </c>
      <c r="C222" t="s">
        <v>889</v>
      </c>
      <c r="D222" t="s">
        <v>890</v>
      </c>
      <c r="E222" t="s">
        <v>37</v>
      </c>
      <c r="F222" t="s">
        <v>894</v>
      </c>
      <c r="G222" t="s">
        <v>39</v>
      </c>
      <c r="H222" t="s">
        <v>40</v>
      </c>
      <c r="I222" t="s">
        <v>41</v>
      </c>
      <c r="J222" t="s">
        <v>37</v>
      </c>
      <c r="K222" t="s">
        <v>37</v>
      </c>
      <c r="L222" t="s">
        <v>42</v>
      </c>
      <c r="M222" s="6">
        <v>45339.291666666664</v>
      </c>
      <c r="N222" t="s">
        <v>4265</v>
      </c>
      <c r="O222" s="1">
        <v>45339</v>
      </c>
      <c r="P222" s="1">
        <v>45323.308067129627</v>
      </c>
      <c r="Q222" t="s">
        <v>4265</v>
      </c>
      <c r="R222" s="6">
        <v>45339.416666666664</v>
      </c>
      <c r="S222" t="s">
        <v>43</v>
      </c>
      <c r="T222">
        <v>24.99</v>
      </c>
      <c r="U222">
        <v>0</v>
      </c>
      <c r="V222">
        <v>24.99</v>
      </c>
      <c r="W222">
        <v>0</v>
      </c>
      <c r="X222">
        <v>0</v>
      </c>
      <c r="Y222">
        <v>0</v>
      </c>
      <c r="Z222">
        <v>24.99</v>
      </c>
      <c r="AA222" t="s">
        <v>44</v>
      </c>
      <c r="AB222" t="s">
        <v>45</v>
      </c>
      <c r="AC222" t="s">
        <v>46</v>
      </c>
      <c r="AD222" t="s">
        <v>37</v>
      </c>
      <c r="AE222" t="s">
        <v>37</v>
      </c>
      <c r="AF222" t="s">
        <v>895</v>
      </c>
      <c r="AG222" t="s">
        <v>37</v>
      </c>
      <c r="AH222" t="s">
        <v>889</v>
      </c>
      <c r="AI222" t="s">
        <v>37</v>
      </c>
    </row>
    <row r="223" spans="1:35" x14ac:dyDescent="0.25">
      <c r="A223" t="s">
        <v>962</v>
      </c>
      <c r="B223" t="s">
        <v>34</v>
      </c>
      <c r="C223" t="s">
        <v>963</v>
      </c>
      <c r="D223" t="s">
        <v>964</v>
      </c>
      <c r="E223" t="s">
        <v>37</v>
      </c>
      <c r="F223" t="s">
        <v>965</v>
      </c>
      <c r="G223" t="s">
        <v>39</v>
      </c>
      <c r="H223" t="s">
        <v>40</v>
      </c>
      <c r="I223" t="s">
        <v>41</v>
      </c>
      <c r="J223" t="s">
        <v>37</v>
      </c>
      <c r="K223" t="s">
        <v>37</v>
      </c>
      <c r="L223" t="s">
        <v>42</v>
      </c>
      <c r="M223" s="6">
        <v>45339.291666666664</v>
      </c>
      <c r="N223" t="s">
        <v>4265</v>
      </c>
      <c r="O223" s="1">
        <v>45339</v>
      </c>
      <c r="P223" s="1">
        <v>45337.457696759258</v>
      </c>
      <c r="Q223" t="s">
        <v>4265</v>
      </c>
      <c r="R223" s="6">
        <v>45339.416666666664</v>
      </c>
      <c r="S223" t="s">
        <v>43</v>
      </c>
      <c r="T223">
        <v>24.99</v>
      </c>
      <c r="U223">
        <v>0</v>
      </c>
      <c r="V223">
        <v>24.99</v>
      </c>
      <c r="W223">
        <v>0</v>
      </c>
      <c r="X223">
        <v>0</v>
      </c>
      <c r="Y223">
        <v>0</v>
      </c>
      <c r="Z223">
        <v>24.99</v>
      </c>
      <c r="AA223" t="s">
        <v>44</v>
      </c>
      <c r="AB223" t="s">
        <v>45</v>
      </c>
      <c r="AC223" t="s">
        <v>46</v>
      </c>
      <c r="AD223" t="s">
        <v>37</v>
      </c>
      <c r="AE223" t="s">
        <v>37</v>
      </c>
      <c r="AF223" t="s">
        <v>966</v>
      </c>
      <c r="AG223" t="s">
        <v>37</v>
      </c>
      <c r="AH223" t="s">
        <v>963</v>
      </c>
      <c r="AI223" t="s">
        <v>37</v>
      </c>
    </row>
    <row r="224" spans="1:35" x14ac:dyDescent="0.25">
      <c r="A224" t="s">
        <v>972</v>
      </c>
      <c r="B224" t="s">
        <v>34</v>
      </c>
      <c r="C224" t="s">
        <v>973</v>
      </c>
      <c r="D224" t="s">
        <v>974</v>
      </c>
      <c r="E224" t="s">
        <v>37</v>
      </c>
      <c r="F224" t="s">
        <v>975</v>
      </c>
      <c r="G224" t="s">
        <v>39</v>
      </c>
      <c r="H224" t="s">
        <v>40</v>
      </c>
      <c r="I224" t="s">
        <v>41</v>
      </c>
      <c r="J224" t="s">
        <v>37</v>
      </c>
      <c r="K224" t="s">
        <v>37</v>
      </c>
      <c r="L224" t="s">
        <v>42</v>
      </c>
      <c r="M224" s="6">
        <v>45339.291666666664</v>
      </c>
      <c r="N224" t="s">
        <v>4265</v>
      </c>
      <c r="O224" s="1">
        <v>45339</v>
      </c>
      <c r="P224" s="1">
        <v>45337.581712962965</v>
      </c>
      <c r="Q224" t="s">
        <v>4265</v>
      </c>
      <c r="R224" s="6">
        <v>45339.416666666664</v>
      </c>
      <c r="S224" t="s">
        <v>43</v>
      </c>
      <c r="T224">
        <v>24.99</v>
      </c>
      <c r="U224">
        <v>0</v>
      </c>
      <c r="V224">
        <v>24.99</v>
      </c>
      <c r="W224">
        <v>0</v>
      </c>
      <c r="X224">
        <v>0</v>
      </c>
      <c r="Y224">
        <v>0</v>
      </c>
      <c r="Z224">
        <v>24.99</v>
      </c>
      <c r="AA224" t="s">
        <v>44</v>
      </c>
      <c r="AB224" t="s">
        <v>45</v>
      </c>
      <c r="AC224" t="s">
        <v>46</v>
      </c>
      <c r="AD224" t="s">
        <v>37</v>
      </c>
      <c r="AE224" t="s">
        <v>37</v>
      </c>
      <c r="AF224" t="s">
        <v>976</v>
      </c>
      <c r="AG224" t="s">
        <v>37</v>
      </c>
      <c r="AH224" t="s">
        <v>973</v>
      </c>
      <c r="AI224" t="s">
        <v>37</v>
      </c>
    </row>
    <row r="225" spans="1:35" x14ac:dyDescent="0.25">
      <c r="A225" t="s">
        <v>982</v>
      </c>
      <c r="B225" t="s">
        <v>34</v>
      </c>
      <c r="C225" t="s">
        <v>983</v>
      </c>
      <c r="D225" t="s">
        <v>984</v>
      </c>
      <c r="E225" t="s">
        <v>37</v>
      </c>
      <c r="F225" t="s">
        <v>985</v>
      </c>
      <c r="G225" t="s">
        <v>39</v>
      </c>
      <c r="H225" t="s">
        <v>40</v>
      </c>
      <c r="I225" t="s">
        <v>41</v>
      </c>
      <c r="J225" t="s">
        <v>37</v>
      </c>
      <c r="K225" t="s">
        <v>37</v>
      </c>
      <c r="L225" t="s">
        <v>42</v>
      </c>
      <c r="M225" s="6">
        <v>45339.291666666664</v>
      </c>
      <c r="N225" t="s">
        <v>4265</v>
      </c>
      <c r="O225" s="1">
        <v>45339</v>
      </c>
      <c r="P225" s="1">
        <v>45337.782870370371</v>
      </c>
      <c r="Q225" t="s">
        <v>4265</v>
      </c>
      <c r="R225" s="6">
        <v>45339.416666666664</v>
      </c>
      <c r="S225" t="s">
        <v>43</v>
      </c>
      <c r="T225">
        <v>24.99</v>
      </c>
      <c r="U225">
        <v>0</v>
      </c>
      <c r="V225">
        <v>24.99</v>
      </c>
      <c r="W225">
        <v>0</v>
      </c>
      <c r="X225">
        <v>0</v>
      </c>
      <c r="Y225">
        <v>0</v>
      </c>
      <c r="Z225">
        <v>24.99</v>
      </c>
      <c r="AA225" t="s">
        <v>44</v>
      </c>
      <c r="AB225" t="s">
        <v>45</v>
      </c>
      <c r="AC225" t="s">
        <v>46</v>
      </c>
      <c r="AD225" t="s">
        <v>37</v>
      </c>
      <c r="AE225" t="s">
        <v>37</v>
      </c>
      <c r="AF225" t="s">
        <v>986</v>
      </c>
      <c r="AG225" t="s">
        <v>37</v>
      </c>
      <c r="AH225" t="s">
        <v>983</v>
      </c>
      <c r="AI225" t="s">
        <v>37</v>
      </c>
    </row>
    <row r="226" spans="1:35" x14ac:dyDescent="0.25">
      <c r="A226" t="s">
        <v>987</v>
      </c>
      <c r="B226" t="s">
        <v>34</v>
      </c>
      <c r="C226" t="s">
        <v>988</v>
      </c>
      <c r="D226" t="s">
        <v>989</v>
      </c>
      <c r="E226" t="s">
        <v>37</v>
      </c>
      <c r="F226" t="s">
        <v>990</v>
      </c>
      <c r="G226" t="s">
        <v>39</v>
      </c>
      <c r="H226" t="s">
        <v>40</v>
      </c>
      <c r="I226" t="s">
        <v>41</v>
      </c>
      <c r="J226" t="s">
        <v>37</v>
      </c>
      <c r="K226" t="s">
        <v>37</v>
      </c>
      <c r="L226" t="s">
        <v>42</v>
      </c>
      <c r="M226" s="6">
        <v>45339.291666666664</v>
      </c>
      <c r="N226" t="s">
        <v>4265</v>
      </c>
      <c r="O226" s="1">
        <v>45339</v>
      </c>
      <c r="P226" s="1">
        <v>45337.884409722225</v>
      </c>
      <c r="Q226" t="s">
        <v>4265</v>
      </c>
      <c r="R226" s="6">
        <v>45339.416666666664</v>
      </c>
      <c r="S226" t="s">
        <v>43</v>
      </c>
      <c r="T226">
        <v>24.99</v>
      </c>
      <c r="U226">
        <v>0</v>
      </c>
      <c r="V226">
        <v>24.99</v>
      </c>
      <c r="W226">
        <v>0</v>
      </c>
      <c r="X226">
        <v>0</v>
      </c>
      <c r="Y226">
        <v>0</v>
      </c>
      <c r="Z226">
        <v>24.99</v>
      </c>
      <c r="AA226" t="s">
        <v>44</v>
      </c>
      <c r="AB226" t="s">
        <v>45</v>
      </c>
      <c r="AC226" t="s">
        <v>46</v>
      </c>
      <c r="AD226" t="s">
        <v>37</v>
      </c>
      <c r="AE226" t="s">
        <v>37</v>
      </c>
      <c r="AF226" t="s">
        <v>991</v>
      </c>
      <c r="AG226" t="s">
        <v>37</v>
      </c>
      <c r="AH226" t="s">
        <v>988</v>
      </c>
      <c r="AI226" t="s">
        <v>37</v>
      </c>
    </row>
    <row r="227" spans="1:35" x14ac:dyDescent="0.25">
      <c r="A227" t="s">
        <v>998</v>
      </c>
      <c r="B227" t="s">
        <v>34</v>
      </c>
      <c r="C227" t="s">
        <v>999</v>
      </c>
      <c r="D227" t="s">
        <v>1000</v>
      </c>
      <c r="E227" t="s">
        <v>37</v>
      </c>
      <c r="F227" t="s">
        <v>1001</v>
      </c>
      <c r="G227" t="s">
        <v>39</v>
      </c>
      <c r="H227" t="s">
        <v>40</v>
      </c>
      <c r="I227" t="s">
        <v>41</v>
      </c>
      <c r="J227" t="s">
        <v>37</v>
      </c>
      <c r="K227" t="s">
        <v>37</v>
      </c>
      <c r="L227" t="s">
        <v>42</v>
      </c>
      <c r="M227" s="6">
        <v>45339.291666666664</v>
      </c>
      <c r="N227" t="s">
        <v>4265</v>
      </c>
      <c r="O227" s="1">
        <v>45339</v>
      </c>
      <c r="P227" s="1">
        <v>45338.29959490741</v>
      </c>
      <c r="Q227" t="s">
        <v>4265</v>
      </c>
      <c r="R227" s="6">
        <v>45339.416666666664</v>
      </c>
      <c r="S227" t="s">
        <v>43</v>
      </c>
      <c r="T227">
        <v>49.98</v>
      </c>
      <c r="U227">
        <v>0</v>
      </c>
      <c r="V227">
        <v>49.98</v>
      </c>
      <c r="W227">
        <v>0</v>
      </c>
      <c r="X227">
        <v>0</v>
      </c>
      <c r="Y227">
        <v>0</v>
      </c>
      <c r="Z227">
        <v>49.98</v>
      </c>
      <c r="AA227" t="s">
        <v>44</v>
      </c>
      <c r="AB227" t="s">
        <v>45</v>
      </c>
      <c r="AC227" t="s">
        <v>46</v>
      </c>
      <c r="AD227" t="s">
        <v>37</v>
      </c>
      <c r="AE227" t="s">
        <v>37</v>
      </c>
      <c r="AF227" t="s">
        <v>1002</v>
      </c>
      <c r="AG227" t="s">
        <v>37</v>
      </c>
      <c r="AH227" t="s">
        <v>999</v>
      </c>
      <c r="AI227" t="s">
        <v>37</v>
      </c>
    </row>
    <row r="228" spans="1:35" x14ac:dyDescent="0.25">
      <c r="A228" t="s">
        <v>1025</v>
      </c>
      <c r="B228" t="s">
        <v>34</v>
      </c>
      <c r="C228" t="s">
        <v>1026</v>
      </c>
      <c r="D228" t="s">
        <v>1027</v>
      </c>
      <c r="E228" t="s">
        <v>37</v>
      </c>
      <c r="F228" t="s">
        <v>1028</v>
      </c>
      <c r="G228" t="s">
        <v>39</v>
      </c>
      <c r="H228" t="s">
        <v>40</v>
      </c>
      <c r="I228" t="s">
        <v>41</v>
      </c>
      <c r="J228" t="s">
        <v>37</v>
      </c>
      <c r="K228" t="s">
        <v>37</v>
      </c>
      <c r="L228" t="s">
        <v>42</v>
      </c>
      <c r="M228" s="6">
        <v>45339.291666666664</v>
      </c>
      <c r="N228" t="s">
        <v>4265</v>
      </c>
      <c r="O228" s="1">
        <v>45339</v>
      </c>
      <c r="P228" s="1">
        <v>45338.762800925928</v>
      </c>
      <c r="Q228" t="s">
        <v>4265</v>
      </c>
      <c r="R228" s="6">
        <v>45339.416666666664</v>
      </c>
      <c r="S228" t="s">
        <v>43</v>
      </c>
      <c r="T228">
        <v>24.99</v>
      </c>
      <c r="U228">
        <v>0</v>
      </c>
      <c r="V228">
        <v>0</v>
      </c>
      <c r="W228">
        <v>0</v>
      </c>
      <c r="X228">
        <v>0</v>
      </c>
      <c r="Y228">
        <v>0</v>
      </c>
      <c r="Z228">
        <v>24.99</v>
      </c>
      <c r="AA228" t="s">
        <v>44</v>
      </c>
      <c r="AB228" t="s">
        <v>115</v>
      </c>
      <c r="AC228" t="s">
        <v>116</v>
      </c>
      <c r="AD228" t="s">
        <v>37</v>
      </c>
      <c r="AE228" t="s">
        <v>37</v>
      </c>
      <c r="AF228" t="s">
        <v>37</v>
      </c>
      <c r="AG228" t="s">
        <v>37</v>
      </c>
      <c r="AH228" t="s">
        <v>1026</v>
      </c>
      <c r="AI228" t="s">
        <v>37</v>
      </c>
    </row>
    <row r="229" spans="1:35" x14ac:dyDescent="0.25">
      <c r="A229" t="s">
        <v>1029</v>
      </c>
      <c r="B229" t="s">
        <v>34</v>
      </c>
      <c r="C229" t="s">
        <v>1026</v>
      </c>
      <c r="D229" t="s">
        <v>1027</v>
      </c>
      <c r="E229" t="s">
        <v>37</v>
      </c>
      <c r="F229" t="s">
        <v>1028</v>
      </c>
      <c r="G229" t="s">
        <v>39</v>
      </c>
      <c r="H229" t="s">
        <v>40</v>
      </c>
      <c r="I229" t="s">
        <v>41</v>
      </c>
      <c r="J229" t="s">
        <v>37</v>
      </c>
      <c r="K229" t="s">
        <v>37</v>
      </c>
      <c r="L229" t="s">
        <v>42</v>
      </c>
      <c r="M229" s="6">
        <v>45339.291666666664</v>
      </c>
      <c r="N229" t="s">
        <v>4265</v>
      </c>
      <c r="O229" s="1">
        <v>45339</v>
      </c>
      <c r="P229" s="1">
        <v>45338.763599537036</v>
      </c>
      <c r="Q229" t="s">
        <v>4265</v>
      </c>
      <c r="R229" s="6">
        <v>45339.416666666664</v>
      </c>
      <c r="S229" t="s">
        <v>43</v>
      </c>
      <c r="T229">
        <v>24.99</v>
      </c>
      <c r="U229">
        <v>0</v>
      </c>
      <c r="V229">
        <v>0</v>
      </c>
      <c r="W229">
        <v>0</v>
      </c>
      <c r="X229">
        <v>0</v>
      </c>
      <c r="Y229">
        <v>0</v>
      </c>
      <c r="Z229">
        <v>24.99</v>
      </c>
      <c r="AA229" t="s">
        <v>44</v>
      </c>
      <c r="AB229" t="s">
        <v>115</v>
      </c>
      <c r="AC229" t="s">
        <v>116</v>
      </c>
      <c r="AD229" t="s">
        <v>37</v>
      </c>
      <c r="AE229" t="s">
        <v>37</v>
      </c>
      <c r="AF229" t="s">
        <v>37</v>
      </c>
      <c r="AG229" t="s">
        <v>37</v>
      </c>
      <c r="AH229" t="s">
        <v>1026</v>
      </c>
      <c r="AI229" t="s">
        <v>37</v>
      </c>
    </row>
    <row r="230" spans="1:35" x14ac:dyDescent="0.25">
      <c r="A230" t="s">
        <v>1030</v>
      </c>
      <c r="B230" t="s">
        <v>34</v>
      </c>
      <c r="C230" t="s">
        <v>1026</v>
      </c>
      <c r="D230" t="s">
        <v>1027</v>
      </c>
      <c r="E230" t="s">
        <v>37</v>
      </c>
      <c r="F230" t="s">
        <v>1028</v>
      </c>
      <c r="G230" t="s">
        <v>39</v>
      </c>
      <c r="H230" t="s">
        <v>40</v>
      </c>
      <c r="I230" t="s">
        <v>41</v>
      </c>
      <c r="J230" t="s">
        <v>37</v>
      </c>
      <c r="K230" t="s">
        <v>37</v>
      </c>
      <c r="L230" t="s">
        <v>42</v>
      </c>
      <c r="M230" s="6">
        <v>45339.291666666664</v>
      </c>
      <c r="N230" t="s">
        <v>4265</v>
      </c>
      <c r="O230" s="1">
        <v>45339</v>
      </c>
      <c r="P230" s="1">
        <v>45338.764074074075</v>
      </c>
      <c r="Q230" t="s">
        <v>4265</v>
      </c>
      <c r="R230" s="6">
        <v>45339.416666666664</v>
      </c>
      <c r="S230" t="s">
        <v>43</v>
      </c>
      <c r="T230">
        <v>24.99</v>
      </c>
      <c r="U230">
        <v>0</v>
      </c>
      <c r="V230">
        <v>24.99</v>
      </c>
      <c r="W230">
        <v>0</v>
      </c>
      <c r="X230">
        <v>0</v>
      </c>
      <c r="Y230">
        <v>0</v>
      </c>
      <c r="Z230">
        <v>24.99</v>
      </c>
      <c r="AA230" t="s">
        <v>44</v>
      </c>
      <c r="AB230" t="s">
        <v>45</v>
      </c>
      <c r="AC230" t="s">
        <v>46</v>
      </c>
      <c r="AD230" t="s">
        <v>37</v>
      </c>
      <c r="AE230" t="s">
        <v>37</v>
      </c>
      <c r="AF230" t="s">
        <v>1031</v>
      </c>
      <c r="AG230" t="s">
        <v>37</v>
      </c>
      <c r="AH230" t="s">
        <v>1026</v>
      </c>
      <c r="AI230" t="s">
        <v>37</v>
      </c>
    </row>
    <row r="231" spans="1:35" x14ac:dyDescent="0.25">
      <c r="A231" t="s">
        <v>1032</v>
      </c>
      <c r="B231" t="s">
        <v>34</v>
      </c>
      <c r="C231" t="s">
        <v>1033</v>
      </c>
      <c r="D231" t="s">
        <v>1034</v>
      </c>
      <c r="E231" t="s">
        <v>37</v>
      </c>
      <c r="F231" t="s">
        <v>1035</v>
      </c>
      <c r="G231" t="s">
        <v>39</v>
      </c>
      <c r="H231" t="s">
        <v>40</v>
      </c>
      <c r="I231" t="s">
        <v>41</v>
      </c>
      <c r="J231" t="s">
        <v>37</v>
      </c>
      <c r="K231" t="s">
        <v>37</v>
      </c>
      <c r="L231" t="s">
        <v>42</v>
      </c>
      <c r="M231" s="6">
        <v>45339.291666666664</v>
      </c>
      <c r="N231" t="s">
        <v>4265</v>
      </c>
      <c r="O231" s="1">
        <v>45339</v>
      </c>
      <c r="P231" s="1">
        <v>45338.809050925927</v>
      </c>
      <c r="Q231" t="s">
        <v>4265</v>
      </c>
      <c r="R231" s="6">
        <v>45339.416666666664</v>
      </c>
      <c r="S231" t="s">
        <v>43</v>
      </c>
      <c r="T231">
        <v>49.98</v>
      </c>
      <c r="U231">
        <v>0</v>
      </c>
      <c r="V231">
        <v>49.98</v>
      </c>
      <c r="W231">
        <v>0</v>
      </c>
      <c r="X231">
        <v>0</v>
      </c>
      <c r="Y231">
        <v>0</v>
      </c>
      <c r="Z231">
        <v>49.98</v>
      </c>
      <c r="AA231" t="s">
        <v>44</v>
      </c>
      <c r="AB231" t="s">
        <v>45</v>
      </c>
      <c r="AC231" t="s">
        <v>46</v>
      </c>
      <c r="AD231" t="s">
        <v>37</v>
      </c>
      <c r="AE231" t="s">
        <v>37</v>
      </c>
      <c r="AF231" t="s">
        <v>1036</v>
      </c>
      <c r="AG231" t="s">
        <v>37</v>
      </c>
      <c r="AH231" t="s">
        <v>1033</v>
      </c>
      <c r="AI231" t="s">
        <v>37</v>
      </c>
    </row>
    <row r="232" spans="1:35" x14ac:dyDescent="0.25">
      <c r="A232" t="s">
        <v>1043</v>
      </c>
      <c r="B232" t="s">
        <v>34</v>
      </c>
      <c r="C232" t="s">
        <v>1044</v>
      </c>
      <c r="D232" t="s">
        <v>1045</v>
      </c>
      <c r="E232" t="s">
        <v>37</v>
      </c>
      <c r="F232" t="s">
        <v>1046</v>
      </c>
      <c r="G232" t="s">
        <v>39</v>
      </c>
      <c r="H232" t="s">
        <v>40</v>
      </c>
      <c r="I232" t="s">
        <v>41</v>
      </c>
      <c r="J232" t="s">
        <v>37</v>
      </c>
      <c r="K232" t="s">
        <v>37</v>
      </c>
      <c r="L232" t="s">
        <v>42</v>
      </c>
      <c r="M232" s="6">
        <v>45339.291666666664</v>
      </c>
      <c r="N232" t="s">
        <v>4265</v>
      </c>
      <c r="O232" s="1">
        <v>45339</v>
      </c>
      <c r="P232" s="1">
        <v>45338.992395833331</v>
      </c>
      <c r="Q232" t="s">
        <v>4265</v>
      </c>
      <c r="R232" s="6">
        <v>45339.416666666664</v>
      </c>
      <c r="S232" t="s">
        <v>43</v>
      </c>
      <c r="T232">
        <v>24.99</v>
      </c>
      <c r="U232">
        <v>0</v>
      </c>
      <c r="V232">
        <v>24.99</v>
      </c>
      <c r="W232">
        <v>0</v>
      </c>
      <c r="X232">
        <v>0</v>
      </c>
      <c r="Y232">
        <v>0</v>
      </c>
      <c r="Z232">
        <v>24.99</v>
      </c>
      <c r="AA232" t="s">
        <v>44</v>
      </c>
      <c r="AB232" t="s">
        <v>45</v>
      </c>
      <c r="AC232" t="s">
        <v>46</v>
      </c>
      <c r="AD232" t="s">
        <v>37</v>
      </c>
      <c r="AE232" t="s">
        <v>37</v>
      </c>
      <c r="AF232" t="s">
        <v>1047</v>
      </c>
      <c r="AG232" t="s">
        <v>37</v>
      </c>
      <c r="AH232" t="s">
        <v>1044</v>
      </c>
      <c r="AI232" t="s">
        <v>37</v>
      </c>
    </row>
    <row r="233" spans="1:35" x14ac:dyDescent="0.25">
      <c r="A233" t="s">
        <v>1059</v>
      </c>
      <c r="B233" t="s">
        <v>34</v>
      </c>
      <c r="C233" t="s">
        <v>1060</v>
      </c>
      <c r="D233" t="s">
        <v>1061</v>
      </c>
      <c r="E233" t="s">
        <v>37</v>
      </c>
      <c r="F233" t="s">
        <v>1062</v>
      </c>
      <c r="G233" t="s">
        <v>39</v>
      </c>
      <c r="H233" t="s">
        <v>40</v>
      </c>
      <c r="I233" t="s">
        <v>41</v>
      </c>
      <c r="J233" t="s">
        <v>37</v>
      </c>
      <c r="K233" t="s">
        <v>37</v>
      </c>
      <c r="L233" t="s">
        <v>42</v>
      </c>
      <c r="M233" s="6">
        <v>45339.291666666664</v>
      </c>
      <c r="N233" t="s">
        <v>4265</v>
      </c>
      <c r="O233" s="1">
        <v>45339</v>
      </c>
      <c r="P233" s="1">
        <v>45339.416435185187</v>
      </c>
      <c r="Q233" t="s">
        <v>4265</v>
      </c>
      <c r="R233" s="6">
        <v>45339.416666666664</v>
      </c>
      <c r="S233" t="s">
        <v>43</v>
      </c>
      <c r="T233">
        <v>24.99</v>
      </c>
      <c r="U233">
        <v>0</v>
      </c>
      <c r="V233">
        <v>24.99</v>
      </c>
      <c r="W233">
        <v>0</v>
      </c>
      <c r="X233">
        <v>0</v>
      </c>
      <c r="Y233">
        <v>0</v>
      </c>
      <c r="Z233">
        <v>24.99</v>
      </c>
      <c r="AA233" t="s">
        <v>44</v>
      </c>
      <c r="AB233" t="s">
        <v>45</v>
      </c>
      <c r="AC233" t="s">
        <v>46</v>
      </c>
      <c r="AD233" t="s">
        <v>37</v>
      </c>
      <c r="AE233" t="s">
        <v>37</v>
      </c>
      <c r="AF233" t="s">
        <v>1063</v>
      </c>
      <c r="AG233" t="s">
        <v>37</v>
      </c>
      <c r="AH233" t="s">
        <v>1060</v>
      </c>
      <c r="AI233" t="s">
        <v>37</v>
      </c>
    </row>
    <row r="234" spans="1:35" x14ac:dyDescent="0.25">
      <c r="A234" t="s">
        <v>1111</v>
      </c>
      <c r="B234" t="s">
        <v>34</v>
      </c>
      <c r="C234" t="s">
        <v>107</v>
      </c>
      <c r="D234" t="s">
        <v>108</v>
      </c>
      <c r="E234" t="s">
        <v>37</v>
      </c>
      <c r="F234" t="s">
        <v>109</v>
      </c>
      <c r="G234" t="s">
        <v>39</v>
      </c>
      <c r="H234" t="s">
        <v>40</v>
      </c>
      <c r="I234" t="s">
        <v>41</v>
      </c>
      <c r="J234" t="s">
        <v>37</v>
      </c>
      <c r="K234" t="s">
        <v>37</v>
      </c>
      <c r="L234" t="s">
        <v>42</v>
      </c>
      <c r="M234" s="6">
        <v>45339.291666666664</v>
      </c>
      <c r="N234" t="s">
        <v>4265</v>
      </c>
      <c r="O234" s="1">
        <v>45339</v>
      </c>
      <c r="P234" s="1">
        <v>45327.736620370371</v>
      </c>
      <c r="Q234" t="s">
        <v>4265</v>
      </c>
      <c r="R234" s="6">
        <v>45339.416666666664</v>
      </c>
      <c r="S234" t="s">
        <v>43</v>
      </c>
      <c r="T234">
        <v>24.99</v>
      </c>
      <c r="U234">
        <v>0</v>
      </c>
      <c r="V234">
        <v>24.99</v>
      </c>
      <c r="W234">
        <v>0</v>
      </c>
      <c r="X234">
        <v>0</v>
      </c>
      <c r="Y234">
        <v>0</v>
      </c>
      <c r="Z234">
        <v>24.99</v>
      </c>
      <c r="AA234" t="s">
        <v>44</v>
      </c>
      <c r="AB234" t="s">
        <v>45</v>
      </c>
      <c r="AC234" t="s">
        <v>46</v>
      </c>
      <c r="AD234" t="s">
        <v>37</v>
      </c>
      <c r="AE234" t="s">
        <v>37</v>
      </c>
      <c r="AF234" t="s">
        <v>1112</v>
      </c>
      <c r="AG234" t="s">
        <v>37</v>
      </c>
      <c r="AH234" t="s">
        <v>107</v>
      </c>
      <c r="AI234" t="s">
        <v>37</v>
      </c>
    </row>
    <row r="235" spans="1:35" x14ac:dyDescent="0.25">
      <c r="A235" t="s">
        <v>1119</v>
      </c>
      <c r="B235" t="s">
        <v>34</v>
      </c>
      <c r="C235" t="s">
        <v>1120</v>
      </c>
      <c r="D235" t="s">
        <v>1121</v>
      </c>
      <c r="E235" t="s">
        <v>37</v>
      </c>
      <c r="F235" t="s">
        <v>1122</v>
      </c>
      <c r="G235" t="s">
        <v>39</v>
      </c>
      <c r="H235" t="s">
        <v>40</v>
      </c>
      <c r="I235" t="s">
        <v>41</v>
      </c>
      <c r="J235" t="s">
        <v>37</v>
      </c>
      <c r="K235" t="s">
        <v>37</v>
      </c>
      <c r="L235" t="s">
        <v>42</v>
      </c>
      <c r="M235" s="6">
        <v>45339.291666666664</v>
      </c>
      <c r="N235" t="s">
        <v>4265</v>
      </c>
      <c r="O235" s="1">
        <v>45339</v>
      </c>
      <c r="P235" s="1">
        <v>45327.76054398148</v>
      </c>
      <c r="Q235" t="s">
        <v>4265</v>
      </c>
      <c r="R235" s="6">
        <v>45339.416666666664</v>
      </c>
      <c r="S235" t="s">
        <v>43</v>
      </c>
      <c r="T235">
        <v>49.98</v>
      </c>
      <c r="U235">
        <v>0</v>
      </c>
      <c r="V235">
        <v>49.98</v>
      </c>
      <c r="W235">
        <v>0</v>
      </c>
      <c r="X235">
        <v>0</v>
      </c>
      <c r="Y235">
        <v>0</v>
      </c>
      <c r="Z235">
        <v>49.98</v>
      </c>
      <c r="AA235" t="s">
        <v>44</v>
      </c>
      <c r="AB235" t="s">
        <v>45</v>
      </c>
      <c r="AC235" t="s">
        <v>46</v>
      </c>
      <c r="AD235" t="s">
        <v>37</v>
      </c>
      <c r="AE235" t="s">
        <v>37</v>
      </c>
      <c r="AF235" t="s">
        <v>1123</v>
      </c>
      <c r="AG235" t="s">
        <v>37</v>
      </c>
      <c r="AH235" t="s">
        <v>1120</v>
      </c>
      <c r="AI235" t="s">
        <v>37</v>
      </c>
    </row>
    <row r="236" spans="1:35" x14ac:dyDescent="0.25">
      <c r="A236" t="s">
        <v>1064</v>
      </c>
      <c r="B236" t="s">
        <v>34</v>
      </c>
      <c r="C236" t="s">
        <v>1065</v>
      </c>
      <c r="D236" t="s">
        <v>1066</v>
      </c>
      <c r="E236" t="s">
        <v>37</v>
      </c>
      <c r="F236" t="s">
        <v>1067</v>
      </c>
      <c r="G236" t="s">
        <v>39</v>
      </c>
      <c r="H236" t="s">
        <v>40</v>
      </c>
      <c r="I236" t="s">
        <v>41</v>
      </c>
      <c r="J236" t="s">
        <v>37</v>
      </c>
      <c r="K236" t="s">
        <v>37</v>
      </c>
      <c r="L236" t="s">
        <v>42</v>
      </c>
      <c r="M236" s="6">
        <v>45339.430717592593</v>
      </c>
      <c r="N236" t="s">
        <v>4265</v>
      </c>
      <c r="O236" s="1">
        <v>45339.139050925929</v>
      </c>
      <c r="P236" s="1">
        <v>45339.430775462963</v>
      </c>
      <c r="Q236" t="s">
        <v>4265</v>
      </c>
      <c r="R236" s="6">
        <v>45339.416666666664</v>
      </c>
      <c r="S236" t="s">
        <v>43</v>
      </c>
      <c r="T236">
        <v>49.98</v>
      </c>
      <c r="U236">
        <v>0</v>
      </c>
      <c r="V236">
        <v>49.98</v>
      </c>
      <c r="W236">
        <v>0</v>
      </c>
      <c r="X236">
        <v>0</v>
      </c>
      <c r="Y236">
        <v>0</v>
      </c>
      <c r="Z236">
        <v>49.98</v>
      </c>
      <c r="AA236" t="s">
        <v>44</v>
      </c>
      <c r="AB236" t="s">
        <v>45</v>
      </c>
      <c r="AC236" t="s">
        <v>46</v>
      </c>
      <c r="AD236" t="s">
        <v>37</v>
      </c>
      <c r="AE236" t="s">
        <v>37</v>
      </c>
      <c r="AF236" t="s">
        <v>1068</v>
      </c>
      <c r="AG236" t="s">
        <v>37</v>
      </c>
      <c r="AH236" t="s">
        <v>1065</v>
      </c>
      <c r="AI236" t="s">
        <v>37</v>
      </c>
    </row>
    <row r="237" spans="1:35" x14ac:dyDescent="0.25">
      <c r="A237" t="s">
        <v>785</v>
      </c>
      <c r="B237" t="s">
        <v>34</v>
      </c>
      <c r="C237" t="s">
        <v>786</v>
      </c>
      <c r="D237" t="s">
        <v>787</v>
      </c>
      <c r="E237" t="s">
        <v>37</v>
      </c>
      <c r="F237" t="s">
        <v>788</v>
      </c>
      <c r="G237" t="s">
        <v>39</v>
      </c>
      <c r="H237" t="s">
        <v>40</v>
      </c>
      <c r="I237" t="s">
        <v>41</v>
      </c>
      <c r="J237" t="s">
        <v>37</v>
      </c>
      <c r="K237" t="s">
        <v>37</v>
      </c>
      <c r="L237" t="s">
        <v>42</v>
      </c>
      <c r="M237" s="6">
        <v>45340.291666666664</v>
      </c>
      <c r="N237" t="s">
        <v>4266</v>
      </c>
      <c r="O237" s="1">
        <v>45340</v>
      </c>
      <c r="P237" s="1">
        <v>45300.460856481484</v>
      </c>
      <c r="Q237" t="s">
        <v>4266</v>
      </c>
      <c r="R237" s="6">
        <v>45340.416666666664</v>
      </c>
      <c r="S237" t="s">
        <v>43</v>
      </c>
      <c r="T237">
        <v>47.6</v>
      </c>
      <c r="U237">
        <v>0</v>
      </c>
      <c r="V237">
        <v>47.6</v>
      </c>
      <c r="W237">
        <v>2.38</v>
      </c>
      <c r="X237">
        <v>0</v>
      </c>
      <c r="Y237">
        <v>0</v>
      </c>
      <c r="Z237">
        <v>49.98</v>
      </c>
      <c r="AA237" t="s">
        <v>44</v>
      </c>
      <c r="AB237" t="s">
        <v>45</v>
      </c>
      <c r="AC237" t="s">
        <v>46</v>
      </c>
      <c r="AD237" t="s">
        <v>37</v>
      </c>
      <c r="AE237" t="s">
        <v>37</v>
      </c>
      <c r="AF237" t="s">
        <v>789</v>
      </c>
      <c r="AG237" t="s">
        <v>37</v>
      </c>
      <c r="AH237" t="s">
        <v>786</v>
      </c>
      <c r="AI237" t="s">
        <v>37</v>
      </c>
    </row>
    <row r="238" spans="1:35" x14ac:dyDescent="0.25">
      <c r="A238" t="s">
        <v>827</v>
      </c>
      <c r="B238" t="s">
        <v>34</v>
      </c>
      <c r="C238" t="s">
        <v>821</v>
      </c>
      <c r="D238" t="s">
        <v>822</v>
      </c>
      <c r="E238" t="s">
        <v>37</v>
      </c>
      <c r="F238" t="s">
        <v>823</v>
      </c>
      <c r="G238" t="s">
        <v>39</v>
      </c>
      <c r="H238" t="s">
        <v>40</v>
      </c>
      <c r="I238" t="s">
        <v>41</v>
      </c>
      <c r="J238" t="s">
        <v>37</v>
      </c>
      <c r="K238" t="s">
        <v>37</v>
      </c>
      <c r="L238" t="s">
        <v>42</v>
      </c>
      <c r="M238" s="6">
        <v>45340.291666666664</v>
      </c>
      <c r="N238" t="s">
        <v>4266</v>
      </c>
      <c r="O238" s="1">
        <v>45340</v>
      </c>
      <c r="P238" s="1">
        <v>45334.437847222223</v>
      </c>
      <c r="Q238" t="s">
        <v>4266</v>
      </c>
      <c r="R238" s="6">
        <v>45340.416666666664</v>
      </c>
      <c r="S238" t="s">
        <v>43</v>
      </c>
      <c r="T238">
        <v>24.99</v>
      </c>
      <c r="U238">
        <v>0</v>
      </c>
      <c r="V238">
        <v>24.99</v>
      </c>
      <c r="W238">
        <v>0</v>
      </c>
      <c r="X238">
        <v>0</v>
      </c>
      <c r="Y238">
        <v>0</v>
      </c>
      <c r="Z238">
        <v>24.99</v>
      </c>
      <c r="AA238" t="s">
        <v>44</v>
      </c>
      <c r="AB238" t="s">
        <v>45</v>
      </c>
      <c r="AC238" t="s">
        <v>46</v>
      </c>
      <c r="AD238" t="s">
        <v>37</v>
      </c>
      <c r="AE238" t="s">
        <v>37</v>
      </c>
      <c r="AF238" t="s">
        <v>828</v>
      </c>
      <c r="AG238" t="s">
        <v>37</v>
      </c>
      <c r="AH238" t="s">
        <v>821</v>
      </c>
      <c r="AI238" t="s">
        <v>37</v>
      </c>
    </row>
    <row r="239" spans="1:35" x14ac:dyDescent="0.25">
      <c r="A239" t="s">
        <v>896</v>
      </c>
      <c r="B239" t="s">
        <v>34</v>
      </c>
      <c r="C239" t="s">
        <v>897</v>
      </c>
      <c r="D239" t="s">
        <v>898</v>
      </c>
      <c r="E239" t="s">
        <v>37</v>
      </c>
      <c r="F239" t="s">
        <v>899</v>
      </c>
      <c r="G239" t="s">
        <v>39</v>
      </c>
      <c r="H239" t="s">
        <v>40</v>
      </c>
      <c r="I239" t="s">
        <v>41</v>
      </c>
      <c r="J239" t="s">
        <v>37</v>
      </c>
      <c r="K239" t="s">
        <v>37</v>
      </c>
      <c r="L239" t="s">
        <v>42</v>
      </c>
      <c r="M239" s="6">
        <v>45340.291666666664</v>
      </c>
      <c r="N239" t="s">
        <v>4266</v>
      </c>
      <c r="O239" s="1">
        <v>45340</v>
      </c>
      <c r="P239" s="1">
        <v>45335.728437500002</v>
      </c>
      <c r="Q239" t="s">
        <v>4266</v>
      </c>
      <c r="R239" s="6">
        <v>45340.416666666664</v>
      </c>
      <c r="S239" t="s">
        <v>43</v>
      </c>
      <c r="T239">
        <v>24.99</v>
      </c>
      <c r="U239">
        <v>0</v>
      </c>
      <c r="V239">
        <v>24.99</v>
      </c>
      <c r="W239">
        <v>0</v>
      </c>
      <c r="X239">
        <v>0</v>
      </c>
      <c r="Y239">
        <v>0</v>
      </c>
      <c r="Z239">
        <v>24.99</v>
      </c>
      <c r="AA239" t="s">
        <v>44</v>
      </c>
      <c r="AB239" t="s">
        <v>45</v>
      </c>
      <c r="AC239" t="s">
        <v>46</v>
      </c>
      <c r="AD239" t="s">
        <v>37</v>
      </c>
      <c r="AE239" t="s">
        <v>37</v>
      </c>
      <c r="AF239" t="s">
        <v>900</v>
      </c>
      <c r="AG239" t="s">
        <v>37</v>
      </c>
      <c r="AH239" t="s">
        <v>897</v>
      </c>
      <c r="AI239" t="s">
        <v>37</v>
      </c>
    </row>
    <row r="240" spans="1:35" x14ac:dyDescent="0.25">
      <c r="A240" t="s">
        <v>1003</v>
      </c>
      <c r="B240" t="s">
        <v>34</v>
      </c>
      <c r="C240" t="s">
        <v>999</v>
      </c>
      <c r="D240" t="s">
        <v>1000</v>
      </c>
      <c r="E240" t="s">
        <v>37</v>
      </c>
      <c r="F240" t="s">
        <v>1001</v>
      </c>
      <c r="G240" t="s">
        <v>39</v>
      </c>
      <c r="H240" t="s">
        <v>40</v>
      </c>
      <c r="I240" t="s">
        <v>41</v>
      </c>
      <c r="J240" t="s">
        <v>37</v>
      </c>
      <c r="K240" t="s">
        <v>37</v>
      </c>
      <c r="L240" t="s">
        <v>42</v>
      </c>
      <c r="M240" s="6">
        <v>45340.291666666664</v>
      </c>
      <c r="N240" t="s">
        <v>4266</v>
      </c>
      <c r="O240" s="1">
        <v>45340</v>
      </c>
      <c r="P240" s="1">
        <v>45338.29959490741</v>
      </c>
      <c r="Q240" t="s">
        <v>4266</v>
      </c>
      <c r="R240" s="6">
        <v>45340.416666666664</v>
      </c>
      <c r="S240" t="s">
        <v>43</v>
      </c>
      <c r="T240">
        <v>49.98</v>
      </c>
      <c r="U240">
        <v>0</v>
      </c>
      <c r="V240">
        <v>49.98</v>
      </c>
      <c r="W240">
        <v>0</v>
      </c>
      <c r="X240">
        <v>0</v>
      </c>
      <c r="Y240">
        <v>0</v>
      </c>
      <c r="Z240">
        <v>49.98</v>
      </c>
      <c r="AA240" t="s">
        <v>44</v>
      </c>
      <c r="AB240" t="s">
        <v>45</v>
      </c>
      <c r="AC240" t="s">
        <v>46</v>
      </c>
      <c r="AD240" t="s">
        <v>37</v>
      </c>
      <c r="AE240" t="s">
        <v>37</v>
      </c>
      <c r="AF240" t="s">
        <v>1002</v>
      </c>
      <c r="AG240" t="s">
        <v>37</v>
      </c>
      <c r="AH240" t="s">
        <v>999</v>
      </c>
      <c r="AI240" t="s">
        <v>37</v>
      </c>
    </row>
    <row r="241" spans="1:35" x14ac:dyDescent="0.25">
      <c r="A241" t="s">
        <v>1004</v>
      </c>
      <c r="B241" t="s">
        <v>34</v>
      </c>
      <c r="C241" t="s">
        <v>1005</v>
      </c>
      <c r="D241" t="s">
        <v>1006</v>
      </c>
      <c r="E241" t="s">
        <v>37</v>
      </c>
      <c r="F241" t="s">
        <v>1007</v>
      </c>
      <c r="G241" t="s">
        <v>39</v>
      </c>
      <c r="H241" t="s">
        <v>40</v>
      </c>
      <c r="I241" t="s">
        <v>41</v>
      </c>
      <c r="J241" t="s">
        <v>37</v>
      </c>
      <c r="K241" t="s">
        <v>37</v>
      </c>
      <c r="L241" t="s">
        <v>42</v>
      </c>
      <c r="M241" s="6">
        <v>45340.291666666664</v>
      </c>
      <c r="N241" t="s">
        <v>4266</v>
      </c>
      <c r="O241" s="1">
        <v>45340</v>
      </c>
      <c r="P241" s="1">
        <v>45338.424479166664</v>
      </c>
      <c r="Q241" t="s">
        <v>4266</v>
      </c>
      <c r="R241" s="6">
        <v>45340.416666666664</v>
      </c>
      <c r="S241" t="s">
        <v>43</v>
      </c>
      <c r="T241">
        <v>24.99</v>
      </c>
      <c r="U241">
        <v>0</v>
      </c>
      <c r="V241">
        <v>24.99</v>
      </c>
      <c r="W241">
        <v>0</v>
      </c>
      <c r="X241">
        <v>0</v>
      </c>
      <c r="Y241">
        <v>0</v>
      </c>
      <c r="Z241">
        <v>24.99</v>
      </c>
      <c r="AA241" t="s">
        <v>44</v>
      </c>
      <c r="AB241" t="s">
        <v>45</v>
      </c>
      <c r="AC241" t="s">
        <v>46</v>
      </c>
      <c r="AD241" t="s">
        <v>37</v>
      </c>
      <c r="AE241" t="s">
        <v>37</v>
      </c>
      <c r="AF241" t="s">
        <v>1008</v>
      </c>
      <c r="AG241" t="s">
        <v>37</v>
      </c>
      <c r="AH241" t="s">
        <v>1005</v>
      </c>
      <c r="AI241" t="s">
        <v>37</v>
      </c>
    </row>
    <row r="242" spans="1:35" x14ac:dyDescent="0.25">
      <c r="A242" t="s">
        <v>1020</v>
      </c>
      <c r="B242" t="s">
        <v>34</v>
      </c>
      <c r="C242" t="s">
        <v>1021</v>
      </c>
      <c r="D242" t="s">
        <v>1022</v>
      </c>
      <c r="E242" t="s">
        <v>37</v>
      </c>
      <c r="F242" t="s">
        <v>1023</v>
      </c>
      <c r="G242" t="s">
        <v>39</v>
      </c>
      <c r="H242" t="s">
        <v>40</v>
      </c>
      <c r="I242" t="s">
        <v>41</v>
      </c>
      <c r="J242" t="s">
        <v>37</v>
      </c>
      <c r="K242" t="s">
        <v>37</v>
      </c>
      <c r="L242" t="s">
        <v>42</v>
      </c>
      <c r="M242" s="6">
        <v>45340.291666666664</v>
      </c>
      <c r="N242" t="s">
        <v>4266</v>
      </c>
      <c r="O242" s="1">
        <v>45340</v>
      </c>
      <c r="P242" s="1">
        <v>45338.653344907405</v>
      </c>
      <c r="Q242" t="s">
        <v>4266</v>
      </c>
      <c r="R242" s="6">
        <v>45340.416666666664</v>
      </c>
      <c r="S242" t="s">
        <v>43</v>
      </c>
      <c r="T242">
        <v>24.99</v>
      </c>
      <c r="U242">
        <v>0</v>
      </c>
      <c r="V242">
        <v>24.99</v>
      </c>
      <c r="W242">
        <v>0</v>
      </c>
      <c r="X242">
        <v>0</v>
      </c>
      <c r="Y242">
        <v>0</v>
      </c>
      <c r="Z242">
        <v>24.99</v>
      </c>
      <c r="AA242" t="s">
        <v>44</v>
      </c>
      <c r="AB242" t="s">
        <v>45</v>
      </c>
      <c r="AC242" t="s">
        <v>46</v>
      </c>
      <c r="AD242" t="s">
        <v>37</v>
      </c>
      <c r="AE242" t="s">
        <v>37</v>
      </c>
      <c r="AF242" t="s">
        <v>1024</v>
      </c>
      <c r="AG242" t="s">
        <v>37</v>
      </c>
      <c r="AH242" t="s">
        <v>1021</v>
      </c>
      <c r="AI242" t="s">
        <v>37</v>
      </c>
    </row>
    <row r="243" spans="1:35" x14ac:dyDescent="0.25">
      <c r="A243" t="s">
        <v>1037</v>
      </c>
      <c r="B243" t="s">
        <v>34</v>
      </c>
      <c r="C243" t="s">
        <v>1033</v>
      </c>
      <c r="D243" t="s">
        <v>1034</v>
      </c>
      <c r="E243" t="s">
        <v>37</v>
      </c>
      <c r="F243" t="s">
        <v>1035</v>
      </c>
      <c r="G243" t="s">
        <v>39</v>
      </c>
      <c r="H243" t="s">
        <v>40</v>
      </c>
      <c r="I243" t="s">
        <v>41</v>
      </c>
      <c r="J243" t="s">
        <v>37</v>
      </c>
      <c r="K243" t="s">
        <v>37</v>
      </c>
      <c r="L243" t="s">
        <v>42</v>
      </c>
      <c r="M243" s="6">
        <v>45340.291666666664</v>
      </c>
      <c r="N243" t="s">
        <v>4266</v>
      </c>
      <c r="O243" s="1">
        <v>45340</v>
      </c>
      <c r="P243" s="1">
        <v>45338.809050925927</v>
      </c>
      <c r="Q243" t="s">
        <v>4266</v>
      </c>
      <c r="R243" s="6">
        <v>45340.416666666664</v>
      </c>
      <c r="S243" t="s">
        <v>43</v>
      </c>
      <c r="T243">
        <v>49.98</v>
      </c>
      <c r="U243">
        <v>0</v>
      </c>
      <c r="V243">
        <v>49.98</v>
      </c>
      <c r="W243">
        <v>0</v>
      </c>
      <c r="X243">
        <v>0</v>
      </c>
      <c r="Y243">
        <v>0</v>
      </c>
      <c r="Z243">
        <v>49.98</v>
      </c>
      <c r="AA243" t="s">
        <v>44</v>
      </c>
      <c r="AB243" t="s">
        <v>45</v>
      </c>
      <c r="AC243" t="s">
        <v>46</v>
      </c>
      <c r="AD243" t="s">
        <v>37</v>
      </c>
      <c r="AE243" t="s">
        <v>37</v>
      </c>
      <c r="AF243" t="s">
        <v>1036</v>
      </c>
      <c r="AG243" t="s">
        <v>37</v>
      </c>
      <c r="AH243" t="s">
        <v>1033</v>
      </c>
      <c r="AI243" t="s">
        <v>37</v>
      </c>
    </row>
    <row r="244" spans="1:35" x14ac:dyDescent="0.25">
      <c r="A244" t="s">
        <v>1038</v>
      </c>
      <c r="B244" t="s">
        <v>34</v>
      </c>
      <c r="C244" t="s">
        <v>1039</v>
      </c>
      <c r="D244" t="s">
        <v>1040</v>
      </c>
      <c r="E244" t="s">
        <v>37</v>
      </c>
      <c r="F244" t="s">
        <v>1041</v>
      </c>
      <c r="G244" t="s">
        <v>39</v>
      </c>
      <c r="H244" t="s">
        <v>40</v>
      </c>
      <c r="I244" t="s">
        <v>41</v>
      </c>
      <c r="J244" t="s">
        <v>37</v>
      </c>
      <c r="K244" t="s">
        <v>37</v>
      </c>
      <c r="L244" t="s">
        <v>42</v>
      </c>
      <c r="M244" s="6">
        <v>45340.291666666664</v>
      </c>
      <c r="N244" t="s">
        <v>4266</v>
      </c>
      <c r="O244" s="1">
        <v>45340</v>
      </c>
      <c r="P244" s="1">
        <v>45338.836215277777</v>
      </c>
      <c r="Q244" t="s">
        <v>4266</v>
      </c>
      <c r="R244" s="6">
        <v>45340.416666666664</v>
      </c>
      <c r="S244" t="s">
        <v>43</v>
      </c>
      <c r="T244">
        <v>24.99</v>
      </c>
      <c r="U244">
        <v>0</v>
      </c>
      <c r="V244">
        <v>24.99</v>
      </c>
      <c r="W244">
        <v>0</v>
      </c>
      <c r="X244">
        <v>0</v>
      </c>
      <c r="Y244">
        <v>0</v>
      </c>
      <c r="Z244">
        <v>24.99</v>
      </c>
      <c r="AA244" t="s">
        <v>44</v>
      </c>
      <c r="AB244" t="s">
        <v>45</v>
      </c>
      <c r="AC244" t="s">
        <v>46</v>
      </c>
      <c r="AD244" t="s">
        <v>37</v>
      </c>
      <c r="AE244" t="s">
        <v>37</v>
      </c>
      <c r="AF244" t="s">
        <v>1042</v>
      </c>
      <c r="AG244" t="s">
        <v>37</v>
      </c>
      <c r="AH244" t="s">
        <v>1039</v>
      </c>
      <c r="AI244" t="s">
        <v>37</v>
      </c>
    </row>
    <row r="245" spans="1:35" x14ac:dyDescent="0.25">
      <c r="A245" t="s">
        <v>1048</v>
      </c>
      <c r="B245" t="s">
        <v>34</v>
      </c>
      <c r="C245" t="s">
        <v>1049</v>
      </c>
      <c r="D245" t="s">
        <v>1050</v>
      </c>
      <c r="E245" t="s">
        <v>37</v>
      </c>
      <c r="F245" t="s">
        <v>1051</v>
      </c>
      <c r="G245" t="s">
        <v>39</v>
      </c>
      <c r="H245" t="s">
        <v>40</v>
      </c>
      <c r="I245" t="s">
        <v>41</v>
      </c>
      <c r="J245" t="s">
        <v>37</v>
      </c>
      <c r="K245" t="s">
        <v>37</v>
      </c>
      <c r="L245" t="s">
        <v>42</v>
      </c>
      <c r="M245" s="6">
        <v>45340.291666666664</v>
      </c>
      <c r="N245" t="s">
        <v>4266</v>
      </c>
      <c r="O245" s="1">
        <v>45340</v>
      </c>
      <c r="P245" s="1">
        <v>45339.09983796296</v>
      </c>
      <c r="Q245" t="s">
        <v>4266</v>
      </c>
      <c r="R245" s="6">
        <v>45340.416666666664</v>
      </c>
      <c r="S245" t="s">
        <v>43</v>
      </c>
      <c r="T245">
        <v>24.99</v>
      </c>
      <c r="U245">
        <v>0</v>
      </c>
      <c r="V245">
        <v>24.99</v>
      </c>
      <c r="W245">
        <v>0</v>
      </c>
      <c r="X245">
        <v>0</v>
      </c>
      <c r="Y245">
        <v>0</v>
      </c>
      <c r="Z245">
        <v>24.99</v>
      </c>
      <c r="AA245" t="s">
        <v>44</v>
      </c>
      <c r="AB245" t="s">
        <v>45</v>
      </c>
      <c r="AC245" t="s">
        <v>46</v>
      </c>
      <c r="AD245" t="s">
        <v>37</v>
      </c>
      <c r="AE245" t="s">
        <v>37</v>
      </c>
      <c r="AF245" t="s">
        <v>1052</v>
      </c>
      <c r="AG245" t="s">
        <v>37</v>
      </c>
      <c r="AH245" t="s">
        <v>1053</v>
      </c>
      <c r="AI245" t="s">
        <v>37</v>
      </c>
    </row>
    <row r="246" spans="1:35" x14ac:dyDescent="0.25">
      <c r="A246" t="s">
        <v>1069</v>
      </c>
      <c r="B246" t="s">
        <v>34</v>
      </c>
      <c r="C246" t="s">
        <v>1065</v>
      </c>
      <c r="D246" t="s">
        <v>1066</v>
      </c>
      <c r="E246" t="s">
        <v>37</v>
      </c>
      <c r="F246" t="s">
        <v>1067</v>
      </c>
      <c r="G246" t="s">
        <v>39</v>
      </c>
      <c r="H246" t="s">
        <v>40</v>
      </c>
      <c r="I246" t="s">
        <v>41</v>
      </c>
      <c r="J246" t="s">
        <v>37</v>
      </c>
      <c r="K246" t="s">
        <v>37</v>
      </c>
      <c r="L246" t="s">
        <v>42</v>
      </c>
      <c r="M246" s="6">
        <v>45340.291666666664</v>
      </c>
      <c r="N246" t="s">
        <v>4266</v>
      </c>
      <c r="O246" s="1">
        <v>45340</v>
      </c>
      <c r="P246" s="1">
        <v>45339.430775462963</v>
      </c>
      <c r="Q246" t="s">
        <v>4266</v>
      </c>
      <c r="R246" s="6">
        <v>45340.416666666664</v>
      </c>
      <c r="S246" t="s">
        <v>43</v>
      </c>
      <c r="T246">
        <v>49.98</v>
      </c>
      <c r="U246">
        <v>0</v>
      </c>
      <c r="V246">
        <v>49.98</v>
      </c>
      <c r="W246">
        <v>0</v>
      </c>
      <c r="X246">
        <v>0</v>
      </c>
      <c r="Y246">
        <v>0</v>
      </c>
      <c r="Z246">
        <v>49.98</v>
      </c>
      <c r="AA246" t="s">
        <v>44</v>
      </c>
      <c r="AB246" t="s">
        <v>45</v>
      </c>
      <c r="AC246" t="s">
        <v>46</v>
      </c>
      <c r="AD246" t="s">
        <v>37</v>
      </c>
      <c r="AE246" t="s">
        <v>37</v>
      </c>
      <c r="AF246" t="s">
        <v>1068</v>
      </c>
      <c r="AG246" t="s">
        <v>37</v>
      </c>
      <c r="AH246" t="s">
        <v>1065</v>
      </c>
      <c r="AI246" t="s">
        <v>37</v>
      </c>
    </row>
    <row r="247" spans="1:35" x14ac:dyDescent="0.25">
      <c r="A247" t="s">
        <v>1070</v>
      </c>
      <c r="B247" t="s">
        <v>34</v>
      </c>
      <c r="C247" t="s">
        <v>1071</v>
      </c>
      <c r="D247" t="s">
        <v>1072</v>
      </c>
      <c r="E247" t="s">
        <v>37</v>
      </c>
      <c r="F247" t="s">
        <v>1073</v>
      </c>
      <c r="G247" t="s">
        <v>39</v>
      </c>
      <c r="H247" t="s">
        <v>40</v>
      </c>
      <c r="I247" t="s">
        <v>41</v>
      </c>
      <c r="J247" t="s">
        <v>37</v>
      </c>
      <c r="K247" t="s">
        <v>37</v>
      </c>
      <c r="L247" t="s">
        <v>42</v>
      </c>
      <c r="M247" s="6">
        <v>45340.291666666664</v>
      </c>
      <c r="N247" t="s">
        <v>4266</v>
      </c>
      <c r="O247" s="1">
        <v>45340</v>
      </c>
      <c r="P247" s="1">
        <v>45339.761678240742</v>
      </c>
      <c r="Q247" t="s">
        <v>4266</v>
      </c>
      <c r="R247" s="6">
        <v>45340.416666666664</v>
      </c>
      <c r="S247" t="s">
        <v>43</v>
      </c>
      <c r="T247">
        <v>24.99</v>
      </c>
      <c r="U247">
        <v>0</v>
      </c>
      <c r="V247">
        <v>24.99</v>
      </c>
      <c r="W247">
        <v>0</v>
      </c>
      <c r="X247">
        <v>0</v>
      </c>
      <c r="Y247">
        <v>0</v>
      </c>
      <c r="Z247">
        <v>24.99</v>
      </c>
      <c r="AA247" t="s">
        <v>44</v>
      </c>
      <c r="AB247" t="s">
        <v>45</v>
      </c>
      <c r="AC247" t="s">
        <v>46</v>
      </c>
      <c r="AD247" t="s">
        <v>37</v>
      </c>
      <c r="AE247" t="s">
        <v>37</v>
      </c>
      <c r="AF247" t="s">
        <v>1074</v>
      </c>
      <c r="AG247" t="s">
        <v>37</v>
      </c>
      <c r="AH247" t="s">
        <v>1075</v>
      </c>
      <c r="AI247" t="s">
        <v>37</v>
      </c>
    </row>
    <row r="248" spans="1:35" x14ac:dyDescent="0.25">
      <c r="A248" t="s">
        <v>1081</v>
      </c>
      <c r="B248" t="s">
        <v>34</v>
      </c>
      <c r="C248" t="s">
        <v>988</v>
      </c>
      <c r="D248" t="s">
        <v>989</v>
      </c>
      <c r="E248" t="s">
        <v>37</v>
      </c>
      <c r="F248" t="s">
        <v>990</v>
      </c>
      <c r="G248" t="s">
        <v>39</v>
      </c>
      <c r="H248" t="s">
        <v>40</v>
      </c>
      <c r="I248" t="s">
        <v>41</v>
      </c>
      <c r="J248" t="s">
        <v>37</v>
      </c>
      <c r="K248" t="s">
        <v>37</v>
      </c>
      <c r="L248" t="s">
        <v>42</v>
      </c>
      <c r="M248" s="6">
        <v>45340.291666666664</v>
      </c>
      <c r="N248" t="s">
        <v>4266</v>
      </c>
      <c r="O248" s="1">
        <v>45340</v>
      </c>
      <c r="P248" s="1">
        <v>45339.87259259259</v>
      </c>
      <c r="Q248" t="s">
        <v>4266</v>
      </c>
      <c r="R248" s="6">
        <v>45340.416666666664</v>
      </c>
      <c r="S248" t="s">
        <v>43</v>
      </c>
      <c r="T248">
        <v>24.99</v>
      </c>
      <c r="U248">
        <v>0</v>
      </c>
      <c r="V248">
        <v>24.99</v>
      </c>
      <c r="W248">
        <v>0</v>
      </c>
      <c r="X248">
        <v>0</v>
      </c>
      <c r="Y248">
        <v>0</v>
      </c>
      <c r="Z248">
        <v>24.99</v>
      </c>
      <c r="AA248" t="s">
        <v>44</v>
      </c>
      <c r="AB248" t="s">
        <v>45</v>
      </c>
      <c r="AC248" t="s">
        <v>46</v>
      </c>
      <c r="AD248" t="s">
        <v>37</v>
      </c>
      <c r="AE248" t="s">
        <v>37</v>
      </c>
      <c r="AF248" t="s">
        <v>1082</v>
      </c>
      <c r="AG248" t="s">
        <v>37</v>
      </c>
      <c r="AH248" t="s">
        <v>988</v>
      </c>
      <c r="AI248" t="s">
        <v>37</v>
      </c>
    </row>
    <row r="249" spans="1:35" x14ac:dyDescent="0.25">
      <c r="A249" t="s">
        <v>1083</v>
      </c>
      <c r="B249" t="s">
        <v>34</v>
      </c>
      <c r="C249" t="s">
        <v>1084</v>
      </c>
      <c r="D249" t="s">
        <v>1085</v>
      </c>
      <c r="E249" t="s">
        <v>37</v>
      </c>
      <c r="F249" t="s">
        <v>1086</v>
      </c>
      <c r="G249" t="s">
        <v>39</v>
      </c>
      <c r="H249" t="s">
        <v>40</v>
      </c>
      <c r="I249" t="s">
        <v>41</v>
      </c>
      <c r="J249" t="s">
        <v>37</v>
      </c>
      <c r="K249" t="s">
        <v>37</v>
      </c>
      <c r="L249" t="s">
        <v>42</v>
      </c>
      <c r="M249" s="6">
        <v>45340.291666666664</v>
      </c>
      <c r="N249" t="s">
        <v>4266</v>
      </c>
      <c r="O249" s="1">
        <v>45340</v>
      </c>
      <c r="P249" s="1">
        <v>45339.891053240739</v>
      </c>
      <c r="Q249" t="s">
        <v>4266</v>
      </c>
      <c r="R249" s="6">
        <v>45340.416666666664</v>
      </c>
      <c r="S249" t="s">
        <v>43</v>
      </c>
      <c r="T249">
        <v>24.99</v>
      </c>
      <c r="U249">
        <v>0</v>
      </c>
      <c r="V249">
        <v>24.99</v>
      </c>
      <c r="W249">
        <v>0</v>
      </c>
      <c r="X249">
        <v>0</v>
      </c>
      <c r="Y249">
        <v>0</v>
      </c>
      <c r="Z249">
        <v>24.99</v>
      </c>
      <c r="AA249" t="s">
        <v>44</v>
      </c>
      <c r="AB249" t="s">
        <v>45</v>
      </c>
      <c r="AC249" t="s">
        <v>46</v>
      </c>
      <c r="AD249" t="s">
        <v>37</v>
      </c>
      <c r="AE249" t="s">
        <v>37</v>
      </c>
      <c r="AF249" t="s">
        <v>1087</v>
      </c>
      <c r="AG249" t="s">
        <v>37</v>
      </c>
      <c r="AH249" t="s">
        <v>1084</v>
      </c>
      <c r="AI249" t="s">
        <v>37</v>
      </c>
    </row>
    <row r="250" spans="1:35" x14ac:dyDescent="0.25">
      <c r="A250" t="s">
        <v>1088</v>
      </c>
      <c r="B250" t="s">
        <v>34</v>
      </c>
      <c r="C250" t="s">
        <v>1089</v>
      </c>
      <c r="D250" t="s">
        <v>1090</v>
      </c>
      <c r="E250" t="s">
        <v>37</v>
      </c>
      <c r="F250" t="s">
        <v>1091</v>
      </c>
      <c r="G250" t="s">
        <v>39</v>
      </c>
      <c r="H250" t="s">
        <v>40</v>
      </c>
      <c r="I250" t="s">
        <v>41</v>
      </c>
      <c r="J250" t="s">
        <v>37</v>
      </c>
      <c r="K250" t="s">
        <v>37</v>
      </c>
      <c r="L250" t="s">
        <v>42</v>
      </c>
      <c r="M250" s="6">
        <v>45340.291666666664</v>
      </c>
      <c r="N250" t="s">
        <v>4266</v>
      </c>
      <c r="O250" s="1">
        <v>45340</v>
      </c>
      <c r="P250" s="1">
        <v>45339.894270833334</v>
      </c>
      <c r="Q250" t="s">
        <v>4266</v>
      </c>
      <c r="R250" s="6">
        <v>45340.416666666664</v>
      </c>
      <c r="S250" t="s">
        <v>43</v>
      </c>
      <c r="T250">
        <v>24.99</v>
      </c>
      <c r="U250">
        <v>0</v>
      </c>
      <c r="V250">
        <v>24.99</v>
      </c>
      <c r="W250">
        <v>0</v>
      </c>
      <c r="X250">
        <v>0</v>
      </c>
      <c r="Y250">
        <v>0</v>
      </c>
      <c r="Z250">
        <v>24.99</v>
      </c>
      <c r="AA250" t="s">
        <v>44</v>
      </c>
      <c r="AB250" t="s">
        <v>45</v>
      </c>
      <c r="AC250" t="s">
        <v>46</v>
      </c>
      <c r="AD250" t="s">
        <v>37</v>
      </c>
      <c r="AE250" t="s">
        <v>37</v>
      </c>
      <c r="AF250" t="s">
        <v>1092</v>
      </c>
      <c r="AG250" t="s">
        <v>37</v>
      </c>
      <c r="AH250" t="s">
        <v>1089</v>
      </c>
      <c r="AI250" t="s">
        <v>37</v>
      </c>
    </row>
    <row r="251" spans="1:35" x14ac:dyDescent="0.25">
      <c r="A251" t="s">
        <v>1093</v>
      </c>
      <c r="B251" t="s">
        <v>34</v>
      </c>
      <c r="C251" t="s">
        <v>963</v>
      </c>
      <c r="D251" t="s">
        <v>964</v>
      </c>
      <c r="E251" t="s">
        <v>37</v>
      </c>
      <c r="F251" t="s">
        <v>1094</v>
      </c>
      <c r="G251" t="s">
        <v>39</v>
      </c>
      <c r="H251" t="s">
        <v>40</v>
      </c>
      <c r="I251" t="s">
        <v>41</v>
      </c>
      <c r="J251" t="s">
        <v>37</v>
      </c>
      <c r="K251" t="s">
        <v>37</v>
      </c>
      <c r="L251" t="s">
        <v>42</v>
      </c>
      <c r="M251" s="6">
        <v>45340.291666666664</v>
      </c>
      <c r="N251" t="s">
        <v>4266</v>
      </c>
      <c r="O251" s="1">
        <v>45340</v>
      </c>
      <c r="P251" s="1">
        <v>45339.939027777778</v>
      </c>
      <c r="Q251" t="s">
        <v>4266</v>
      </c>
      <c r="R251" s="6">
        <v>45340.416666666664</v>
      </c>
      <c r="S251" t="s">
        <v>43</v>
      </c>
      <c r="T251">
        <v>24.99</v>
      </c>
      <c r="U251">
        <v>0</v>
      </c>
      <c r="V251">
        <v>24.99</v>
      </c>
      <c r="W251">
        <v>0</v>
      </c>
      <c r="X251">
        <v>0</v>
      </c>
      <c r="Y251">
        <v>0</v>
      </c>
      <c r="Z251">
        <v>24.99</v>
      </c>
      <c r="AA251" t="s">
        <v>44</v>
      </c>
      <c r="AB251" t="s">
        <v>45</v>
      </c>
      <c r="AC251" t="s">
        <v>46</v>
      </c>
      <c r="AD251" t="s">
        <v>37</v>
      </c>
      <c r="AE251" t="s">
        <v>37</v>
      </c>
      <c r="AF251" t="s">
        <v>1095</v>
      </c>
      <c r="AG251" t="s">
        <v>37</v>
      </c>
      <c r="AH251" t="s">
        <v>963</v>
      </c>
      <c r="AI251" t="s">
        <v>37</v>
      </c>
    </row>
    <row r="252" spans="1:35" x14ac:dyDescent="0.25">
      <c r="A252" t="s">
        <v>1096</v>
      </c>
      <c r="B252" t="s">
        <v>34</v>
      </c>
      <c r="C252" t="s">
        <v>1097</v>
      </c>
      <c r="D252" t="s">
        <v>1098</v>
      </c>
      <c r="E252" t="s">
        <v>37</v>
      </c>
      <c r="F252" t="s">
        <v>1099</v>
      </c>
      <c r="G252" t="s">
        <v>39</v>
      </c>
      <c r="H252" t="s">
        <v>40</v>
      </c>
      <c r="I252" t="s">
        <v>41</v>
      </c>
      <c r="J252" t="s">
        <v>37</v>
      </c>
      <c r="K252" t="s">
        <v>37</v>
      </c>
      <c r="L252" t="s">
        <v>42</v>
      </c>
      <c r="M252" s="6">
        <v>45340.291666666664</v>
      </c>
      <c r="N252" t="s">
        <v>4266</v>
      </c>
      <c r="O252" s="1">
        <v>45340</v>
      </c>
      <c r="P252" s="1">
        <v>45340.175300925926</v>
      </c>
      <c r="Q252" t="s">
        <v>4266</v>
      </c>
      <c r="R252" s="6">
        <v>45340.416666666664</v>
      </c>
      <c r="S252" t="s">
        <v>43</v>
      </c>
      <c r="T252">
        <v>24.99</v>
      </c>
      <c r="U252">
        <v>0</v>
      </c>
      <c r="V252">
        <v>24.99</v>
      </c>
      <c r="W252">
        <v>0</v>
      </c>
      <c r="X252">
        <v>0</v>
      </c>
      <c r="Y252">
        <v>0</v>
      </c>
      <c r="Z252">
        <v>24.99</v>
      </c>
      <c r="AA252" t="s">
        <v>44</v>
      </c>
      <c r="AB252" t="s">
        <v>45</v>
      </c>
      <c r="AC252" t="s">
        <v>46</v>
      </c>
      <c r="AD252" t="s">
        <v>37</v>
      </c>
      <c r="AE252" t="s">
        <v>37</v>
      </c>
      <c r="AF252" t="s">
        <v>1100</v>
      </c>
      <c r="AG252" t="s">
        <v>37</v>
      </c>
      <c r="AH252" t="s">
        <v>1097</v>
      </c>
      <c r="AI252" t="s">
        <v>37</v>
      </c>
    </row>
    <row r="253" spans="1:35" x14ac:dyDescent="0.25">
      <c r="A253" t="s">
        <v>1101</v>
      </c>
      <c r="B253" t="s">
        <v>34</v>
      </c>
      <c r="C253" t="s">
        <v>1102</v>
      </c>
      <c r="D253" t="s">
        <v>1103</v>
      </c>
      <c r="E253" t="s">
        <v>37</v>
      </c>
      <c r="F253" t="s">
        <v>1104</v>
      </c>
      <c r="G253" t="s">
        <v>39</v>
      </c>
      <c r="H253" t="s">
        <v>40</v>
      </c>
      <c r="I253" t="s">
        <v>41</v>
      </c>
      <c r="J253" t="s">
        <v>37</v>
      </c>
      <c r="K253" t="s">
        <v>37</v>
      </c>
      <c r="L253" t="s">
        <v>42</v>
      </c>
      <c r="M253" s="6">
        <v>45340.291666666664</v>
      </c>
      <c r="N253" t="s">
        <v>4266</v>
      </c>
      <c r="O253" s="1">
        <v>45340</v>
      </c>
      <c r="P253" s="1">
        <v>45340.462627314817</v>
      </c>
      <c r="Q253" t="s">
        <v>4266</v>
      </c>
      <c r="R253" s="6">
        <v>45340.416666666664</v>
      </c>
      <c r="S253" t="s">
        <v>43</v>
      </c>
      <c r="T253">
        <v>24.99</v>
      </c>
      <c r="U253">
        <v>0</v>
      </c>
      <c r="V253">
        <v>24.99</v>
      </c>
      <c r="W253">
        <v>0</v>
      </c>
      <c r="X253">
        <v>0</v>
      </c>
      <c r="Y253">
        <v>0</v>
      </c>
      <c r="Z253">
        <v>24.99</v>
      </c>
      <c r="AA253" t="s">
        <v>44</v>
      </c>
      <c r="AB253" t="s">
        <v>45</v>
      </c>
      <c r="AC253" t="s">
        <v>46</v>
      </c>
      <c r="AD253" t="s">
        <v>37</v>
      </c>
      <c r="AE253" t="s">
        <v>37</v>
      </c>
      <c r="AF253" t="s">
        <v>1105</v>
      </c>
      <c r="AG253" t="s">
        <v>37</v>
      </c>
      <c r="AH253" t="s">
        <v>1102</v>
      </c>
      <c r="AI253" t="s">
        <v>37</v>
      </c>
    </row>
    <row r="254" spans="1:35" x14ac:dyDescent="0.25">
      <c r="A254" t="s">
        <v>1124</v>
      </c>
      <c r="B254" t="s">
        <v>34</v>
      </c>
      <c r="C254" t="s">
        <v>1120</v>
      </c>
      <c r="D254" t="s">
        <v>1121</v>
      </c>
      <c r="E254" t="s">
        <v>37</v>
      </c>
      <c r="F254" t="s">
        <v>1122</v>
      </c>
      <c r="G254" t="s">
        <v>39</v>
      </c>
      <c r="H254" t="s">
        <v>40</v>
      </c>
      <c r="I254" t="s">
        <v>41</v>
      </c>
      <c r="J254" t="s">
        <v>37</v>
      </c>
      <c r="K254" t="s">
        <v>37</v>
      </c>
      <c r="L254" t="s">
        <v>42</v>
      </c>
      <c r="M254" s="6">
        <v>45340.291666666664</v>
      </c>
      <c r="N254" t="s">
        <v>4266</v>
      </c>
      <c r="O254" s="1">
        <v>45340</v>
      </c>
      <c r="P254" s="1">
        <v>45327.76054398148</v>
      </c>
      <c r="Q254" t="s">
        <v>4266</v>
      </c>
      <c r="R254" s="6">
        <v>45340.416666666664</v>
      </c>
      <c r="S254" t="s">
        <v>43</v>
      </c>
      <c r="T254">
        <v>49.98</v>
      </c>
      <c r="U254">
        <v>0</v>
      </c>
      <c r="V254">
        <v>49.98</v>
      </c>
      <c r="W254">
        <v>0</v>
      </c>
      <c r="X254">
        <v>0</v>
      </c>
      <c r="Y254">
        <v>0</v>
      </c>
      <c r="Z254">
        <v>49.98</v>
      </c>
      <c r="AA254" t="s">
        <v>44</v>
      </c>
      <c r="AB254" t="s">
        <v>45</v>
      </c>
      <c r="AC254" t="s">
        <v>46</v>
      </c>
      <c r="AD254" t="s">
        <v>37</v>
      </c>
      <c r="AE254" t="s">
        <v>37</v>
      </c>
      <c r="AF254" t="s">
        <v>1123</v>
      </c>
      <c r="AG254" t="s">
        <v>37</v>
      </c>
      <c r="AH254" t="s">
        <v>1120</v>
      </c>
      <c r="AI254" t="s">
        <v>37</v>
      </c>
    </row>
    <row r="255" spans="1:35" x14ac:dyDescent="0.25">
      <c r="A255" t="s">
        <v>1156</v>
      </c>
      <c r="B255" t="s">
        <v>34</v>
      </c>
      <c r="C255" t="s">
        <v>1157</v>
      </c>
      <c r="D255" t="s">
        <v>1158</v>
      </c>
      <c r="E255" t="s">
        <v>37</v>
      </c>
      <c r="F255" t="s">
        <v>1159</v>
      </c>
      <c r="G255" t="s">
        <v>39</v>
      </c>
      <c r="H255" t="s">
        <v>40</v>
      </c>
      <c r="I255" t="s">
        <v>41</v>
      </c>
      <c r="J255" t="s">
        <v>37</v>
      </c>
      <c r="K255" t="s">
        <v>37</v>
      </c>
      <c r="L255" t="s">
        <v>42</v>
      </c>
      <c r="M255" s="6">
        <v>45340.291666666664</v>
      </c>
      <c r="N255" t="s">
        <v>4266</v>
      </c>
      <c r="O255" s="1">
        <v>45340</v>
      </c>
      <c r="P255" s="1">
        <v>45328.361608796295</v>
      </c>
      <c r="Q255" t="s">
        <v>4266</v>
      </c>
      <c r="R255" s="6">
        <v>45340.416666666664</v>
      </c>
      <c r="S255" t="s">
        <v>43</v>
      </c>
      <c r="T255">
        <v>24.99</v>
      </c>
      <c r="U255">
        <v>0</v>
      </c>
      <c r="V255">
        <v>24.99</v>
      </c>
      <c r="W255">
        <v>0</v>
      </c>
      <c r="X255">
        <v>0</v>
      </c>
      <c r="Y255">
        <v>0</v>
      </c>
      <c r="Z255">
        <v>24.99</v>
      </c>
      <c r="AA255" t="s">
        <v>44</v>
      </c>
      <c r="AB255" t="s">
        <v>45</v>
      </c>
      <c r="AC255" t="s">
        <v>46</v>
      </c>
      <c r="AD255" t="s">
        <v>37</v>
      </c>
      <c r="AE255" t="s">
        <v>37</v>
      </c>
      <c r="AF255" t="s">
        <v>1160</v>
      </c>
      <c r="AG255" t="s">
        <v>37</v>
      </c>
      <c r="AH255" t="s">
        <v>1157</v>
      </c>
      <c r="AI255" t="s">
        <v>37</v>
      </c>
    </row>
    <row r="256" spans="1:35" x14ac:dyDescent="0.25">
      <c r="A256" t="s">
        <v>1225</v>
      </c>
      <c r="B256" t="s">
        <v>34</v>
      </c>
      <c r="C256" t="s">
        <v>1226</v>
      </c>
      <c r="D256" t="s">
        <v>1227</v>
      </c>
      <c r="E256" t="s">
        <v>37</v>
      </c>
      <c r="F256" t="s">
        <v>1228</v>
      </c>
      <c r="G256" t="s">
        <v>39</v>
      </c>
      <c r="H256" t="s">
        <v>40</v>
      </c>
      <c r="I256" t="s">
        <v>41</v>
      </c>
      <c r="J256" t="s">
        <v>37</v>
      </c>
      <c r="K256" t="s">
        <v>37</v>
      </c>
      <c r="L256" t="s">
        <v>42</v>
      </c>
      <c r="M256" s="6">
        <v>45340.291666666664</v>
      </c>
      <c r="N256" t="s">
        <v>4266</v>
      </c>
      <c r="O256" s="1">
        <v>45340</v>
      </c>
      <c r="P256" s="1">
        <v>45331.7265162037</v>
      </c>
      <c r="Q256" t="s">
        <v>4266</v>
      </c>
      <c r="R256" s="6">
        <v>45340.416666666664</v>
      </c>
      <c r="S256" t="s">
        <v>43</v>
      </c>
      <c r="T256">
        <v>24.99</v>
      </c>
      <c r="U256">
        <v>0</v>
      </c>
      <c r="V256">
        <v>24.99</v>
      </c>
      <c r="W256">
        <v>0</v>
      </c>
      <c r="X256">
        <v>0</v>
      </c>
      <c r="Y256">
        <v>0</v>
      </c>
      <c r="Z256">
        <v>24.99</v>
      </c>
      <c r="AA256" t="s">
        <v>44</v>
      </c>
      <c r="AB256" t="s">
        <v>45</v>
      </c>
      <c r="AC256" t="s">
        <v>46</v>
      </c>
      <c r="AD256" t="s">
        <v>37</v>
      </c>
      <c r="AE256" t="s">
        <v>37</v>
      </c>
      <c r="AF256" t="s">
        <v>1229</v>
      </c>
      <c r="AG256" t="s">
        <v>37</v>
      </c>
      <c r="AH256" t="s">
        <v>1226</v>
      </c>
      <c r="AI256" t="s">
        <v>37</v>
      </c>
    </row>
    <row r="257" spans="1:35" x14ac:dyDescent="0.25">
      <c r="A257" t="s">
        <v>1237</v>
      </c>
      <c r="B257" t="s">
        <v>34</v>
      </c>
      <c r="C257" t="s">
        <v>1238</v>
      </c>
      <c r="D257" t="s">
        <v>1239</v>
      </c>
      <c r="E257" t="s">
        <v>37</v>
      </c>
      <c r="F257" t="s">
        <v>1240</v>
      </c>
      <c r="G257" t="s">
        <v>39</v>
      </c>
      <c r="H257" t="s">
        <v>40</v>
      </c>
      <c r="I257" t="s">
        <v>41</v>
      </c>
      <c r="J257" t="s">
        <v>37</v>
      </c>
      <c r="K257" t="s">
        <v>37</v>
      </c>
      <c r="L257" t="s">
        <v>42</v>
      </c>
      <c r="M257" s="6">
        <v>45340.291666666664</v>
      </c>
      <c r="N257" t="s">
        <v>4266</v>
      </c>
      <c r="O257" s="1">
        <v>45340</v>
      </c>
      <c r="P257" s="1">
        <v>45332.47247685185</v>
      </c>
      <c r="Q257" t="s">
        <v>4266</v>
      </c>
      <c r="R257" s="6">
        <v>45340.416666666664</v>
      </c>
      <c r="S257" t="s">
        <v>43</v>
      </c>
      <c r="T257">
        <v>24.99</v>
      </c>
      <c r="U257">
        <v>0</v>
      </c>
      <c r="V257">
        <v>24.99</v>
      </c>
      <c r="W257">
        <v>0</v>
      </c>
      <c r="X257">
        <v>0</v>
      </c>
      <c r="Y257">
        <v>0</v>
      </c>
      <c r="Z257">
        <v>24.99</v>
      </c>
      <c r="AA257" t="s">
        <v>44</v>
      </c>
      <c r="AB257" t="s">
        <v>45</v>
      </c>
      <c r="AC257" t="s">
        <v>46</v>
      </c>
      <c r="AD257" t="s">
        <v>37</v>
      </c>
      <c r="AE257" t="s">
        <v>37</v>
      </c>
      <c r="AF257" t="s">
        <v>1241</v>
      </c>
      <c r="AG257" t="s">
        <v>37</v>
      </c>
      <c r="AH257" t="s">
        <v>1238</v>
      </c>
      <c r="AI257" t="s">
        <v>37</v>
      </c>
    </row>
    <row r="258" spans="1:35" x14ac:dyDescent="0.25">
      <c r="A258" t="s">
        <v>1249</v>
      </c>
      <c r="B258" t="s">
        <v>34</v>
      </c>
      <c r="C258" t="s">
        <v>1250</v>
      </c>
      <c r="D258" t="s">
        <v>1251</v>
      </c>
      <c r="E258" t="s">
        <v>37</v>
      </c>
      <c r="F258" t="s">
        <v>1252</v>
      </c>
      <c r="G258" t="s">
        <v>39</v>
      </c>
      <c r="H258" t="s">
        <v>40</v>
      </c>
      <c r="I258" t="s">
        <v>41</v>
      </c>
      <c r="J258" t="s">
        <v>37</v>
      </c>
      <c r="K258" t="s">
        <v>37</v>
      </c>
      <c r="L258" t="s">
        <v>42</v>
      </c>
      <c r="M258" s="6">
        <v>45340.291666666664</v>
      </c>
      <c r="N258" t="s">
        <v>4266</v>
      </c>
      <c r="O258" s="1">
        <v>45340</v>
      </c>
      <c r="P258" s="1">
        <v>45333.534699074073</v>
      </c>
      <c r="Q258" t="s">
        <v>4266</v>
      </c>
      <c r="R258" s="6">
        <v>45340.416666666664</v>
      </c>
      <c r="S258" t="s">
        <v>43</v>
      </c>
      <c r="T258">
        <v>24.99</v>
      </c>
      <c r="U258">
        <v>0</v>
      </c>
      <c r="V258">
        <v>24.99</v>
      </c>
      <c r="W258">
        <v>0</v>
      </c>
      <c r="X258">
        <v>0</v>
      </c>
      <c r="Y258">
        <v>0</v>
      </c>
      <c r="Z258">
        <v>24.99</v>
      </c>
      <c r="AA258" t="s">
        <v>44</v>
      </c>
      <c r="AB258" t="s">
        <v>45</v>
      </c>
      <c r="AC258" t="s">
        <v>46</v>
      </c>
      <c r="AD258" t="s">
        <v>37</v>
      </c>
      <c r="AE258" t="s">
        <v>37</v>
      </c>
      <c r="AF258" t="s">
        <v>1253</v>
      </c>
      <c r="AG258" t="s">
        <v>37</v>
      </c>
      <c r="AH258" t="s">
        <v>1250</v>
      </c>
      <c r="AI258" t="s">
        <v>37</v>
      </c>
    </row>
    <row r="259" spans="1:35" x14ac:dyDescent="0.25">
      <c r="A259" t="s">
        <v>1106</v>
      </c>
      <c r="B259" t="s">
        <v>34</v>
      </c>
      <c r="C259" t="s">
        <v>1107</v>
      </c>
      <c r="D259" t="s">
        <v>1108</v>
      </c>
      <c r="E259" t="s">
        <v>37</v>
      </c>
      <c r="F259" t="s">
        <v>1109</v>
      </c>
      <c r="G259" t="s">
        <v>39</v>
      </c>
      <c r="H259" t="s">
        <v>40</v>
      </c>
      <c r="I259" t="s">
        <v>41</v>
      </c>
      <c r="J259" t="s">
        <v>37</v>
      </c>
      <c r="K259" t="s">
        <v>37</v>
      </c>
      <c r="L259" t="s">
        <v>42</v>
      </c>
      <c r="M259" s="6">
        <v>45340.529131944444</v>
      </c>
      <c r="N259" t="s">
        <v>4266</v>
      </c>
      <c r="O259" s="1">
        <v>45340.23746527778</v>
      </c>
      <c r="P259" s="1">
        <v>45340.529189814813</v>
      </c>
      <c r="Q259" t="s">
        <v>4266</v>
      </c>
      <c r="R259" s="6">
        <v>45340.416666666664</v>
      </c>
      <c r="S259" t="s">
        <v>43</v>
      </c>
      <c r="T259">
        <v>24.99</v>
      </c>
      <c r="U259">
        <v>0</v>
      </c>
      <c r="V259">
        <v>24.99</v>
      </c>
      <c r="W259">
        <v>0</v>
      </c>
      <c r="X259">
        <v>0</v>
      </c>
      <c r="Y259">
        <v>0</v>
      </c>
      <c r="Z259">
        <v>24.99</v>
      </c>
      <c r="AA259" t="s">
        <v>44</v>
      </c>
      <c r="AB259" t="s">
        <v>45</v>
      </c>
      <c r="AC259" t="s">
        <v>46</v>
      </c>
      <c r="AD259" t="s">
        <v>37</v>
      </c>
      <c r="AE259" t="s">
        <v>37</v>
      </c>
      <c r="AF259" t="s">
        <v>1110</v>
      </c>
      <c r="AG259" t="s">
        <v>37</v>
      </c>
      <c r="AH259" t="s">
        <v>1107</v>
      </c>
      <c r="AI259" t="s">
        <v>37</v>
      </c>
    </row>
    <row r="260" spans="1:35" x14ac:dyDescent="0.25">
      <c r="A260" t="s">
        <v>793</v>
      </c>
      <c r="B260" t="s">
        <v>34</v>
      </c>
      <c r="C260" t="s">
        <v>416</v>
      </c>
      <c r="D260" t="s">
        <v>417</v>
      </c>
      <c r="E260" t="s">
        <v>37</v>
      </c>
      <c r="F260" t="s">
        <v>418</v>
      </c>
      <c r="G260" t="s">
        <v>39</v>
      </c>
      <c r="H260" t="s">
        <v>40</v>
      </c>
      <c r="I260" t="s">
        <v>41</v>
      </c>
      <c r="J260" t="s">
        <v>37</v>
      </c>
      <c r="K260" t="s">
        <v>37</v>
      </c>
      <c r="L260" t="s">
        <v>42</v>
      </c>
      <c r="M260" s="6">
        <v>45341.291666666664</v>
      </c>
      <c r="N260" t="s">
        <v>4262</v>
      </c>
      <c r="O260" s="1">
        <v>45341</v>
      </c>
      <c r="P260" s="1">
        <v>45305.788240740738</v>
      </c>
      <c r="Q260" t="s">
        <v>4262</v>
      </c>
      <c r="R260" s="6">
        <v>45341.416666666664</v>
      </c>
      <c r="S260" t="s">
        <v>43</v>
      </c>
      <c r="T260">
        <v>38.08</v>
      </c>
      <c r="U260">
        <v>0</v>
      </c>
      <c r="V260">
        <v>38.08</v>
      </c>
      <c r="W260">
        <v>1.9</v>
      </c>
      <c r="X260">
        <v>0</v>
      </c>
      <c r="Y260">
        <v>0</v>
      </c>
      <c r="Z260">
        <v>39.979999999999997</v>
      </c>
      <c r="AA260" t="s">
        <v>44</v>
      </c>
      <c r="AB260" t="s">
        <v>45</v>
      </c>
      <c r="AC260" t="s">
        <v>46</v>
      </c>
      <c r="AD260" t="s">
        <v>37</v>
      </c>
      <c r="AE260" t="s">
        <v>37</v>
      </c>
      <c r="AF260" t="s">
        <v>792</v>
      </c>
      <c r="AG260" t="s">
        <v>37</v>
      </c>
      <c r="AH260" t="s">
        <v>416</v>
      </c>
      <c r="AI260" t="s">
        <v>37</v>
      </c>
    </row>
    <row r="261" spans="1:35" x14ac:dyDescent="0.25">
      <c r="A261" t="s">
        <v>820</v>
      </c>
      <c r="B261" t="s">
        <v>34</v>
      </c>
      <c r="C261" t="s">
        <v>821</v>
      </c>
      <c r="D261" t="s">
        <v>822</v>
      </c>
      <c r="E261" t="s">
        <v>37</v>
      </c>
      <c r="F261" t="s">
        <v>823</v>
      </c>
      <c r="G261" t="s">
        <v>39</v>
      </c>
      <c r="H261" t="s">
        <v>40</v>
      </c>
      <c r="I261" t="s">
        <v>41</v>
      </c>
      <c r="J261" t="s">
        <v>37</v>
      </c>
      <c r="K261" t="s">
        <v>37</v>
      </c>
      <c r="L261" t="s">
        <v>42</v>
      </c>
      <c r="M261" s="6">
        <v>45341.291666666664</v>
      </c>
      <c r="N261" t="s">
        <v>4262</v>
      </c>
      <c r="O261" s="1">
        <v>45341</v>
      </c>
      <c r="P261" s="1">
        <v>45334.436956018515</v>
      </c>
      <c r="Q261" t="s">
        <v>4262</v>
      </c>
      <c r="R261" s="6">
        <v>45341.416666666664</v>
      </c>
      <c r="S261" t="s">
        <v>43</v>
      </c>
      <c r="T261">
        <v>19.989999999999998</v>
      </c>
      <c r="U261">
        <v>0</v>
      </c>
      <c r="V261">
        <v>19.989999999999998</v>
      </c>
      <c r="W261">
        <v>0</v>
      </c>
      <c r="X261">
        <v>0</v>
      </c>
      <c r="Y261">
        <v>0</v>
      </c>
      <c r="Z261">
        <v>19.989999999999998</v>
      </c>
      <c r="AA261" t="s">
        <v>44</v>
      </c>
      <c r="AB261" t="s">
        <v>45</v>
      </c>
      <c r="AC261" t="s">
        <v>46</v>
      </c>
      <c r="AD261" t="s">
        <v>37</v>
      </c>
      <c r="AE261" t="s">
        <v>37</v>
      </c>
      <c r="AF261" t="s">
        <v>824</v>
      </c>
      <c r="AG261" t="s">
        <v>37</v>
      </c>
      <c r="AH261" t="s">
        <v>821</v>
      </c>
      <c r="AI261" t="s">
        <v>37</v>
      </c>
    </row>
    <row r="262" spans="1:35" x14ac:dyDescent="0.25">
      <c r="A262" t="s">
        <v>917</v>
      </c>
      <c r="B262" t="s">
        <v>34</v>
      </c>
      <c r="C262" t="s">
        <v>918</v>
      </c>
      <c r="D262" t="s">
        <v>919</v>
      </c>
      <c r="E262" t="s">
        <v>37</v>
      </c>
      <c r="F262" t="s">
        <v>920</v>
      </c>
      <c r="G262" t="s">
        <v>39</v>
      </c>
      <c r="H262" t="s">
        <v>40</v>
      </c>
      <c r="I262" t="s">
        <v>41</v>
      </c>
      <c r="J262" t="s">
        <v>37</v>
      </c>
      <c r="K262" t="s">
        <v>37</v>
      </c>
      <c r="L262" t="s">
        <v>42</v>
      </c>
      <c r="M262" s="6">
        <v>45341.291666666664</v>
      </c>
      <c r="N262" t="s">
        <v>4262</v>
      </c>
      <c r="O262" s="1">
        <v>45341</v>
      </c>
      <c r="P262" s="1">
        <v>45336.411307870374</v>
      </c>
      <c r="Q262" t="s">
        <v>4262</v>
      </c>
      <c r="R262" s="6">
        <v>45341.416666666664</v>
      </c>
      <c r="S262" t="s">
        <v>43</v>
      </c>
      <c r="T262">
        <v>19.989999999999998</v>
      </c>
      <c r="U262">
        <v>0</v>
      </c>
      <c r="V262">
        <v>19.989999999999998</v>
      </c>
      <c r="W262">
        <v>0</v>
      </c>
      <c r="X262">
        <v>0</v>
      </c>
      <c r="Y262">
        <v>0</v>
      </c>
      <c r="Z262">
        <v>19.989999999999998</v>
      </c>
      <c r="AA262" t="s">
        <v>44</v>
      </c>
      <c r="AB262" t="s">
        <v>45</v>
      </c>
      <c r="AC262" t="s">
        <v>46</v>
      </c>
      <c r="AD262" t="s">
        <v>37</v>
      </c>
      <c r="AE262" t="s">
        <v>37</v>
      </c>
      <c r="AF262" t="s">
        <v>921</v>
      </c>
      <c r="AG262" t="s">
        <v>37</v>
      </c>
      <c r="AH262" t="s">
        <v>918</v>
      </c>
      <c r="AI262" t="s">
        <v>37</v>
      </c>
    </row>
    <row r="263" spans="1:35" x14ac:dyDescent="0.25">
      <c r="A263" t="s">
        <v>967</v>
      </c>
      <c r="B263" t="s">
        <v>34</v>
      </c>
      <c r="C263" t="s">
        <v>968</v>
      </c>
      <c r="D263" t="s">
        <v>969</v>
      </c>
      <c r="E263" t="s">
        <v>37</v>
      </c>
      <c r="F263" t="s">
        <v>970</v>
      </c>
      <c r="G263" t="s">
        <v>39</v>
      </c>
      <c r="H263" t="s">
        <v>40</v>
      </c>
      <c r="I263" t="s">
        <v>41</v>
      </c>
      <c r="J263" t="s">
        <v>37</v>
      </c>
      <c r="K263" t="s">
        <v>37</v>
      </c>
      <c r="L263" t="s">
        <v>42</v>
      </c>
      <c r="M263" s="6">
        <v>45341.291666666664</v>
      </c>
      <c r="N263" t="s">
        <v>4262</v>
      </c>
      <c r="O263" s="1">
        <v>45341</v>
      </c>
      <c r="P263" s="1">
        <v>45337.573310185187</v>
      </c>
      <c r="Q263" t="s">
        <v>4262</v>
      </c>
      <c r="R263" s="6">
        <v>45341.416666666664</v>
      </c>
      <c r="S263" t="s">
        <v>43</v>
      </c>
      <c r="T263">
        <v>19.989999999999998</v>
      </c>
      <c r="U263">
        <v>0</v>
      </c>
      <c r="V263">
        <v>19.989999999999998</v>
      </c>
      <c r="W263">
        <v>0</v>
      </c>
      <c r="X263">
        <v>0</v>
      </c>
      <c r="Y263">
        <v>0</v>
      </c>
      <c r="Z263">
        <v>19.989999999999998</v>
      </c>
      <c r="AA263" t="s">
        <v>44</v>
      </c>
      <c r="AB263" t="s">
        <v>45</v>
      </c>
      <c r="AC263" t="s">
        <v>46</v>
      </c>
      <c r="AD263" t="s">
        <v>37</v>
      </c>
      <c r="AE263" t="s">
        <v>37</v>
      </c>
      <c r="AF263" t="s">
        <v>971</v>
      </c>
      <c r="AG263" t="s">
        <v>37</v>
      </c>
      <c r="AH263" t="s">
        <v>968</v>
      </c>
      <c r="AI263" t="s">
        <v>37</v>
      </c>
    </row>
    <row r="264" spans="1:35" x14ac:dyDescent="0.25">
      <c r="A264" t="s">
        <v>1009</v>
      </c>
      <c r="B264" t="s">
        <v>34</v>
      </c>
      <c r="C264" t="s">
        <v>1010</v>
      </c>
      <c r="D264" t="s">
        <v>1011</v>
      </c>
      <c r="E264" t="s">
        <v>37</v>
      </c>
      <c r="F264" t="s">
        <v>1012</v>
      </c>
      <c r="G264" t="s">
        <v>39</v>
      </c>
      <c r="H264" t="s">
        <v>40</v>
      </c>
      <c r="I264" t="s">
        <v>41</v>
      </c>
      <c r="J264" t="s">
        <v>37</v>
      </c>
      <c r="K264" t="s">
        <v>37</v>
      </c>
      <c r="L264" t="s">
        <v>42</v>
      </c>
      <c r="M264" s="6">
        <v>45341.291666666664</v>
      </c>
      <c r="N264" t="s">
        <v>4262</v>
      </c>
      <c r="O264" s="1">
        <v>45341</v>
      </c>
      <c r="P264" s="1">
        <v>45338.478622685187</v>
      </c>
      <c r="Q264" t="s">
        <v>4262</v>
      </c>
      <c r="R264" s="6">
        <v>45341.416666666664</v>
      </c>
      <c r="S264" t="s">
        <v>43</v>
      </c>
      <c r="T264">
        <v>19.989999999999998</v>
      </c>
      <c r="U264">
        <v>0</v>
      </c>
      <c r="V264">
        <v>19.989999999999998</v>
      </c>
      <c r="W264">
        <v>0</v>
      </c>
      <c r="X264">
        <v>0</v>
      </c>
      <c r="Y264">
        <v>0</v>
      </c>
      <c r="Z264">
        <v>19.989999999999998</v>
      </c>
      <c r="AA264" t="s">
        <v>44</v>
      </c>
      <c r="AB264" t="s">
        <v>45</v>
      </c>
      <c r="AC264" t="s">
        <v>46</v>
      </c>
      <c r="AD264" t="s">
        <v>37</v>
      </c>
      <c r="AE264" t="s">
        <v>37</v>
      </c>
      <c r="AF264" t="s">
        <v>1013</v>
      </c>
      <c r="AG264" t="s">
        <v>37</v>
      </c>
      <c r="AH264" t="s">
        <v>1010</v>
      </c>
      <c r="AI264" t="s">
        <v>37</v>
      </c>
    </row>
    <row r="265" spans="1:35" x14ac:dyDescent="0.25">
      <c r="A265" t="s">
        <v>1054</v>
      </c>
      <c r="B265" t="s">
        <v>34</v>
      </c>
      <c r="C265" t="s">
        <v>1055</v>
      </c>
      <c r="D265" t="s">
        <v>1056</v>
      </c>
      <c r="E265" t="s">
        <v>37</v>
      </c>
      <c r="F265" t="s">
        <v>1057</v>
      </c>
      <c r="G265" t="s">
        <v>39</v>
      </c>
      <c r="H265" t="s">
        <v>40</v>
      </c>
      <c r="I265" t="s">
        <v>41</v>
      </c>
      <c r="J265" t="s">
        <v>37</v>
      </c>
      <c r="K265" t="s">
        <v>37</v>
      </c>
      <c r="L265" t="s">
        <v>42</v>
      </c>
      <c r="M265" s="6">
        <v>45341.291666666664</v>
      </c>
      <c r="N265" t="s">
        <v>4262</v>
      </c>
      <c r="O265" s="1">
        <v>45341</v>
      </c>
      <c r="P265" s="1">
        <v>45339.413553240738</v>
      </c>
      <c r="Q265" t="s">
        <v>4262</v>
      </c>
      <c r="R265" s="6">
        <v>45341.416666666664</v>
      </c>
      <c r="S265" t="s">
        <v>43</v>
      </c>
      <c r="T265">
        <v>19.989999999999998</v>
      </c>
      <c r="U265">
        <v>0</v>
      </c>
      <c r="V265">
        <v>19.989999999999998</v>
      </c>
      <c r="W265">
        <v>0</v>
      </c>
      <c r="X265">
        <v>0</v>
      </c>
      <c r="Y265">
        <v>0</v>
      </c>
      <c r="Z265">
        <v>19.989999999999998</v>
      </c>
      <c r="AA265" t="s">
        <v>44</v>
      </c>
      <c r="AB265" t="s">
        <v>45</v>
      </c>
      <c r="AC265" t="s">
        <v>46</v>
      </c>
      <c r="AD265" t="s">
        <v>37</v>
      </c>
      <c r="AE265" t="s">
        <v>37</v>
      </c>
      <c r="AF265" t="s">
        <v>1058</v>
      </c>
      <c r="AG265" t="s">
        <v>37</v>
      </c>
      <c r="AH265" t="s">
        <v>1055</v>
      </c>
      <c r="AI265" t="s">
        <v>37</v>
      </c>
    </row>
    <row r="266" spans="1:35" x14ac:dyDescent="0.25">
      <c r="A266" t="s">
        <v>1076</v>
      </c>
      <c r="B266" t="s">
        <v>34</v>
      </c>
      <c r="C266" t="s">
        <v>1077</v>
      </c>
      <c r="D266" t="s">
        <v>1078</v>
      </c>
      <c r="E266" t="s">
        <v>37</v>
      </c>
      <c r="F266" t="s">
        <v>1079</v>
      </c>
      <c r="G266" t="s">
        <v>39</v>
      </c>
      <c r="H266" t="s">
        <v>40</v>
      </c>
      <c r="I266" t="s">
        <v>41</v>
      </c>
      <c r="J266" t="s">
        <v>37</v>
      </c>
      <c r="K266" t="s">
        <v>37</v>
      </c>
      <c r="L266" t="s">
        <v>42</v>
      </c>
      <c r="M266" s="6">
        <v>45341.291666666664</v>
      </c>
      <c r="N266" t="s">
        <v>4262</v>
      </c>
      <c r="O266" s="1">
        <v>45341</v>
      </c>
      <c r="P266" s="1">
        <v>45339.829039351855</v>
      </c>
      <c r="Q266" t="s">
        <v>4262</v>
      </c>
      <c r="R266" s="6">
        <v>45341.416666666664</v>
      </c>
      <c r="S266" t="s">
        <v>43</v>
      </c>
      <c r="T266">
        <v>19.989999999999998</v>
      </c>
      <c r="U266">
        <v>0</v>
      </c>
      <c r="V266">
        <v>19.989999999999998</v>
      </c>
      <c r="W266">
        <v>0</v>
      </c>
      <c r="X266">
        <v>0</v>
      </c>
      <c r="Y266">
        <v>0</v>
      </c>
      <c r="Z266">
        <v>19.989999999999998</v>
      </c>
      <c r="AA266" t="s">
        <v>44</v>
      </c>
      <c r="AB266" t="s">
        <v>45</v>
      </c>
      <c r="AC266" t="s">
        <v>46</v>
      </c>
      <c r="AD266" t="s">
        <v>37</v>
      </c>
      <c r="AE266" t="s">
        <v>37</v>
      </c>
      <c r="AF266" t="s">
        <v>1080</v>
      </c>
      <c r="AG266" t="s">
        <v>37</v>
      </c>
      <c r="AH266" t="s">
        <v>1077</v>
      </c>
      <c r="AI266" t="s">
        <v>37</v>
      </c>
    </row>
    <row r="267" spans="1:35" x14ac:dyDescent="0.25">
      <c r="A267" t="s">
        <v>1113</v>
      </c>
      <c r="B267" t="s">
        <v>34</v>
      </c>
      <c r="C267" t="s">
        <v>1114</v>
      </c>
      <c r="D267" t="s">
        <v>1115</v>
      </c>
      <c r="E267" t="s">
        <v>37</v>
      </c>
      <c r="F267" t="s">
        <v>1116</v>
      </c>
      <c r="G267" t="s">
        <v>39</v>
      </c>
      <c r="H267" t="s">
        <v>40</v>
      </c>
      <c r="I267" t="s">
        <v>41</v>
      </c>
      <c r="J267" t="s">
        <v>37</v>
      </c>
      <c r="K267" t="s">
        <v>37</v>
      </c>
      <c r="L267" t="s">
        <v>42</v>
      </c>
      <c r="M267" s="6">
        <v>45341.291666666664</v>
      </c>
      <c r="N267" t="s">
        <v>4262</v>
      </c>
      <c r="O267" s="1">
        <v>45341</v>
      </c>
      <c r="P267" s="1">
        <v>45340.687650462962</v>
      </c>
      <c r="Q267" t="s">
        <v>4262</v>
      </c>
      <c r="R267" s="6">
        <v>45341.416666666664</v>
      </c>
      <c r="S267" t="s">
        <v>43</v>
      </c>
      <c r="T267">
        <v>39.979999999999997</v>
      </c>
      <c r="U267">
        <v>0</v>
      </c>
      <c r="V267">
        <v>39.979999999999997</v>
      </c>
      <c r="W267">
        <v>0</v>
      </c>
      <c r="X267">
        <v>0</v>
      </c>
      <c r="Y267">
        <v>0</v>
      </c>
      <c r="Z267">
        <v>39.979999999999997</v>
      </c>
      <c r="AA267" t="s">
        <v>44</v>
      </c>
      <c r="AB267" t="s">
        <v>45</v>
      </c>
      <c r="AC267" t="s">
        <v>46</v>
      </c>
      <c r="AD267" t="s">
        <v>37</v>
      </c>
      <c r="AE267" t="s">
        <v>37</v>
      </c>
      <c r="AF267" t="s">
        <v>1117</v>
      </c>
      <c r="AG267" t="s">
        <v>37</v>
      </c>
      <c r="AH267" t="s">
        <v>1114</v>
      </c>
      <c r="AI267" t="s">
        <v>37</v>
      </c>
    </row>
    <row r="268" spans="1:35" x14ac:dyDescent="0.25">
      <c r="A268" t="s">
        <v>1130</v>
      </c>
      <c r="B268" t="s">
        <v>34</v>
      </c>
      <c r="C268" t="s">
        <v>1131</v>
      </c>
      <c r="D268" t="s">
        <v>1132</v>
      </c>
      <c r="E268" t="s">
        <v>37</v>
      </c>
      <c r="F268" t="s">
        <v>1133</v>
      </c>
      <c r="G268" t="s">
        <v>39</v>
      </c>
      <c r="H268" t="s">
        <v>40</v>
      </c>
      <c r="I268" t="s">
        <v>41</v>
      </c>
      <c r="J268" t="s">
        <v>37</v>
      </c>
      <c r="K268" t="s">
        <v>37</v>
      </c>
      <c r="L268" t="s">
        <v>42</v>
      </c>
      <c r="M268" s="6">
        <v>45341.291666666664</v>
      </c>
      <c r="N268" t="s">
        <v>4262</v>
      </c>
      <c r="O268" s="1">
        <v>45341</v>
      </c>
      <c r="P268" s="1">
        <v>45341.285671296297</v>
      </c>
      <c r="Q268" t="s">
        <v>4262</v>
      </c>
      <c r="R268" s="6">
        <v>45341.416666666664</v>
      </c>
      <c r="S268" t="s">
        <v>43</v>
      </c>
      <c r="T268">
        <v>19.989999999999998</v>
      </c>
      <c r="U268">
        <v>0</v>
      </c>
      <c r="V268">
        <v>19.989999999999998</v>
      </c>
      <c r="W268">
        <v>0</v>
      </c>
      <c r="X268">
        <v>0</v>
      </c>
      <c r="Y268">
        <v>0</v>
      </c>
      <c r="Z268">
        <v>19.989999999999998</v>
      </c>
      <c r="AA268" t="s">
        <v>44</v>
      </c>
      <c r="AB268" t="s">
        <v>45</v>
      </c>
      <c r="AC268" t="s">
        <v>46</v>
      </c>
      <c r="AD268" t="s">
        <v>37</v>
      </c>
      <c r="AE268" t="s">
        <v>37</v>
      </c>
      <c r="AF268" t="s">
        <v>1134</v>
      </c>
      <c r="AG268" t="s">
        <v>37</v>
      </c>
      <c r="AH268" t="s">
        <v>1131</v>
      </c>
      <c r="AI268" t="s">
        <v>37</v>
      </c>
    </row>
    <row r="269" spans="1:35" x14ac:dyDescent="0.25">
      <c r="A269" t="s">
        <v>1146</v>
      </c>
      <c r="B269" t="s">
        <v>34</v>
      </c>
      <c r="C269" t="s">
        <v>1147</v>
      </c>
      <c r="D269" t="s">
        <v>1148</v>
      </c>
      <c r="E269" t="s">
        <v>37</v>
      </c>
      <c r="F269" t="s">
        <v>1149</v>
      </c>
      <c r="G269" t="s">
        <v>39</v>
      </c>
      <c r="H269" t="s">
        <v>40</v>
      </c>
      <c r="I269" t="s">
        <v>41</v>
      </c>
      <c r="J269" t="s">
        <v>37</v>
      </c>
      <c r="K269" t="s">
        <v>37</v>
      </c>
      <c r="L269" t="s">
        <v>42</v>
      </c>
      <c r="M269" s="6">
        <v>45341.291666666664</v>
      </c>
      <c r="N269" t="s">
        <v>4262</v>
      </c>
      <c r="O269" s="1">
        <v>45341</v>
      </c>
      <c r="P269" s="1">
        <v>45341.012337962966</v>
      </c>
      <c r="Q269" t="s">
        <v>4262</v>
      </c>
      <c r="R269" s="6">
        <v>45341.416666666664</v>
      </c>
      <c r="S269" t="s">
        <v>43</v>
      </c>
      <c r="T269">
        <v>19.989999999999998</v>
      </c>
      <c r="U269">
        <v>0</v>
      </c>
      <c r="V269">
        <v>19.989999999999998</v>
      </c>
      <c r="W269">
        <v>0</v>
      </c>
      <c r="X269">
        <v>0</v>
      </c>
      <c r="Y269">
        <v>0</v>
      </c>
      <c r="Z269">
        <v>19.989999999999998</v>
      </c>
      <c r="AA269" t="s">
        <v>44</v>
      </c>
      <c r="AB269" t="s">
        <v>45</v>
      </c>
      <c r="AC269" t="s">
        <v>46</v>
      </c>
      <c r="AD269" t="s">
        <v>37</v>
      </c>
      <c r="AE269" t="s">
        <v>37</v>
      </c>
      <c r="AF269" t="s">
        <v>1150</v>
      </c>
      <c r="AG269" t="s">
        <v>37</v>
      </c>
      <c r="AH269" t="s">
        <v>1147</v>
      </c>
      <c r="AI269" t="s">
        <v>37</v>
      </c>
    </row>
    <row r="270" spans="1:35" x14ac:dyDescent="0.25">
      <c r="A270" t="s">
        <v>1151</v>
      </c>
      <c r="B270" t="s">
        <v>34</v>
      </c>
      <c r="C270" t="s">
        <v>1152</v>
      </c>
      <c r="D270" t="s">
        <v>1153</v>
      </c>
      <c r="E270" t="s">
        <v>37</v>
      </c>
      <c r="F270" t="s">
        <v>1154</v>
      </c>
      <c r="G270" t="s">
        <v>39</v>
      </c>
      <c r="H270" t="s">
        <v>40</v>
      </c>
      <c r="I270" t="s">
        <v>41</v>
      </c>
      <c r="J270" t="s">
        <v>37</v>
      </c>
      <c r="K270" t="s">
        <v>37</v>
      </c>
      <c r="L270" t="s">
        <v>42</v>
      </c>
      <c r="M270" s="6">
        <v>45341.291666666664</v>
      </c>
      <c r="N270" t="s">
        <v>4262</v>
      </c>
      <c r="O270" s="1">
        <v>45341</v>
      </c>
      <c r="P270" s="1">
        <v>45341.277280092596</v>
      </c>
      <c r="Q270" t="s">
        <v>4262</v>
      </c>
      <c r="R270" s="6">
        <v>45341.416666666664</v>
      </c>
      <c r="S270" t="s">
        <v>43</v>
      </c>
      <c r="T270">
        <v>19.989999999999998</v>
      </c>
      <c r="U270">
        <v>0</v>
      </c>
      <c r="V270">
        <v>19.989999999999998</v>
      </c>
      <c r="W270">
        <v>0</v>
      </c>
      <c r="X270">
        <v>0</v>
      </c>
      <c r="Y270">
        <v>0</v>
      </c>
      <c r="Z270">
        <v>19.989999999999998</v>
      </c>
      <c r="AA270" t="s">
        <v>44</v>
      </c>
      <c r="AB270" t="s">
        <v>45</v>
      </c>
      <c r="AC270" t="s">
        <v>46</v>
      </c>
      <c r="AD270" t="s">
        <v>37</v>
      </c>
      <c r="AE270" t="s">
        <v>37</v>
      </c>
      <c r="AF270" t="s">
        <v>1155</v>
      </c>
      <c r="AG270" t="s">
        <v>37</v>
      </c>
      <c r="AH270" t="s">
        <v>1152</v>
      </c>
      <c r="AI270" t="s">
        <v>37</v>
      </c>
    </row>
    <row r="271" spans="1:35" x14ac:dyDescent="0.25">
      <c r="A271" t="s">
        <v>1161</v>
      </c>
      <c r="B271" t="s">
        <v>34</v>
      </c>
      <c r="C271" t="s">
        <v>1162</v>
      </c>
      <c r="D271" t="s">
        <v>1163</v>
      </c>
      <c r="E271" t="s">
        <v>37</v>
      </c>
      <c r="F271" t="s">
        <v>1164</v>
      </c>
      <c r="G271" t="s">
        <v>39</v>
      </c>
      <c r="H271" t="s">
        <v>40</v>
      </c>
      <c r="I271" t="s">
        <v>41</v>
      </c>
      <c r="J271" t="s">
        <v>37</v>
      </c>
      <c r="K271" t="s">
        <v>37</v>
      </c>
      <c r="L271" t="s">
        <v>42</v>
      </c>
      <c r="M271" s="6">
        <v>45341.392210648148</v>
      </c>
      <c r="N271" t="s">
        <v>4262</v>
      </c>
      <c r="O271" s="1">
        <v>45341.100543981483</v>
      </c>
      <c r="P271" s="1">
        <v>45341.392268518517</v>
      </c>
      <c r="Q271" t="s">
        <v>4262</v>
      </c>
      <c r="R271" s="6">
        <v>45341.416666666664</v>
      </c>
      <c r="S271" t="s">
        <v>43</v>
      </c>
      <c r="T271">
        <v>19.989999999999998</v>
      </c>
      <c r="U271">
        <v>0</v>
      </c>
      <c r="V271">
        <v>19.989999999999998</v>
      </c>
      <c r="W271">
        <v>0</v>
      </c>
      <c r="X271">
        <v>0</v>
      </c>
      <c r="Y271">
        <v>0</v>
      </c>
      <c r="Z271">
        <v>19.989999999999998</v>
      </c>
      <c r="AA271" t="s">
        <v>44</v>
      </c>
      <c r="AB271" t="s">
        <v>45</v>
      </c>
      <c r="AC271" t="s">
        <v>46</v>
      </c>
      <c r="AD271" t="s">
        <v>37</v>
      </c>
      <c r="AE271" t="s">
        <v>37</v>
      </c>
      <c r="AF271" t="s">
        <v>1165</v>
      </c>
      <c r="AG271" t="s">
        <v>37</v>
      </c>
      <c r="AH271" t="s">
        <v>1162</v>
      </c>
      <c r="AI271" t="s">
        <v>37</v>
      </c>
    </row>
    <row r="272" spans="1:35" x14ac:dyDescent="0.25">
      <c r="A272" t="s">
        <v>1166</v>
      </c>
      <c r="B272" t="s">
        <v>34</v>
      </c>
      <c r="C272" t="s">
        <v>1167</v>
      </c>
      <c r="D272" t="s">
        <v>1168</v>
      </c>
      <c r="E272" t="s">
        <v>37</v>
      </c>
      <c r="F272" t="s">
        <v>1169</v>
      </c>
      <c r="G272" t="s">
        <v>39</v>
      </c>
      <c r="H272" t="s">
        <v>40</v>
      </c>
      <c r="I272" t="s">
        <v>41</v>
      </c>
      <c r="J272" t="s">
        <v>37</v>
      </c>
      <c r="K272" t="s">
        <v>37</v>
      </c>
      <c r="L272" t="s">
        <v>42</v>
      </c>
      <c r="M272" s="6">
        <v>45341.462025462963</v>
      </c>
      <c r="N272" t="s">
        <v>4262</v>
      </c>
      <c r="O272" s="1">
        <v>45341.170358796298</v>
      </c>
      <c r="P272" s="1">
        <v>45341.462071759262</v>
      </c>
      <c r="Q272" t="s">
        <v>4262</v>
      </c>
      <c r="R272" s="6">
        <v>45341.416666666664</v>
      </c>
      <c r="S272" t="s">
        <v>43</v>
      </c>
      <c r="T272">
        <v>24.99</v>
      </c>
      <c r="U272">
        <v>0</v>
      </c>
      <c r="V272">
        <v>24.99</v>
      </c>
      <c r="W272">
        <v>0</v>
      </c>
      <c r="X272">
        <v>0</v>
      </c>
      <c r="Y272">
        <v>0</v>
      </c>
      <c r="Z272">
        <v>24.99</v>
      </c>
      <c r="AA272" t="s">
        <v>44</v>
      </c>
      <c r="AB272" t="s">
        <v>45</v>
      </c>
      <c r="AC272" t="s">
        <v>46</v>
      </c>
      <c r="AD272" t="s">
        <v>37</v>
      </c>
      <c r="AE272" t="s">
        <v>37</v>
      </c>
      <c r="AF272" t="s">
        <v>1170</v>
      </c>
      <c r="AG272" t="s">
        <v>37</v>
      </c>
      <c r="AH272" t="s">
        <v>1167</v>
      </c>
      <c r="AI272" t="s">
        <v>37</v>
      </c>
    </row>
    <row r="273" spans="1:35" x14ac:dyDescent="0.25">
      <c r="A273" t="s">
        <v>901</v>
      </c>
      <c r="B273" t="s">
        <v>34</v>
      </c>
      <c r="C273" t="s">
        <v>902</v>
      </c>
      <c r="D273" t="s">
        <v>903</v>
      </c>
      <c r="E273" t="s">
        <v>37</v>
      </c>
      <c r="F273" t="s">
        <v>904</v>
      </c>
      <c r="G273" t="s">
        <v>39</v>
      </c>
      <c r="H273" t="s">
        <v>40</v>
      </c>
      <c r="I273" t="s">
        <v>41</v>
      </c>
      <c r="J273" t="s">
        <v>37</v>
      </c>
      <c r="K273" t="s">
        <v>37</v>
      </c>
      <c r="L273" t="s">
        <v>42</v>
      </c>
      <c r="M273" s="6">
        <v>45342.291666666664</v>
      </c>
      <c r="N273" t="s">
        <v>4267</v>
      </c>
      <c r="O273" s="1">
        <v>45342</v>
      </c>
      <c r="P273" s="1">
        <v>45323.559953703705</v>
      </c>
      <c r="Q273" t="s">
        <v>4267</v>
      </c>
      <c r="R273" s="6">
        <v>45342.416666666664</v>
      </c>
      <c r="S273" t="s">
        <v>43</v>
      </c>
      <c r="T273">
        <v>39.979999999999997</v>
      </c>
      <c r="U273">
        <v>0</v>
      </c>
      <c r="V273">
        <v>39.979999999999997</v>
      </c>
      <c r="W273">
        <v>0</v>
      </c>
      <c r="X273">
        <v>0</v>
      </c>
      <c r="Y273">
        <v>0</v>
      </c>
      <c r="Z273">
        <v>39.979999999999997</v>
      </c>
      <c r="AA273" t="s">
        <v>44</v>
      </c>
      <c r="AB273" t="s">
        <v>45</v>
      </c>
      <c r="AC273" t="s">
        <v>46</v>
      </c>
      <c r="AD273" t="s">
        <v>37</v>
      </c>
      <c r="AE273" t="s">
        <v>37</v>
      </c>
      <c r="AF273" t="s">
        <v>905</v>
      </c>
      <c r="AG273" t="s">
        <v>37</v>
      </c>
      <c r="AH273" t="s">
        <v>902</v>
      </c>
      <c r="AI273" t="s">
        <v>37</v>
      </c>
    </row>
    <row r="274" spans="1:35" x14ac:dyDescent="0.25">
      <c r="A274" t="s">
        <v>1118</v>
      </c>
      <c r="B274" t="s">
        <v>34</v>
      </c>
      <c r="C274" t="s">
        <v>1114</v>
      </c>
      <c r="D274" t="s">
        <v>1115</v>
      </c>
      <c r="E274" t="s">
        <v>37</v>
      </c>
      <c r="F274" t="s">
        <v>1116</v>
      </c>
      <c r="G274" t="s">
        <v>39</v>
      </c>
      <c r="H274" t="s">
        <v>40</v>
      </c>
      <c r="I274" t="s">
        <v>41</v>
      </c>
      <c r="J274" t="s">
        <v>37</v>
      </c>
      <c r="K274" t="s">
        <v>37</v>
      </c>
      <c r="L274" t="s">
        <v>42</v>
      </c>
      <c r="M274" s="6">
        <v>45342.291666666664</v>
      </c>
      <c r="N274" t="s">
        <v>4267</v>
      </c>
      <c r="O274" s="1">
        <v>45342</v>
      </c>
      <c r="P274" s="1">
        <v>45340.687650462962</v>
      </c>
      <c r="Q274" t="s">
        <v>4267</v>
      </c>
      <c r="R274" s="6">
        <v>45342.416666666664</v>
      </c>
      <c r="S274" t="s">
        <v>43</v>
      </c>
      <c r="T274">
        <v>39.979999999999997</v>
      </c>
      <c r="U274">
        <v>0</v>
      </c>
      <c r="V274">
        <v>39.979999999999997</v>
      </c>
      <c r="W274">
        <v>0</v>
      </c>
      <c r="X274">
        <v>0</v>
      </c>
      <c r="Y274">
        <v>0</v>
      </c>
      <c r="Z274">
        <v>39.979999999999997</v>
      </c>
      <c r="AA274" t="s">
        <v>44</v>
      </c>
      <c r="AB274" t="s">
        <v>45</v>
      </c>
      <c r="AC274" t="s">
        <v>46</v>
      </c>
      <c r="AD274" t="s">
        <v>37</v>
      </c>
      <c r="AE274" t="s">
        <v>37</v>
      </c>
      <c r="AF274" t="s">
        <v>1117</v>
      </c>
      <c r="AG274" t="s">
        <v>37</v>
      </c>
      <c r="AH274" t="s">
        <v>1114</v>
      </c>
      <c r="AI274" t="s">
        <v>37</v>
      </c>
    </row>
    <row r="275" spans="1:35" x14ac:dyDescent="0.25">
      <c r="A275" t="s">
        <v>906</v>
      </c>
      <c r="B275" t="s">
        <v>34</v>
      </c>
      <c r="C275" t="s">
        <v>902</v>
      </c>
      <c r="D275" t="s">
        <v>903</v>
      </c>
      <c r="E275" t="s">
        <v>37</v>
      </c>
      <c r="F275" t="s">
        <v>904</v>
      </c>
      <c r="G275" t="s">
        <v>39</v>
      </c>
      <c r="H275" t="s">
        <v>40</v>
      </c>
      <c r="I275" t="s">
        <v>41</v>
      </c>
      <c r="J275" t="s">
        <v>37</v>
      </c>
      <c r="K275" t="s">
        <v>37</v>
      </c>
      <c r="L275" t="s">
        <v>42</v>
      </c>
      <c r="M275" s="6">
        <v>45343.291666666664</v>
      </c>
      <c r="N275" t="s">
        <v>4263</v>
      </c>
      <c r="O275" s="1">
        <v>45343</v>
      </c>
      <c r="P275" s="1">
        <v>45323.559953703705</v>
      </c>
      <c r="Q275" t="s">
        <v>4263</v>
      </c>
      <c r="R275" s="6">
        <v>45343.416666666664</v>
      </c>
      <c r="S275" t="s">
        <v>43</v>
      </c>
      <c r="T275">
        <v>39.979999999999997</v>
      </c>
      <c r="U275">
        <v>0</v>
      </c>
      <c r="V275">
        <v>39.979999999999997</v>
      </c>
      <c r="W275">
        <v>0</v>
      </c>
      <c r="X275">
        <v>0</v>
      </c>
      <c r="Y275">
        <v>0</v>
      </c>
      <c r="Z275">
        <v>39.979999999999997</v>
      </c>
      <c r="AA275" t="s">
        <v>44</v>
      </c>
      <c r="AB275" t="s">
        <v>45</v>
      </c>
      <c r="AC275" t="s">
        <v>46</v>
      </c>
      <c r="AD275" t="s">
        <v>37</v>
      </c>
      <c r="AE275" t="s">
        <v>37</v>
      </c>
      <c r="AF275" t="s">
        <v>905</v>
      </c>
      <c r="AG275" t="s">
        <v>37</v>
      </c>
      <c r="AH275" t="s">
        <v>902</v>
      </c>
      <c r="AI275" t="s">
        <v>37</v>
      </c>
    </row>
    <row r="276" spans="1:35" x14ac:dyDescent="0.25">
      <c r="A276" t="s">
        <v>1203</v>
      </c>
      <c r="B276" t="s">
        <v>34</v>
      </c>
      <c r="C276" t="s">
        <v>1204</v>
      </c>
      <c r="D276" t="s">
        <v>1205</v>
      </c>
      <c r="E276" t="s">
        <v>37</v>
      </c>
      <c r="F276" t="s">
        <v>1206</v>
      </c>
      <c r="G276" t="s">
        <v>39</v>
      </c>
      <c r="H276" t="s">
        <v>40</v>
      </c>
      <c r="I276" t="s">
        <v>41</v>
      </c>
      <c r="J276" t="s">
        <v>37</v>
      </c>
      <c r="K276" t="s">
        <v>37</v>
      </c>
      <c r="L276" t="s">
        <v>42</v>
      </c>
      <c r="M276" s="6">
        <v>45343.291666666664</v>
      </c>
      <c r="N276" t="s">
        <v>4263</v>
      </c>
      <c r="O276" s="1">
        <v>45343</v>
      </c>
      <c r="P276" s="1">
        <v>45343.431296296294</v>
      </c>
      <c r="Q276" t="s">
        <v>4263</v>
      </c>
      <c r="R276" s="6">
        <v>45343.416666666664</v>
      </c>
      <c r="S276" t="s">
        <v>43</v>
      </c>
      <c r="T276">
        <v>19.989999999999998</v>
      </c>
      <c r="U276">
        <v>0</v>
      </c>
      <c r="V276">
        <v>19.989999999999998</v>
      </c>
      <c r="W276">
        <v>0</v>
      </c>
      <c r="X276">
        <v>0</v>
      </c>
      <c r="Y276">
        <v>0</v>
      </c>
      <c r="Z276">
        <v>19.989999999999998</v>
      </c>
      <c r="AA276" t="s">
        <v>44</v>
      </c>
      <c r="AB276" t="s">
        <v>45</v>
      </c>
      <c r="AC276" t="s">
        <v>46</v>
      </c>
      <c r="AD276" t="s">
        <v>37</v>
      </c>
      <c r="AE276" t="s">
        <v>37</v>
      </c>
      <c r="AF276" t="s">
        <v>1207</v>
      </c>
      <c r="AG276" t="s">
        <v>37</v>
      </c>
      <c r="AH276" t="s">
        <v>1208</v>
      </c>
      <c r="AI276" t="s">
        <v>37</v>
      </c>
    </row>
    <row r="277" spans="1:35" x14ac:dyDescent="0.25">
      <c r="A277" t="s">
        <v>1196</v>
      </c>
      <c r="B277" t="s">
        <v>34</v>
      </c>
      <c r="C277" t="s">
        <v>803</v>
      </c>
      <c r="D277" t="s">
        <v>804</v>
      </c>
      <c r="E277" t="s">
        <v>37</v>
      </c>
      <c r="F277" t="s">
        <v>805</v>
      </c>
      <c r="G277" t="s">
        <v>39</v>
      </c>
      <c r="H277" t="s">
        <v>40</v>
      </c>
      <c r="I277" t="s">
        <v>41</v>
      </c>
      <c r="J277" t="s">
        <v>37</v>
      </c>
      <c r="K277" t="s">
        <v>37</v>
      </c>
      <c r="L277" t="s">
        <v>42</v>
      </c>
      <c r="M277" s="6">
        <v>45343.356076388889</v>
      </c>
      <c r="N277" t="s">
        <v>4263</v>
      </c>
      <c r="O277" s="1">
        <v>45343.064409722225</v>
      </c>
      <c r="P277" s="1">
        <v>45343.356134259258</v>
      </c>
      <c r="Q277" t="s">
        <v>4263</v>
      </c>
      <c r="R277" s="6">
        <v>45343.416666666664</v>
      </c>
      <c r="S277" t="s">
        <v>43</v>
      </c>
      <c r="T277">
        <v>19.989999999999998</v>
      </c>
      <c r="U277">
        <v>0</v>
      </c>
      <c r="V277">
        <v>19.989999999999998</v>
      </c>
      <c r="W277">
        <v>0</v>
      </c>
      <c r="X277">
        <v>0</v>
      </c>
      <c r="Y277">
        <v>0</v>
      </c>
      <c r="Z277">
        <v>19.989999999999998</v>
      </c>
      <c r="AA277" t="s">
        <v>44</v>
      </c>
      <c r="AB277" t="s">
        <v>45</v>
      </c>
      <c r="AC277" t="s">
        <v>46</v>
      </c>
      <c r="AD277" t="s">
        <v>37</v>
      </c>
      <c r="AE277" t="s">
        <v>37</v>
      </c>
      <c r="AF277" t="s">
        <v>1197</v>
      </c>
      <c r="AG277" t="s">
        <v>37</v>
      </c>
      <c r="AH277" t="s">
        <v>803</v>
      </c>
      <c r="AI277" t="s">
        <v>37</v>
      </c>
    </row>
    <row r="278" spans="1:35" x14ac:dyDescent="0.25">
      <c r="A278" t="s">
        <v>807</v>
      </c>
      <c r="B278" t="s">
        <v>34</v>
      </c>
      <c r="C278" t="s">
        <v>808</v>
      </c>
      <c r="D278" t="s">
        <v>809</v>
      </c>
      <c r="E278" t="s">
        <v>37</v>
      </c>
      <c r="F278" t="s">
        <v>810</v>
      </c>
      <c r="G278" t="s">
        <v>39</v>
      </c>
      <c r="H278" t="s">
        <v>40</v>
      </c>
      <c r="I278" t="s">
        <v>41</v>
      </c>
      <c r="J278" t="s">
        <v>37</v>
      </c>
      <c r="K278" t="s">
        <v>37</v>
      </c>
      <c r="L278" t="s">
        <v>42</v>
      </c>
      <c r="M278" s="6">
        <v>45344.291666666664</v>
      </c>
      <c r="N278" t="s">
        <v>4264</v>
      </c>
      <c r="O278" s="1">
        <v>45344</v>
      </c>
      <c r="P278" s="1">
        <v>45344.358252314814</v>
      </c>
      <c r="Q278" t="s">
        <v>4264</v>
      </c>
      <c r="R278" s="6">
        <v>45344.416666666664</v>
      </c>
      <c r="S278" t="s">
        <v>43</v>
      </c>
      <c r="T278">
        <v>39.979999999999997</v>
      </c>
      <c r="U278">
        <v>0</v>
      </c>
      <c r="V278">
        <v>39.979999999999997</v>
      </c>
      <c r="W278">
        <v>0</v>
      </c>
      <c r="X278">
        <v>0</v>
      </c>
      <c r="Y278">
        <v>0</v>
      </c>
      <c r="Z278">
        <v>39.979999999999997</v>
      </c>
      <c r="AA278" t="s">
        <v>44</v>
      </c>
      <c r="AB278" t="s">
        <v>45</v>
      </c>
      <c r="AC278" t="s">
        <v>46</v>
      </c>
      <c r="AD278" t="s">
        <v>37</v>
      </c>
      <c r="AE278" t="s">
        <v>37</v>
      </c>
      <c r="AF278" t="s">
        <v>811</v>
      </c>
      <c r="AG278" t="s">
        <v>37</v>
      </c>
      <c r="AH278" t="s">
        <v>808</v>
      </c>
      <c r="AI278" t="s">
        <v>37</v>
      </c>
    </row>
    <row r="279" spans="1:35" x14ac:dyDescent="0.25">
      <c r="A279" t="s">
        <v>1181</v>
      </c>
      <c r="B279" t="s">
        <v>34</v>
      </c>
      <c r="C279" t="s">
        <v>1182</v>
      </c>
      <c r="D279" t="s">
        <v>1183</v>
      </c>
      <c r="E279" t="s">
        <v>37</v>
      </c>
      <c r="F279" t="s">
        <v>1184</v>
      </c>
      <c r="G279" t="s">
        <v>39</v>
      </c>
      <c r="H279" t="s">
        <v>40</v>
      </c>
      <c r="I279" t="s">
        <v>41</v>
      </c>
      <c r="J279" t="s">
        <v>37</v>
      </c>
      <c r="K279" t="s">
        <v>37</v>
      </c>
      <c r="L279" t="s">
        <v>42</v>
      </c>
      <c r="M279" s="6">
        <v>45344.291666666664</v>
      </c>
      <c r="N279" t="s">
        <v>4264</v>
      </c>
      <c r="O279" s="1">
        <v>45344</v>
      </c>
      <c r="P279" s="1">
        <v>45342.114560185182</v>
      </c>
      <c r="Q279" t="s">
        <v>4264</v>
      </c>
      <c r="R279" s="6">
        <v>45344.416666666664</v>
      </c>
      <c r="S279" t="s">
        <v>43</v>
      </c>
      <c r="T279">
        <v>19.989999999999998</v>
      </c>
      <c r="U279">
        <v>0</v>
      </c>
      <c r="V279">
        <v>19.989999999999998</v>
      </c>
      <c r="W279">
        <v>0</v>
      </c>
      <c r="X279">
        <v>0</v>
      </c>
      <c r="Y279">
        <v>0</v>
      </c>
      <c r="Z279">
        <v>19.989999999999998</v>
      </c>
      <c r="AA279" t="s">
        <v>44</v>
      </c>
      <c r="AB279" t="s">
        <v>45</v>
      </c>
      <c r="AC279" t="s">
        <v>46</v>
      </c>
      <c r="AD279" t="s">
        <v>37</v>
      </c>
      <c r="AE279" t="s">
        <v>37</v>
      </c>
      <c r="AF279" t="s">
        <v>1185</v>
      </c>
      <c r="AG279" t="s">
        <v>37</v>
      </c>
      <c r="AH279" t="s">
        <v>1182</v>
      </c>
      <c r="AI279" t="s">
        <v>37</v>
      </c>
    </row>
    <row r="280" spans="1:35" x14ac:dyDescent="0.25">
      <c r="A280" t="s">
        <v>802</v>
      </c>
      <c r="B280" t="s">
        <v>34</v>
      </c>
      <c r="C280" t="s">
        <v>803</v>
      </c>
      <c r="D280" t="s">
        <v>804</v>
      </c>
      <c r="E280" t="s">
        <v>37</v>
      </c>
      <c r="F280" t="s">
        <v>805</v>
      </c>
      <c r="G280" t="s">
        <v>39</v>
      </c>
      <c r="H280" t="s">
        <v>40</v>
      </c>
      <c r="I280" t="s">
        <v>41</v>
      </c>
      <c r="J280" t="s">
        <v>37</v>
      </c>
      <c r="K280" t="s">
        <v>37</v>
      </c>
      <c r="L280" t="s">
        <v>42</v>
      </c>
      <c r="M280" s="6">
        <v>45344.351446759261</v>
      </c>
      <c r="N280" t="s">
        <v>4264</v>
      </c>
      <c r="O280" s="1">
        <v>45344.05978009259</v>
      </c>
      <c r="P280" s="1">
        <v>45344.351493055554</v>
      </c>
      <c r="Q280" t="s">
        <v>4264</v>
      </c>
      <c r="R280" s="6">
        <v>45344.416666666664</v>
      </c>
      <c r="S280" t="s">
        <v>43</v>
      </c>
      <c r="T280">
        <v>19.989999999999998</v>
      </c>
      <c r="U280">
        <v>0</v>
      </c>
      <c r="V280">
        <v>19.989999999999998</v>
      </c>
      <c r="W280">
        <v>0</v>
      </c>
      <c r="X280">
        <v>0</v>
      </c>
      <c r="Y280">
        <v>0</v>
      </c>
      <c r="Z280">
        <v>19.989999999999998</v>
      </c>
      <c r="AA280" t="s">
        <v>44</v>
      </c>
      <c r="AB280" t="s">
        <v>45</v>
      </c>
      <c r="AC280" t="s">
        <v>46</v>
      </c>
      <c r="AD280" t="s">
        <v>37</v>
      </c>
      <c r="AE280" t="s">
        <v>37</v>
      </c>
      <c r="AF280" t="s">
        <v>806</v>
      </c>
      <c r="AG280" t="s">
        <v>37</v>
      </c>
      <c r="AH280" t="s">
        <v>803</v>
      </c>
      <c r="AI280" t="s">
        <v>37</v>
      </c>
    </row>
    <row r="281" spans="1:35" x14ac:dyDescent="0.25">
      <c r="A281" t="s">
        <v>812</v>
      </c>
      <c r="B281" t="s">
        <v>34</v>
      </c>
      <c r="C281" t="s">
        <v>808</v>
      </c>
      <c r="D281" t="s">
        <v>809</v>
      </c>
      <c r="E281" t="s">
        <v>37</v>
      </c>
      <c r="F281" t="s">
        <v>810</v>
      </c>
      <c r="G281" t="s">
        <v>39</v>
      </c>
      <c r="H281" t="s">
        <v>40</v>
      </c>
      <c r="I281" t="s">
        <v>41</v>
      </c>
      <c r="J281" t="s">
        <v>37</v>
      </c>
      <c r="K281" t="s">
        <v>37</v>
      </c>
      <c r="L281" t="s">
        <v>42</v>
      </c>
      <c r="M281" s="6">
        <v>45345.291666666664</v>
      </c>
      <c r="N281" t="s">
        <v>4268</v>
      </c>
      <c r="O281" s="1">
        <v>45345</v>
      </c>
      <c r="P281" s="1">
        <v>45344.358252314814</v>
      </c>
      <c r="Q281" t="s">
        <v>4268</v>
      </c>
      <c r="R281" s="6">
        <v>45345.416666666664</v>
      </c>
      <c r="S281" t="s">
        <v>43</v>
      </c>
      <c r="T281">
        <v>39.979999999999997</v>
      </c>
      <c r="U281">
        <v>0</v>
      </c>
      <c r="V281">
        <v>39.979999999999997</v>
      </c>
      <c r="W281">
        <v>0</v>
      </c>
      <c r="X281">
        <v>0</v>
      </c>
      <c r="Y281">
        <v>0</v>
      </c>
      <c r="Z281">
        <v>39.979999999999997</v>
      </c>
      <c r="AA281" t="s">
        <v>44</v>
      </c>
      <c r="AB281" t="s">
        <v>45</v>
      </c>
      <c r="AC281" t="s">
        <v>46</v>
      </c>
      <c r="AD281" t="s">
        <v>37</v>
      </c>
      <c r="AE281" t="s">
        <v>37</v>
      </c>
      <c r="AF281" t="s">
        <v>811</v>
      </c>
      <c r="AG281" t="s">
        <v>37</v>
      </c>
      <c r="AH281" t="s">
        <v>808</v>
      </c>
      <c r="AI281" t="s">
        <v>37</v>
      </c>
    </row>
    <row r="282" spans="1:35" x14ac:dyDescent="0.25">
      <c r="A282" t="s">
        <v>836</v>
      </c>
      <c r="B282" t="s">
        <v>34</v>
      </c>
      <c r="C282" t="s">
        <v>837</v>
      </c>
      <c r="D282" t="s">
        <v>838</v>
      </c>
      <c r="E282" t="s">
        <v>37</v>
      </c>
      <c r="F282" t="s">
        <v>839</v>
      </c>
      <c r="G282" t="s">
        <v>39</v>
      </c>
      <c r="H282" t="s">
        <v>40</v>
      </c>
      <c r="I282" t="s">
        <v>41</v>
      </c>
      <c r="J282" t="s">
        <v>37</v>
      </c>
      <c r="K282" t="s">
        <v>37</v>
      </c>
      <c r="L282" t="s">
        <v>42</v>
      </c>
      <c r="M282" s="6">
        <v>45345.291666666664</v>
      </c>
      <c r="N282" t="s">
        <v>4268</v>
      </c>
      <c r="O282" s="1">
        <v>45345</v>
      </c>
      <c r="P282" s="1">
        <v>45344.873437499999</v>
      </c>
      <c r="Q282" t="s">
        <v>4268</v>
      </c>
      <c r="R282" s="6">
        <v>45345.416666666664</v>
      </c>
      <c r="S282" t="s">
        <v>43</v>
      </c>
      <c r="T282">
        <v>19.989999999999998</v>
      </c>
      <c r="U282">
        <v>0</v>
      </c>
      <c r="V282">
        <v>19.989999999999998</v>
      </c>
      <c r="W282">
        <v>0</v>
      </c>
      <c r="X282">
        <v>0</v>
      </c>
      <c r="Y282">
        <v>0</v>
      </c>
      <c r="Z282">
        <v>19.989999999999998</v>
      </c>
      <c r="AA282" t="s">
        <v>44</v>
      </c>
      <c r="AB282" t="s">
        <v>45</v>
      </c>
      <c r="AC282" t="s">
        <v>46</v>
      </c>
      <c r="AD282" t="s">
        <v>37</v>
      </c>
      <c r="AE282" t="s">
        <v>37</v>
      </c>
      <c r="AF282" t="s">
        <v>840</v>
      </c>
      <c r="AG282" t="s">
        <v>37</v>
      </c>
      <c r="AH282" t="s">
        <v>837</v>
      </c>
      <c r="AI282" t="s">
        <v>37</v>
      </c>
    </row>
    <row r="283" spans="1:35" x14ac:dyDescent="0.25">
      <c r="A283" t="s">
        <v>769</v>
      </c>
      <c r="B283" t="s">
        <v>34</v>
      </c>
      <c r="C283" t="s">
        <v>770</v>
      </c>
      <c r="D283" t="s">
        <v>771</v>
      </c>
      <c r="E283" t="s">
        <v>37</v>
      </c>
      <c r="F283" t="s">
        <v>772</v>
      </c>
      <c r="G283" t="s">
        <v>39</v>
      </c>
      <c r="H283" t="s">
        <v>40</v>
      </c>
      <c r="I283" t="s">
        <v>41</v>
      </c>
      <c r="J283" t="s">
        <v>37</v>
      </c>
      <c r="K283" t="s">
        <v>37</v>
      </c>
      <c r="L283" t="s">
        <v>42</v>
      </c>
      <c r="M283" s="6">
        <v>45346.291666666664</v>
      </c>
      <c r="N283" t="s">
        <v>4265</v>
      </c>
      <c r="O283" s="1">
        <v>45346</v>
      </c>
      <c r="P283" s="1">
        <v>45318.614872685182</v>
      </c>
      <c r="Q283" t="s">
        <v>4265</v>
      </c>
      <c r="R283" s="6">
        <v>45346.416666666664</v>
      </c>
      <c r="S283" t="s">
        <v>43</v>
      </c>
      <c r="T283">
        <v>24.99</v>
      </c>
      <c r="U283">
        <v>0</v>
      </c>
      <c r="V283">
        <v>0</v>
      </c>
      <c r="W283">
        <v>0</v>
      </c>
      <c r="X283">
        <v>0</v>
      </c>
      <c r="Y283">
        <v>0</v>
      </c>
      <c r="Z283">
        <v>24.99</v>
      </c>
      <c r="AA283" t="s">
        <v>44</v>
      </c>
      <c r="AB283" t="s">
        <v>115</v>
      </c>
      <c r="AC283" t="s">
        <v>116</v>
      </c>
      <c r="AD283" t="s">
        <v>37</v>
      </c>
      <c r="AE283" t="s">
        <v>37</v>
      </c>
      <c r="AF283" t="s">
        <v>37</v>
      </c>
      <c r="AG283" t="s">
        <v>37</v>
      </c>
      <c r="AH283" t="s">
        <v>770</v>
      </c>
      <c r="AI283" t="s">
        <v>37</v>
      </c>
    </row>
    <row r="284" spans="1:35" x14ac:dyDescent="0.25">
      <c r="A284" t="s">
        <v>773</v>
      </c>
      <c r="B284" t="s">
        <v>34</v>
      </c>
      <c r="C284" t="s">
        <v>770</v>
      </c>
      <c r="D284" t="s">
        <v>771</v>
      </c>
      <c r="E284" t="s">
        <v>37</v>
      </c>
      <c r="F284" t="s">
        <v>772</v>
      </c>
      <c r="G284" t="s">
        <v>39</v>
      </c>
      <c r="H284" t="s">
        <v>40</v>
      </c>
      <c r="I284" t="s">
        <v>41</v>
      </c>
      <c r="J284" t="s">
        <v>37</v>
      </c>
      <c r="K284" t="s">
        <v>37</v>
      </c>
      <c r="L284" t="s">
        <v>42</v>
      </c>
      <c r="M284" s="6">
        <v>45346.291666666664</v>
      </c>
      <c r="N284" t="s">
        <v>4265</v>
      </c>
      <c r="O284" s="1">
        <v>45346</v>
      </c>
      <c r="P284" s="1">
        <v>45318.615983796299</v>
      </c>
      <c r="Q284" t="s">
        <v>4265</v>
      </c>
      <c r="R284" s="6">
        <v>45346.416666666664</v>
      </c>
      <c r="S284" t="s">
        <v>43</v>
      </c>
      <c r="T284">
        <v>24.99</v>
      </c>
      <c r="U284">
        <v>0</v>
      </c>
      <c r="V284">
        <v>0</v>
      </c>
      <c r="W284">
        <v>0</v>
      </c>
      <c r="X284">
        <v>0</v>
      </c>
      <c r="Y284">
        <v>0</v>
      </c>
      <c r="Z284">
        <v>24.99</v>
      </c>
      <c r="AA284" t="s">
        <v>44</v>
      </c>
      <c r="AB284" t="s">
        <v>115</v>
      </c>
      <c r="AC284" t="s">
        <v>116</v>
      </c>
      <c r="AD284" t="s">
        <v>37</v>
      </c>
      <c r="AE284" t="s">
        <v>37</v>
      </c>
      <c r="AF284" t="s">
        <v>37</v>
      </c>
      <c r="AG284" t="s">
        <v>37</v>
      </c>
      <c r="AH284" t="s">
        <v>770</v>
      </c>
      <c r="AI284" t="s">
        <v>37</v>
      </c>
    </row>
    <row r="285" spans="1:35" x14ac:dyDescent="0.25">
      <c r="A285" t="s">
        <v>813</v>
      </c>
      <c r="B285" t="s">
        <v>34</v>
      </c>
      <c r="C285" t="s">
        <v>808</v>
      </c>
      <c r="D285" t="s">
        <v>809</v>
      </c>
      <c r="E285" t="s">
        <v>37</v>
      </c>
      <c r="F285" t="s">
        <v>810</v>
      </c>
      <c r="G285" t="s">
        <v>39</v>
      </c>
      <c r="H285" t="s">
        <v>40</v>
      </c>
      <c r="I285" t="s">
        <v>41</v>
      </c>
      <c r="J285" t="s">
        <v>37</v>
      </c>
      <c r="K285" t="s">
        <v>37</v>
      </c>
      <c r="L285" t="s">
        <v>42</v>
      </c>
      <c r="M285" s="6">
        <v>45346.291666666664</v>
      </c>
      <c r="N285" t="s">
        <v>4265</v>
      </c>
      <c r="O285" s="1">
        <v>45346</v>
      </c>
      <c r="P285" s="1">
        <v>45344.360578703701</v>
      </c>
      <c r="Q285" t="s">
        <v>4265</v>
      </c>
      <c r="R285" s="6">
        <v>45346.416666666664</v>
      </c>
      <c r="S285" t="s">
        <v>43</v>
      </c>
      <c r="T285">
        <v>24.99</v>
      </c>
      <c r="U285">
        <v>0</v>
      </c>
      <c r="V285">
        <v>24.99</v>
      </c>
      <c r="W285">
        <v>0</v>
      </c>
      <c r="X285">
        <v>0</v>
      </c>
      <c r="Y285">
        <v>0</v>
      </c>
      <c r="Z285">
        <v>24.99</v>
      </c>
      <c r="AA285" t="s">
        <v>44</v>
      </c>
      <c r="AB285" t="s">
        <v>45</v>
      </c>
      <c r="AC285" t="s">
        <v>46</v>
      </c>
      <c r="AD285" t="s">
        <v>37</v>
      </c>
      <c r="AE285" t="s">
        <v>37</v>
      </c>
      <c r="AF285" t="s">
        <v>814</v>
      </c>
      <c r="AG285" t="s">
        <v>37</v>
      </c>
      <c r="AH285" t="s">
        <v>808</v>
      </c>
      <c r="AI285" t="s">
        <v>37</v>
      </c>
    </row>
    <row r="286" spans="1:35" x14ac:dyDescent="0.25">
      <c r="A286" t="s">
        <v>841</v>
      </c>
      <c r="B286" t="s">
        <v>34</v>
      </c>
      <c r="C286" t="s">
        <v>842</v>
      </c>
      <c r="D286" t="s">
        <v>843</v>
      </c>
      <c r="E286" t="s">
        <v>37</v>
      </c>
      <c r="F286" t="s">
        <v>844</v>
      </c>
      <c r="G286" t="s">
        <v>39</v>
      </c>
      <c r="H286" t="s">
        <v>40</v>
      </c>
      <c r="I286" t="s">
        <v>41</v>
      </c>
      <c r="J286" t="s">
        <v>37</v>
      </c>
      <c r="K286" t="s">
        <v>37</v>
      </c>
      <c r="L286" t="s">
        <v>42</v>
      </c>
      <c r="M286" s="6">
        <v>45346.291666666664</v>
      </c>
      <c r="N286" t="s">
        <v>4265</v>
      </c>
      <c r="O286" s="1">
        <v>45346</v>
      </c>
      <c r="P286" s="1">
        <v>45345.710196759261</v>
      </c>
      <c r="Q286" t="s">
        <v>4265</v>
      </c>
      <c r="R286" s="6">
        <v>45346.416666666664</v>
      </c>
      <c r="S286" t="s">
        <v>43</v>
      </c>
      <c r="T286">
        <v>24.99</v>
      </c>
      <c r="U286">
        <v>0</v>
      </c>
      <c r="V286">
        <v>24.99</v>
      </c>
      <c r="W286">
        <v>0</v>
      </c>
      <c r="X286">
        <v>0</v>
      </c>
      <c r="Y286">
        <v>0</v>
      </c>
      <c r="Z286">
        <v>24.99</v>
      </c>
      <c r="AA286" t="s">
        <v>44</v>
      </c>
      <c r="AB286" t="s">
        <v>45</v>
      </c>
      <c r="AC286" t="s">
        <v>46</v>
      </c>
      <c r="AD286" t="s">
        <v>37</v>
      </c>
      <c r="AE286" t="s">
        <v>37</v>
      </c>
      <c r="AF286" t="s">
        <v>845</v>
      </c>
      <c r="AG286" t="s">
        <v>37</v>
      </c>
      <c r="AH286" t="s">
        <v>842</v>
      </c>
      <c r="AI286" t="s">
        <v>37</v>
      </c>
    </row>
    <row r="287" spans="1:35" x14ac:dyDescent="0.25">
      <c r="A287" t="s">
        <v>846</v>
      </c>
      <c r="B287" t="s">
        <v>34</v>
      </c>
      <c r="C287" t="s">
        <v>847</v>
      </c>
      <c r="D287" t="s">
        <v>848</v>
      </c>
      <c r="E287" t="s">
        <v>37</v>
      </c>
      <c r="F287" t="s">
        <v>849</v>
      </c>
      <c r="G287" t="s">
        <v>39</v>
      </c>
      <c r="H287" t="s">
        <v>40</v>
      </c>
      <c r="I287" t="s">
        <v>41</v>
      </c>
      <c r="J287" t="s">
        <v>37</v>
      </c>
      <c r="K287" t="s">
        <v>37</v>
      </c>
      <c r="L287" t="s">
        <v>42</v>
      </c>
      <c r="M287" s="6">
        <v>45346.291666666664</v>
      </c>
      <c r="N287" t="s">
        <v>4265</v>
      </c>
      <c r="O287" s="1">
        <v>45346</v>
      </c>
      <c r="P287" s="1">
        <v>45346.261192129627</v>
      </c>
      <c r="Q287" t="s">
        <v>4265</v>
      </c>
      <c r="R287" s="6">
        <v>45346.416666666664</v>
      </c>
      <c r="S287" t="s">
        <v>43</v>
      </c>
      <c r="T287">
        <v>24.99</v>
      </c>
      <c r="U287">
        <v>0</v>
      </c>
      <c r="V287">
        <v>24.99</v>
      </c>
      <c r="W287">
        <v>0</v>
      </c>
      <c r="X287">
        <v>0</v>
      </c>
      <c r="Y287">
        <v>0</v>
      </c>
      <c r="Z287">
        <v>24.99</v>
      </c>
      <c r="AA287" t="s">
        <v>44</v>
      </c>
      <c r="AB287" t="s">
        <v>45</v>
      </c>
      <c r="AC287" t="s">
        <v>46</v>
      </c>
      <c r="AD287" t="s">
        <v>37</v>
      </c>
      <c r="AE287" t="s">
        <v>37</v>
      </c>
      <c r="AF287" t="s">
        <v>850</v>
      </c>
      <c r="AG287" t="s">
        <v>37</v>
      </c>
      <c r="AH287" t="s">
        <v>847</v>
      </c>
      <c r="AI287" t="s">
        <v>37</v>
      </c>
    </row>
    <row r="288" spans="1:35" x14ac:dyDescent="0.25">
      <c r="A288" t="s">
        <v>851</v>
      </c>
      <c r="B288" t="s">
        <v>34</v>
      </c>
      <c r="C288" t="s">
        <v>852</v>
      </c>
      <c r="D288" t="s">
        <v>853</v>
      </c>
      <c r="E288" t="s">
        <v>37</v>
      </c>
      <c r="F288" t="s">
        <v>854</v>
      </c>
      <c r="G288" t="s">
        <v>39</v>
      </c>
      <c r="H288" t="s">
        <v>40</v>
      </c>
      <c r="I288" t="s">
        <v>41</v>
      </c>
      <c r="J288" t="s">
        <v>37</v>
      </c>
      <c r="K288" t="s">
        <v>37</v>
      </c>
      <c r="L288" t="s">
        <v>42</v>
      </c>
      <c r="M288" s="6">
        <v>45346.291666666664</v>
      </c>
      <c r="N288" t="s">
        <v>4265</v>
      </c>
      <c r="O288" s="1">
        <v>45346</v>
      </c>
      <c r="P288" s="1">
        <v>45346.317094907405</v>
      </c>
      <c r="Q288" t="s">
        <v>4265</v>
      </c>
      <c r="R288" s="6">
        <v>45346.416666666664</v>
      </c>
      <c r="S288" t="s">
        <v>43</v>
      </c>
      <c r="T288">
        <v>24.99</v>
      </c>
      <c r="U288">
        <v>0</v>
      </c>
      <c r="V288">
        <v>24.99</v>
      </c>
      <c r="W288">
        <v>0</v>
      </c>
      <c r="X288">
        <v>0</v>
      </c>
      <c r="Y288">
        <v>0</v>
      </c>
      <c r="Z288">
        <v>24.99</v>
      </c>
      <c r="AA288" t="s">
        <v>44</v>
      </c>
      <c r="AB288" t="s">
        <v>45</v>
      </c>
      <c r="AC288" t="s">
        <v>46</v>
      </c>
      <c r="AD288" t="s">
        <v>37</v>
      </c>
      <c r="AE288" t="s">
        <v>37</v>
      </c>
      <c r="AF288" t="s">
        <v>855</v>
      </c>
      <c r="AG288" t="s">
        <v>37</v>
      </c>
      <c r="AH288" t="s">
        <v>852</v>
      </c>
      <c r="AI288" t="s">
        <v>37</v>
      </c>
    </row>
    <row r="289" spans="1:35" x14ac:dyDescent="0.25">
      <c r="A289" t="s">
        <v>856</v>
      </c>
      <c r="B289" t="s">
        <v>34</v>
      </c>
      <c r="C289" t="s">
        <v>857</v>
      </c>
      <c r="D289" t="s">
        <v>858</v>
      </c>
      <c r="E289" t="s">
        <v>37</v>
      </c>
      <c r="F289" t="s">
        <v>859</v>
      </c>
      <c r="G289" t="s">
        <v>39</v>
      </c>
      <c r="H289" t="s">
        <v>40</v>
      </c>
      <c r="I289" t="s">
        <v>41</v>
      </c>
      <c r="J289" t="s">
        <v>37</v>
      </c>
      <c r="K289" t="s">
        <v>37</v>
      </c>
      <c r="L289" t="s">
        <v>42</v>
      </c>
      <c r="M289" s="6">
        <v>45346.291666666664</v>
      </c>
      <c r="N289" t="s">
        <v>4265</v>
      </c>
      <c r="O289" s="1">
        <v>45346</v>
      </c>
      <c r="P289" s="1">
        <v>45346.348657407405</v>
      </c>
      <c r="Q289" t="s">
        <v>4265</v>
      </c>
      <c r="R289" s="6">
        <v>45346.416666666664</v>
      </c>
      <c r="S289" t="s">
        <v>43</v>
      </c>
      <c r="T289">
        <v>24.99</v>
      </c>
      <c r="U289">
        <v>0</v>
      </c>
      <c r="V289">
        <v>24.99</v>
      </c>
      <c r="W289">
        <v>0</v>
      </c>
      <c r="X289">
        <v>0</v>
      </c>
      <c r="Y289">
        <v>0</v>
      </c>
      <c r="Z289">
        <v>24.99</v>
      </c>
      <c r="AA289" t="s">
        <v>44</v>
      </c>
      <c r="AB289" t="s">
        <v>45</v>
      </c>
      <c r="AC289" t="s">
        <v>46</v>
      </c>
      <c r="AD289" t="s">
        <v>37</v>
      </c>
      <c r="AE289" t="s">
        <v>37</v>
      </c>
      <c r="AF289" t="s">
        <v>860</v>
      </c>
      <c r="AG289" t="s">
        <v>37</v>
      </c>
      <c r="AH289" t="s">
        <v>857</v>
      </c>
      <c r="AI289" t="s">
        <v>37</v>
      </c>
    </row>
    <row r="290" spans="1:35" x14ac:dyDescent="0.25">
      <c r="A290" t="s">
        <v>861</v>
      </c>
      <c r="B290" t="s">
        <v>34</v>
      </c>
      <c r="C290" t="s">
        <v>862</v>
      </c>
      <c r="D290" t="s">
        <v>863</v>
      </c>
      <c r="E290" t="s">
        <v>37</v>
      </c>
      <c r="F290" t="s">
        <v>864</v>
      </c>
      <c r="G290" t="s">
        <v>39</v>
      </c>
      <c r="H290" t="s">
        <v>40</v>
      </c>
      <c r="I290" t="s">
        <v>41</v>
      </c>
      <c r="J290" t="s">
        <v>37</v>
      </c>
      <c r="K290" t="s">
        <v>37</v>
      </c>
      <c r="L290" t="s">
        <v>42</v>
      </c>
      <c r="M290" s="6">
        <v>45346.291666666664</v>
      </c>
      <c r="N290" t="s">
        <v>4265</v>
      </c>
      <c r="O290" s="1">
        <v>45346</v>
      </c>
      <c r="P290" s="1">
        <v>45346.369699074072</v>
      </c>
      <c r="Q290" t="s">
        <v>4265</v>
      </c>
      <c r="R290" s="6">
        <v>45346.416666666664</v>
      </c>
      <c r="S290" t="s">
        <v>43</v>
      </c>
      <c r="T290">
        <v>24.99</v>
      </c>
      <c r="U290">
        <v>0</v>
      </c>
      <c r="V290">
        <v>0</v>
      </c>
      <c r="W290">
        <v>0</v>
      </c>
      <c r="X290">
        <v>0</v>
      </c>
      <c r="Y290">
        <v>0</v>
      </c>
      <c r="Z290">
        <v>24.99</v>
      </c>
      <c r="AA290" t="s">
        <v>44</v>
      </c>
      <c r="AB290" t="s">
        <v>115</v>
      </c>
      <c r="AC290" t="s">
        <v>116</v>
      </c>
      <c r="AD290" t="s">
        <v>37</v>
      </c>
      <c r="AE290" t="s">
        <v>37</v>
      </c>
      <c r="AF290" t="s">
        <v>37</v>
      </c>
      <c r="AG290" t="s">
        <v>37</v>
      </c>
      <c r="AH290" t="s">
        <v>862</v>
      </c>
      <c r="AI290" t="s">
        <v>37</v>
      </c>
    </row>
    <row r="291" spans="1:35" x14ac:dyDescent="0.25">
      <c r="A291" t="s">
        <v>865</v>
      </c>
      <c r="B291" t="s">
        <v>34</v>
      </c>
      <c r="C291" t="s">
        <v>862</v>
      </c>
      <c r="D291" t="s">
        <v>863</v>
      </c>
      <c r="E291" t="s">
        <v>37</v>
      </c>
      <c r="F291" t="s">
        <v>864</v>
      </c>
      <c r="G291" t="s">
        <v>39</v>
      </c>
      <c r="H291" t="s">
        <v>40</v>
      </c>
      <c r="I291" t="s">
        <v>41</v>
      </c>
      <c r="J291" t="s">
        <v>37</v>
      </c>
      <c r="K291" t="s">
        <v>37</v>
      </c>
      <c r="L291" t="s">
        <v>42</v>
      </c>
      <c r="M291" s="6">
        <v>45346.291666666664</v>
      </c>
      <c r="N291" t="s">
        <v>4265</v>
      </c>
      <c r="O291" s="1">
        <v>45346</v>
      </c>
      <c r="P291" s="1">
        <v>45346.369930555556</v>
      </c>
      <c r="Q291" t="s">
        <v>4265</v>
      </c>
      <c r="R291" s="6">
        <v>45346.416666666664</v>
      </c>
      <c r="S291" t="s">
        <v>43</v>
      </c>
      <c r="T291">
        <v>24.99</v>
      </c>
      <c r="U291">
        <v>0</v>
      </c>
      <c r="V291">
        <v>0</v>
      </c>
      <c r="W291">
        <v>0</v>
      </c>
      <c r="X291">
        <v>0</v>
      </c>
      <c r="Y291">
        <v>0</v>
      </c>
      <c r="Z291">
        <v>24.99</v>
      </c>
      <c r="AA291" t="s">
        <v>44</v>
      </c>
      <c r="AB291" t="s">
        <v>115</v>
      </c>
      <c r="AC291" t="s">
        <v>116</v>
      </c>
      <c r="AD291" t="s">
        <v>37</v>
      </c>
      <c r="AE291" t="s">
        <v>37</v>
      </c>
      <c r="AF291" t="s">
        <v>37</v>
      </c>
      <c r="AG291" t="s">
        <v>37</v>
      </c>
      <c r="AH291" t="s">
        <v>862</v>
      </c>
      <c r="AI291" t="s">
        <v>37</v>
      </c>
    </row>
    <row r="292" spans="1:35" x14ac:dyDescent="0.25">
      <c r="A292" t="s">
        <v>866</v>
      </c>
      <c r="B292" t="s">
        <v>34</v>
      </c>
      <c r="C292" t="s">
        <v>862</v>
      </c>
      <c r="D292" t="s">
        <v>863</v>
      </c>
      <c r="E292" t="s">
        <v>37</v>
      </c>
      <c r="F292" t="s">
        <v>864</v>
      </c>
      <c r="G292" t="s">
        <v>39</v>
      </c>
      <c r="H292" t="s">
        <v>40</v>
      </c>
      <c r="I292" t="s">
        <v>41</v>
      </c>
      <c r="J292" t="s">
        <v>37</v>
      </c>
      <c r="K292" t="s">
        <v>37</v>
      </c>
      <c r="L292" t="s">
        <v>42</v>
      </c>
      <c r="M292" s="6">
        <v>45346.291666666664</v>
      </c>
      <c r="N292" t="s">
        <v>4265</v>
      </c>
      <c r="O292" s="1">
        <v>45346</v>
      </c>
      <c r="P292" s="1">
        <v>45346.370057870372</v>
      </c>
      <c r="Q292" t="s">
        <v>4265</v>
      </c>
      <c r="R292" s="6">
        <v>45346.416666666664</v>
      </c>
      <c r="S292" t="s">
        <v>43</v>
      </c>
      <c r="T292">
        <v>24.99</v>
      </c>
      <c r="U292">
        <v>0</v>
      </c>
      <c r="V292">
        <v>24.99</v>
      </c>
      <c r="W292">
        <v>0</v>
      </c>
      <c r="X292">
        <v>0</v>
      </c>
      <c r="Y292">
        <v>0</v>
      </c>
      <c r="Z292">
        <v>24.99</v>
      </c>
      <c r="AA292" t="s">
        <v>44</v>
      </c>
      <c r="AB292" t="s">
        <v>45</v>
      </c>
      <c r="AC292" t="s">
        <v>46</v>
      </c>
      <c r="AD292" t="s">
        <v>37</v>
      </c>
      <c r="AE292" t="s">
        <v>37</v>
      </c>
      <c r="AF292" t="s">
        <v>867</v>
      </c>
      <c r="AG292" t="s">
        <v>37</v>
      </c>
      <c r="AH292" t="s">
        <v>862</v>
      </c>
      <c r="AI292" t="s">
        <v>37</v>
      </c>
    </row>
    <row r="293" spans="1:35" x14ac:dyDescent="0.25">
      <c r="A293" t="s">
        <v>873</v>
      </c>
      <c r="B293" t="s">
        <v>34</v>
      </c>
      <c r="C293" t="s">
        <v>874</v>
      </c>
      <c r="D293" t="s">
        <v>875</v>
      </c>
      <c r="E293" t="s">
        <v>37</v>
      </c>
      <c r="F293" t="s">
        <v>876</v>
      </c>
      <c r="G293" t="s">
        <v>39</v>
      </c>
      <c r="H293" t="s">
        <v>40</v>
      </c>
      <c r="I293" t="s">
        <v>41</v>
      </c>
      <c r="J293" t="s">
        <v>37</v>
      </c>
      <c r="K293" t="s">
        <v>37</v>
      </c>
      <c r="L293" t="s">
        <v>42</v>
      </c>
      <c r="M293" s="6">
        <v>45346.291666666664</v>
      </c>
      <c r="N293" t="s">
        <v>4265</v>
      </c>
      <c r="O293" s="1">
        <v>45346</v>
      </c>
      <c r="P293" s="1">
        <v>45346.457476851851</v>
      </c>
      <c r="Q293" t="s">
        <v>4265</v>
      </c>
      <c r="R293" s="6">
        <v>45346.416666666664</v>
      </c>
      <c r="S293" t="s">
        <v>43</v>
      </c>
      <c r="T293">
        <v>24.99</v>
      </c>
      <c r="U293">
        <v>0</v>
      </c>
      <c r="V293">
        <v>24.99</v>
      </c>
      <c r="W293">
        <v>0</v>
      </c>
      <c r="X293">
        <v>0</v>
      </c>
      <c r="Y293">
        <v>0</v>
      </c>
      <c r="Z293">
        <v>24.99</v>
      </c>
      <c r="AA293" t="s">
        <v>44</v>
      </c>
      <c r="AB293" t="s">
        <v>45</v>
      </c>
      <c r="AC293" t="s">
        <v>46</v>
      </c>
      <c r="AD293" t="s">
        <v>37</v>
      </c>
      <c r="AE293" t="s">
        <v>37</v>
      </c>
      <c r="AF293" t="s">
        <v>877</v>
      </c>
      <c r="AG293" t="s">
        <v>37</v>
      </c>
      <c r="AH293" t="s">
        <v>874</v>
      </c>
      <c r="AI293" t="s">
        <v>37</v>
      </c>
    </row>
    <row r="294" spans="1:35" x14ac:dyDescent="0.25">
      <c r="A294" t="s">
        <v>878</v>
      </c>
      <c r="B294" t="s">
        <v>34</v>
      </c>
      <c r="C294" t="s">
        <v>879</v>
      </c>
      <c r="D294" t="s">
        <v>880</v>
      </c>
      <c r="E294" t="s">
        <v>37</v>
      </c>
      <c r="F294" t="s">
        <v>881</v>
      </c>
      <c r="G294" t="s">
        <v>39</v>
      </c>
      <c r="H294" t="s">
        <v>40</v>
      </c>
      <c r="I294" t="s">
        <v>41</v>
      </c>
      <c r="J294" t="s">
        <v>37</v>
      </c>
      <c r="K294" t="s">
        <v>37</v>
      </c>
      <c r="L294" t="s">
        <v>42</v>
      </c>
      <c r="M294" s="6">
        <v>45346.291666666664</v>
      </c>
      <c r="N294" t="s">
        <v>4265</v>
      </c>
      <c r="O294" s="1">
        <v>45346</v>
      </c>
      <c r="P294" s="1">
        <v>45346.475127314814</v>
      </c>
      <c r="Q294" t="s">
        <v>4265</v>
      </c>
      <c r="R294" s="6">
        <v>45346.416666666664</v>
      </c>
      <c r="S294" t="s">
        <v>43</v>
      </c>
      <c r="T294">
        <v>24.99</v>
      </c>
      <c r="U294">
        <v>0</v>
      </c>
      <c r="V294">
        <v>24.99</v>
      </c>
      <c r="W294">
        <v>0</v>
      </c>
      <c r="X294">
        <v>0</v>
      </c>
      <c r="Y294">
        <v>0</v>
      </c>
      <c r="Z294">
        <v>24.99</v>
      </c>
      <c r="AA294" t="s">
        <v>44</v>
      </c>
      <c r="AB294" t="s">
        <v>45</v>
      </c>
      <c r="AC294" t="s">
        <v>46</v>
      </c>
      <c r="AD294" t="s">
        <v>37</v>
      </c>
      <c r="AE294" t="s">
        <v>37</v>
      </c>
      <c r="AF294" t="s">
        <v>882</v>
      </c>
      <c r="AG294" t="s">
        <v>37</v>
      </c>
      <c r="AH294" t="s">
        <v>879</v>
      </c>
      <c r="AI294" t="s">
        <v>37</v>
      </c>
    </row>
    <row r="295" spans="1:35" x14ac:dyDescent="0.25">
      <c r="A295" t="s">
        <v>1198</v>
      </c>
      <c r="B295" t="s">
        <v>34</v>
      </c>
      <c r="C295" t="s">
        <v>1199</v>
      </c>
      <c r="D295" t="s">
        <v>1200</v>
      </c>
      <c r="E295" t="s">
        <v>37</v>
      </c>
      <c r="F295" t="s">
        <v>1201</v>
      </c>
      <c r="G295" t="s">
        <v>39</v>
      </c>
      <c r="H295" t="s">
        <v>40</v>
      </c>
      <c r="I295" t="s">
        <v>41</v>
      </c>
      <c r="J295" t="s">
        <v>37</v>
      </c>
      <c r="K295" t="s">
        <v>37</v>
      </c>
      <c r="L295" t="s">
        <v>42</v>
      </c>
      <c r="M295" s="6">
        <v>45346.291666666664</v>
      </c>
      <c r="N295" t="s">
        <v>4265</v>
      </c>
      <c r="O295" s="1">
        <v>45346</v>
      </c>
      <c r="P295" s="1">
        <v>45343.381678240738</v>
      </c>
      <c r="Q295" t="s">
        <v>4265</v>
      </c>
      <c r="R295" s="6">
        <v>45346.416666666664</v>
      </c>
      <c r="S295" t="s">
        <v>43</v>
      </c>
      <c r="T295">
        <v>24.99</v>
      </c>
      <c r="U295">
        <v>0</v>
      </c>
      <c r="V295">
        <v>24.99</v>
      </c>
      <c r="W295">
        <v>0</v>
      </c>
      <c r="X295">
        <v>0</v>
      </c>
      <c r="Y295">
        <v>0</v>
      </c>
      <c r="Z295">
        <v>24.99</v>
      </c>
      <c r="AA295" t="s">
        <v>44</v>
      </c>
      <c r="AB295" t="s">
        <v>45</v>
      </c>
      <c r="AC295" t="s">
        <v>46</v>
      </c>
      <c r="AD295" t="s">
        <v>37</v>
      </c>
      <c r="AE295" t="s">
        <v>37</v>
      </c>
      <c r="AF295" t="s">
        <v>1202</v>
      </c>
      <c r="AG295" t="s">
        <v>37</v>
      </c>
      <c r="AH295" t="s">
        <v>1199</v>
      </c>
      <c r="AI295" t="s">
        <v>37</v>
      </c>
    </row>
    <row r="296" spans="1:35" x14ac:dyDescent="0.25">
      <c r="A296" t="s">
        <v>868</v>
      </c>
      <c r="B296" t="s">
        <v>34</v>
      </c>
      <c r="C296" t="s">
        <v>869</v>
      </c>
      <c r="D296" t="s">
        <v>870</v>
      </c>
      <c r="E296" t="s">
        <v>37</v>
      </c>
      <c r="F296" t="s">
        <v>871</v>
      </c>
      <c r="G296" t="s">
        <v>39</v>
      </c>
      <c r="H296" t="s">
        <v>40</v>
      </c>
      <c r="I296" t="s">
        <v>41</v>
      </c>
      <c r="J296" t="s">
        <v>37</v>
      </c>
      <c r="K296" t="s">
        <v>37</v>
      </c>
      <c r="L296" t="s">
        <v>42</v>
      </c>
      <c r="M296" s="6">
        <v>45346.408078703702</v>
      </c>
      <c r="N296" t="s">
        <v>4265</v>
      </c>
      <c r="O296" s="1">
        <v>45346.116412037038</v>
      </c>
      <c r="P296" s="1">
        <v>45346.408136574071</v>
      </c>
      <c r="Q296" t="s">
        <v>4265</v>
      </c>
      <c r="R296" s="6">
        <v>45346.416666666664</v>
      </c>
      <c r="S296" t="s">
        <v>43</v>
      </c>
      <c r="T296">
        <v>24.99</v>
      </c>
      <c r="U296">
        <v>0</v>
      </c>
      <c r="V296">
        <v>24.99</v>
      </c>
      <c r="W296">
        <v>0</v>
      </c>
      <c r="X296">
        <v>0</v>
      </c>
      <c r="Y296">
        <v>0</v>
      </c>
      <c r="Z296">
        <v>24.99</v>
      </c>
      <c r="AA296" t="s">
        <v>44</v>
      </c>
      <c r="AB296" t="s">
        <v>45</v>
      </c>
      <c r="AC296" t="s">
        <v>46</v>
      </c>
      <c r="AD296" t="s">
        <v>37</v>
      </c>
      <c r="AE296" t="s">
        <v>37</v>
      </c>
      <c r="AF296" t="s">
        <v>872</v>
      </c>
      <c r="AG296" t="s">
        <v>37</v>
      </c>
      <c r="AH296" t="s">
        <v>869</v>
      </c>
      <c r="AI296" t="s">
        <v>37</v>
      </c>
    </row>
    <row r="297" spans="1:35" x14ac:dyDescent="0.25">
      <c r="A297" t="s">
        <v>883</v>
      </c>
      <c r="B297" t="s">
        <v>34</v>
      </c>
      <c r="C297" t="s">
        <v>884</v>
      </c>
      <c r="D297" t="s">
        <v>885</v>
      </c>
      <c r="E297" t="s">
        <v>37</v>
      </c>
      <c r="F297" t="s">
        <v>886</v>
      </c>
      <c r="G297" t="s">
        <v>39</v>
      </c>
      <c r="H297" t="s">
        <v>40</v>
      </c>
      <c r="I297" t="s">
        <v>41</v>
      </c>
      <c r="J297" t="s">
        <v>37</v>
      </c>
      <c r="K297" t="s">
        <v>37</v>
      </c>
      <c r="L297" t="s">
        <v>42</v>
      </c>
      <c r="M297" s="6">
        <v>45346.546655092592</v>
      </c>
      <c r="N297" t="s">
        <v>4265</v>
      </c>
      <c r="O297" s="1">
        <v>45346.254988425928</v>
      </c>
      <c r="P297" s="1">
        <v>45346.546712962961</v>
      </c>
      <c r="Q297" t="s">
        <v>4265</v>
      </c>
      <c r="R297" s="6">
        <v>45346.416666666664</v>
      </c>
      <c r="S297" t="s">
        <v>43</v>
      </c>
      <c r="T297">
        <v>24.99</v>
      </c>
      <c r="U297">
        <v>0</v>
      </c>
      <c r="V297">
        <v>24.99</v>
      </c>
      <c r="W297">
        <v>0</v>
      </c>
      <c r="X297">
        <v>0</v>
      </c>
      <c r="Y297">
        <v>0</v>
      </c>
      <c r="Z297">
        <v>24.99</v>
      </c>
      <c r="AA297" t="s">
        <v>44</v>
      </c>
      <c r="AB297" t="s">
        <v>45</v>
      </c>
      <c r="AC297" t="s">
        <v>46</v>
      </c>
      <c r="AD297" t="s">
        <v>37</v>
      </c>
      <c r="AE297" t="s">
        <v>37</v>
      </c>
      <c r="AF297" t="s">
        <v>887</v>
      </c>
      <c r="AG297" t="s">
        <v>37</v>
      </c>
      <c r="AH297" t="s">
        <v>884</v>
      </c>
      <c r="AI297" t="s">
        <v>37</v>
      </c>
    </row>
    <row r="298" spans="1:35" x14ac:dyDescent="0.25">
      <c r="A298" t="s">
        <v>907</v>
      </c>
      <c r="B298" t="s">
        <v>34</v>
      </c>
      <c r="C298" t="s">
        <v>908</v>
      </c>
      <c r="D298" t="s">
        <v>909</v>
      </c>
      <c r="E298" t="s">
        <v>37</v>
      </c>
      <c r="F298" t="s">
        <v>910</v>
      </c>
      <c r="G298" t="s">
        <v>39</v>
      </c>
      <c r="H298" t="s">
        <v>40</v>
      </c>
      <c r="I298" t="s">
        <v>41</v>
      </c>
      <c r="J298" t="s">
        <v>37</v>
      </c>
      <c r="K298" t="s">
        <v>37</v>
      </c>
      <c r="L298" t="s">
        <v>42</v>
      </c>
      <c r="M298" s="6">
        <v>45347.291666666664</v>
      </c>
      <c r="N298" t="s">
        <v>4266</v>
      </c>
      <c r="O298" s="1">
        <v>45347</v>
      </c>
      <c r="P298" s="1">
        <v>45347.440486111111</v>
      </c>
      <c r="Q298" t="s">
        <v>4266</v>
      </c>
      <c r="R298" s="6">
        <v>45347.416666666664</v>
      </c>
      <c r="S298" t="s">
        <v>43</v>
      </c>
      <c r="T298">
        <v>24.99</v>
      </c>
      <c r="U298">
        <v>0</v>
      </c>
      <c r="V298">
        <v>24.99</v>
      </c>
      <c r="W298">
        <v>0</v>
      </c>
      <c r="X298">
        <v>0</v>
      </c>
      <c r="Y298">
        <v>0</v>
      </c>
      <c r="Z298">
        <v>24.99</v>
      </c>
      <c r="AA298" t="s">
        <v>44</v>
      </c>
      <c r="AB298" t="s">
        <v>45</v>
      </c>
      <c r="AC298" t="s">
        <v>46</v>
      </c>
      <c r="AD298" t="s">
        <v>37</v>
      </c>
      <c r="AE298" t="s">
        <v>37</v>
      </c>
      <c r="AF298" t="s">
        <v>911</v>
      </c>
      <c r="AG298" t="s">
        <v>37</v>
      </c>
      <c r="AH298" t="s">
        <v>908</v>
      </c>
      <c r="AI298" t="s">
        <v>37</v>
      </c>
    </row>
    <row r="299" spans="1:35" x14ac:dyDescent="0.25">
      <c r="A299" t="s">
        <v>1135</v>
      </c>
      <c r="B299" t="s">
        <v>34</v>
      </c>
      <c r="C299" t="s">
        <v>1136</v>
      </c>
      <c r="D299" t="s">
        <v>1137</v>
      </c>
      <c r="E299" t="s">
        <v>37</v>
      </c>
      <c r="F299" t="s">
        <v>1138</v>
      </c>
      <c r="G299" t="s">
        <v>39</v>
      </c>
      <c r="H299" t="s">
        <v>40</v>
      </c>
      <c r="I299" t="s">
        <v>41</v>
      </c>
      <c r="J299" t="s">
        <v>37</v>
      </c>
      <c r="K299" t="s">
        <v>37</v>
      </c>
      <c r="L299" t="s">
        <v>42</v>
      </c>
      <c r="M299" s="6">
        <v>45350.291666666664</v>
      </c>
      <c r="N299" t="s">
        <v>4263</v>
      </c>
      <c r="O299" s="1">
        <v>45350</v>
      </c>
      <c r="P299" s="1">
        <v>45327.923680555556</v>
      </c>
      <c r="Q299" t="s">
        <v>4263</v>
      </c>
      <c r="R299" s="6">
        <v>45350.416666666664</v>
      </c>
      <c r="S299" t="s">
        <v>43</v>
      </c>
      <c r="T299">
        <v>59.97</v>
      </c>
      <c r="U299">
        <v>0</v>
      </c>
      <c r="V299">
        <v>59.97</v>
      </c>
      <c r="W299">
        <v>0</v>
      </c>
      <c r="X299">
        <v>0</v>
      </c>
      <c r="Y299">
        <v>0</v>
      </c>
      <c r="Z299">
        <v>59.97</v>
      </c>
      <c r="AA299" t="s">
        <v>44</v>
      </c>
      <c r="AB299" t="s">
        <v>45</v>
      </c>
      <c r="AC299" t="s">
        <v>46</v>
      </c>
      <c r="AD299" t="s">
        <v>37</v>
      </c>
      <c r="AE299" t="s">
        <v>37</v>
      </c>
      <c r="AF299" t="s">
        <v>1139</v>
      </c>
      <c r="AG299" t="s">
        <v>37</v>
      </c>
      <c r="AH299" t="s">
        <v>1136</v>
      </c>
      <c r="AI299" t="s">
        <v>37</v>
      </c>
    </row>
    <row r="300" spans="1:35" x14ac:dyDescent="0.25">
      <c r="A300" t="s">
        <v>1141</v>
      </c>
      <c r="B300" t="s">
        <v>34</v>
      </c>
      <c r="C300" t="s">
        <v>1142</v>
      </c>
      <c r="D300" t="s">
        <v>1143</v>
      </c>
      <c r="E300" t="s">
        <v>37</v>
      </c>
      <c r="F300" t="s">
        <v>1144</v>
      </c>
      <c r="G300" t="s">
        <v>39</v>
      </c>
      <c r="H300" t="s">
        <v>40</v>
      </c>
      <c r="I300" t="s">
        <v>41</v>
      </c>
      <c r="J300" t="s">
        <v>37</v>
      </c>
      <c r="K300" t="s">
        <v>37</v>
      </c>
      <c r="L300" t="s">
        <v>42</v>
      </c>
      <c r="M300" s="6">
        <v>45350.484212962961</v>
      </c>
      <c r="N300" t="s">
        <v>4263</v>
      </c>
      <c r="O300" s="1">
        <v>45350.192546296297</v>
      </c>
      <c r="P300" s="1">
        <v>45350.484247685185</v>
      </c>
      <c r="Q300" t="s">
        <v>4263</v>
      </c>
      <c r="R300" s="6">
        <v>45350.416666666664</v>
      </c>
      <c r="S300" t="s">
        <v>43</v>
      </c>
      <c r="T300">
        <v>19.989999999999998</v>
      </c>
      <c r="U300">
        <v>0</v>
      </c>
      <c r="V300">
        <v>19.989999999999998</v>
      </c>
      <c r="W300">
        <v>0</v>
      </c>
      <c r="X300">
        <v>0</v>
      </c>
      <c r="Y300">
        <v>0</v>
      </c>
      <c r="Z300">
        <v>19.989999999999998</v>
      </c>
      <c r="AA300" t="s">
        <v>44</v>
      </c>
      <c r="AB300" t="s">
        <v>45</v>
      </c>
      <c r="AC300" t="s">
        <v>46</v>
      </c>
      <c r="AD300" t="s">
        <v>37</v>
      </c>
      <c r="AE300" t="s">
        <v>37</v>
      </c>
      <c r="AF300" t="s">
        <v>1145</v>
      </c>
      <c r="AG300" t="s">
        <v>37</v>
      </c>
      <c r="AH300" t="s">
        <v>1142</v>
      </c>
      <c r="AI300" t="s">
        <v>37</v>
      </c>
    </row>
    <row r="301" spans="1:35" x14ac:dyDescent="0.25">
      <c r="A301" t="s">
        <v>912</v>
      </c>
      <c r="B301" t="s">
        <v>34</v>
      </c>
      <c r="C301" t="s">
        <v>913</v>
      </c>
      <c r="D301" t="s">
        <v>914</v>
      </c>
      <c r="E301" t="s">
        <v>37</v>
      </c>
      <c r="F301" t="s">
        <v>915</v>
      </c>
      <c r="G301" t="s">
        <v>39</v>
      </c>
      <c r="H301" t="s">
        <v>40</v>
      </c>
      <c r="I301" t="s">
        <v>41</v>
      </c>
      <c r="J301" t="s">
        <v>37</v>
      </c>
      <c r="K301" t="s">
        <v>37</v>
      </c>
      <c r="L301" t="s">
        <v>42</v>
      </c>
      <c r="M301" s="6">
        <v>45351.291666666664</v>
      </c>
      <c r="N301" t="s">
        <v>4264</v>
      </c>
      <c r="O301" s="1">
        <v>45351</v>
      </c>
      <c r="P301" s="1">
        <v>45347.70484953704</v>
      </c>
      <c r="Q301" t="s">
        <v>4264</v>
      </c>
      <c r="R301" s="6">
        <v>45351.416666666664</v>
      </c>
      <c r="S301" t="s">
        <v>43</v>
      </c>
      <c r="T301">
        <v>19.989999999999998</v>
      </c>
      <c r="U301">
        <v>0</v>
      </c>
      <c r="V301">
        <v>19.989999999999998</v>
      </c>
      <c r="W301">
        <v>0</v>
      </c>
      <c r="X301">
        <v>0</v>
      </c>
      <c r="Y301">
        <v>0</v>
      </c>
      <c r="Z301">
        <v>19.989999999999998</v>
      </c>
      <c r="AA301" t="s">
        <v>44</v>
      </c>
      <c r="AB301" t="s">
        <v>45</v>
      </c>
      <c r="AC301" t="s">
        <v>46</v>
      </c>
      <c r="AD301" t="s">
        <v>37</v>
      </c>
      <c r="AE301" t="s">
        <v>37</v>
      </c>
      <c r="AF301" t="s">
        <v>916</v>
      </c>
      <c r="AG301" t="s">
        <v>37</v>
      </c>
      <c r="AH301" t="s">
        <v>913</v>
      </c>
      <c r="AI301" t="s">
        <v>37</v>
      </c>
    </row>
    <row r="302" spans="1:35" x14ac:dyDescent="0.25">
      <c r="A302" t="s">
        <v>1014</v>
      </c>
      <c r="B302" t="s">
        <v>34</v>
      </c>
      <c r="C302" t="s">
        <v>1015</v>
      </c>
      <c r="D302" t="s">
        <v>1016</v>
      </c>
      <c r="E302" t="s">
        <v>37</v>
      </c>
      <c r="F302" t="s">
        <v>1017</v>
      </c>
      <c r="G302" t="s">
        <v>39</v>
      </c>
      <c r="H302" t="s">
        <v>40</v>
      </c>
      <c r="I302" t="s">
        <v>41</v>
      </c>
      <c r="J302" t="s">
        <v>37</v>
      </c>
      <c r="K302" t="s">
        <v>37</v>
      </c>
      <c r="L302" t="s">
        <v>42</v>
      </c>
      <c r="M302" s="6">
        <v>45351.291666666664</v>
      </c>
      <c r="N302" t="s">
        <v>4264</v>
      </c>
      <c r="O302" s="1">
        <v>45351</v>
      </c>
      <c r="P302" s="1">
        <v>45349.493703703702</v>
      </c>
      <c r="Q302" t="s">
        <v>4264</v>
      </c>
      <c r="R302" s="6">
        <v>45351.416666666664</v>
      </c>
      <c r="S302" t="s">
        <v>43</v>
      </c>
      <c r="T302">
        <v>19.989999999999998</v>
      </c>
      <c r="U302">
        <v>0</v>
      </c>
      <c r="V302">
        <v>19.989999999999998</v>
      </c>
      <c r="W302">
        <v>0</v>
      </c>
      <c r="X302">
        <v>0</v>
      </c>
      <c r="Y302">
        <v>0</v>
      </c>
      <c r="Z302">
        <v>19.989999999999998</v>
      </c>
      <c r="AA302" t="s">
        <v>44</v>
      </c>
      <c r="AB302" t="s">
        <v>45</v>
      </c>
      <c r="AC302" t="s">
        <v>46</v>
      </c>
      <c r="AD302" t="s">
        <v>37</v>
      </c>
      <c r="AE302" t="s">
        <v>37</v>
      </c>
      <c r="AF302" t="s">
        <v>1018</v>
      </c>
      <c r="AG302" t="s">
        <v>37</v>
      </c>
      <c r="AH302" t="s">
        <v>1019</v>
      </c>
      <c r="AI302" t="s">
        <v>37</v>
      </c>
    </row>
    <row r="303" spans="1:35" x14ac:dyDescent="0.25">
      <c r="A303" t="s">
        <v>1140</v>
      </c>
      <c r="B303" t="s">
        <v>34</v>
      </c>
      <c r="C303" t="s">
        <v>1136</v>
      </c>
      <c r="D303" t="s">
        <v>1137</v>
      </c>
      <c r="E303" t="s">
        <v>37</v>
      </c>
      <c r="F303" t="s">
        <v>1138</v>
      </c>
      <c r="G303" t="s">
        <v>39</v>
      </c>
      <c r="H303" t="s">
        <v>40</v>
      </c>
      <c r="I303" t="s">
        <v>41</v>
      </c>
      <c r="J303" t="s">
        <v>37</v>
      </c>
      <c r="K303" t="s">
        <v>37</v>
      </c>
      <c r="L303" t="s">
        <v>42</v>
      </c>
      <c r="M303" s="6">
        <v>45351.291666666664</v>
      </c>
      <c r="N303" t="s">
        <v>4264</v>
      </c>
      <c r="O303" s="1">
        <v>45351</v>
      </c>
      <c r="P303" s="1">
        <v>45327.923680555556</v>
      </c>
      <c r="Q303" t="s">
        <v>4264</v>
      </c>
      <c r="R303" s="6">
        <v>45351.416666666664</v>
      </c>
      <c r="S303" t="s">
        <v>43</v>
      </c>
      <c r="T303">
        <v>59.97</v>
      </c>
      <c r="U303">
        <v>0</v>
      </c>
      <c r="V303">
        <v>59.97</v>
      </c>
      <c r="W303">
        <v>0</v>
      </c>
      <c r="X303">
        <v>0</v>
      </c>
      <c r="Y303">
        <v>0</v>
      </c>
      <c r="Z303">
        <v>59.97</v>
      </c>
      <c r="AA303" t="s">
        <v>44</v>
      </c>
      <c r="AB303" t="s">
        <v>45</v>
      </c>
      <c r="AC303" t="s">
        <v>46</v>
      </c>
      <c r="AD303" t="s">
        <v>37</v>
      </c>
      <c r="AE303" t="s">
        <v>37</v>
      </c>
      <c r="AF303" t="s">
        <v>1139</v>
      </c>
      <c r="AG303" t="s">
        <v>37</v>
      </c>
      <c r="AH303" t="s">
        <v>1136</v>
      </c>
      <c r="AI303" t="s">
        <v>37</v>
      </c>
    </row>
    <row r="304" spans="1:35" x14ac:dyDescent="0.25">
      <c r="A304" t="s">
        <v>1176</v>
      </c>
      <c r="B304" t="s">
        <v>34</v>
      </c>
      <c r="C304" t="s">
        <v>1177</v>
      </c>
      <c r="D304" t="s">
        <v>1178</v>
      </c>
      <c r="E304" t="s">
        <v>37</v>
      </c>
      <c r="F304" t="s">
        <v>1179</v>
      </c>
      <c r="G304" t="s">
        <v>39</v>
      </c>
      <c r="H304" t="s">
        <v>40</v>
      </c>
      <c r="I304" t="s">
        <v>41</v>
      </c>
      <c r="J304" t="s">
        <v>37</v>
      </c>
      <c r="K304" t="s">
        <v>37</v>
      </c>
      <c r="L304" t="s">
        <v>42</v>
      </c>
      <c r="M304" s="6">
        <v>45351.371180555558</v>
      </c>
      <c r="N304" t="s">
        <v>4264</v>
      </c>
      <c r="O304" s="1">
        <v>45351.079513888886</v>
      </c>
      <c r="P304" s="1">
        <v>45351.371238425927</v>
      </c>
      <c r="Q304" t="s">
        <v>4264</v>
      </c>
      <c r="R304" s="6">
        <v>45351.416666666664</v>
      </c>
      <c r="S304" t="s">
        <v>43</v>
      </c>
      <c r="T304">
        <v>19.989999999999998</v>
      </c>
      <c r="U304">
        <v>0</v>
      </c>
      <c r="V304">
        <v>19.989999999999998</v>
      </c>
      <c r="W304">
        <v>0</v>
      </c>
      <c r="X304">
        <v>0</v>
      </c>
      <c r="Y304">
        <v>0</v>
      </c>
      <c r="Z304">
        <v>19.989999999999998</v>
      </c>
      <c r="AA304" t="s">
        <v>44</v>
      </c>
      <c r="AB304" t="s">
        <v>45</v>
      </c>
      <c r="AC304" t="s">
        <v>46</v>
      </c>
      <c r="AD304" t="s">
        <v>37</v>
      </c>
      <c r="AE304" t="s">
        <v>37</v>
      </c>
      <c r="AF304" t="s">
        <v>1180</v>
      </c>
      <c r="AG304" t="s">
        <v>37</v>
      </c>
      <c r="AH304" t="s">
        <v>1177</v>
      </c>
      <c r="AI304" t="s">
        <v>37</v>
      </c>
    </row>
    <row r="305" spans="1:35" x14ac:dyDescent="0.25">
      <c r="A305" t="s">
        <v>1539</v>
      </c>
      <c r="B305" t="s">
        <v>34</v>
      </c>
      <c r="C305" t="s">
        <v>1506</v>
      </c>
      <c r="D305" t="s">
        <v>1507</v>
      </c>
      <c r="E305" t="s">
        <v>37</v>
      </c>
      <c r="F305" t="s">
        <v>1508</v>
      </c>
      <c r="G305" t="s">
        <v>39</v>
      </c>
      <c r="H305" t="s">
        <v>40</v>
      </c>
      <c r="I305" t="s">
        <v>41</v>
      </c>
      <c r="J305" t="s">
        <v>37</v>
      </c>
      <c r="K305" t="s">
        <v>37</v>
      </c>
      <c r="L305" t="s">
        <v>42</v>
      </c>
      <c r="M305" s="6">
        <v>45352.291666666664</v>
      </c>
      <c r="N305" t="s">
        <v>4268</v>
      </c>
      <c r="O305" s="1">
        <v>45352</v>
      </c>
      <c r="P305" s="1">
        <v>45349.668449074074</v>
      </c>
      <c r="Q305" t="s">
        <v>4268</v>
      </c>
      <c r="R305" s="6">
        <v>45352.416666666664</v>
      </c>
      <c r="S305" t="s">
        <v>43</v>
      </c>
      <c r="T305">
        <v>19.989999999999998</v>
      </c>
      <c r="U305">
        <v>0</v>
      </c>
      <c r="V305">
        <v>19.989999999999998</v>
      </c>
      <c r="W305">
        <v>0</v>
      </c>
      <c r="X305">
        <v>0</v>
      </c>
      <c r="Y305">
        <v>0</v>
      </c>
      <c r="Z305">
        <v>19.989999999999998</v>
      </c>
      <c r="AA305" t="s">
        <v>44</v>
      </c>
      <c r="AB305" t="s">
        <v>45</v>
      </c>
      <c r="AC305" t="s">
        <v>46</v>
      </c>
      <c r="AD305" t="s">
        <v>37</v>
      </c>
      <c r="AE305" t="s">
        <v>37</v>
      </c>
      <c r="AF305" t="s">
        <v>1540</v>
      </c>
      <c r="AG305" t="s">
        <v>37</v>
      </c>
      <c r="AH305" t="s">
        <v>1506</v>
      </c>
      <c r="AI305" t="s">
        <v>37</v>
      </c>
    </row>
    <row r="306" spans="1:35" x14ac:dyDescent="0.25">
      <c r="A306" t="s">
        <v>1582</v>
      </c>
      <c r="B306" t="s">
        <v>34</v>
      </c>
      <c r="C306" t="s">
        <v>1583</v>
      </c>
      <c r="D306" t="s">
        <v>1584</v>
      </c>
      <c r="E306" t="s">
        <v>37</v>
      </c>
      <c r="F306" t="s">
        <v>1585</v>
      </c>
      <c r="G306" t="s">
        <v>39</v>
      </c>
      <c r="H306" t="s">
        <v>40</v>
      </c>
      <c r="I306" t="s">
        <v>41</v>
      </c>
      <c r="J306" t="s">
        <v>37</v>
      </c>
      <c r="K306" t="s">
        <v>37</v>
      </c>
      <c r="L306" t="s">
        <v>42</v>
      </c>
      <c r="M306" s="6">
        <v>45352.291666666664</v>
      </c>
      <c r="N306" t="s">
        <v>4268</v>
      </c>
      <c r="O306" s="1">
        <v>45352</v>
      </c>
      <c r="P306" s="1">
        <v>45327.751886574071</v>
      </c>
      <c r="Q306" t="s">
        <v>4268</v>
      </c>
      <c r="R306" s="6">
        <v>45352.416666666664</v>
      </c>
      <c r="S306" t="s">
        <v>43</v>
      </c>
      <c r="T306">
        <v>19.989999999999998</v>
      </c>
      <c r="U306">
        <v>0</v>
      </c>
      <c r="V306">
        <v>19.989999999999998</v>
      </c>
      <c r="W306">
        <v>0</v>
      </c>
      <c r="X306">
        <v>0</v>
      </c>
      <c r="Y306">
        <v>0</v>
      </c>
      <c r="Z306">
        <v>19.989999999999998</v>
      </c>
      <c r="AA306" t="s">
        <v>44</v>
      </c>
      <c r="AB306" t="s">
        <v>45</v>
      </c>
      <c r="AC306" t="s">
        <v>46</v>
      </c>
      <c r="AD306" t="s">
        <v>37</v>
      </c>
      <c r="AE306" t="s">
        <v>37</v>
      </c>
      <c r="AF306" t="s">
        <v>1586</v>
      </c>
      <c r="AG306" t="s">
        <v>37</v>
      </c>
      <c r="AH306" t="s">
        <v>1583</v>
      </c>
      <c r="AI306" t="s">
        <v>37</v>
      </c>
    </row>
    <row r="307" spans="1:35" x14ac:dyDescent="0.25">
      <c r="A307" t="s">
        <v>1592</v>
      </c>
      <c r="B307" t="s">
        <v>34</v>
      </c>
      <c r="C307" t="s">
        <v>107</v>
      </c>
      <c r="D307" t="s">
        <v>108</v>
      </c>
      <c r="E307" t="s">
        <v>37</v>
      </c>
      <c r="F307" t="s">
        <v>109</v>
      </c>
      <c r="G307" t="s">
        <v>39</v>
      </c>
      <c r="H307" t="s">
        <v>40</v>
      </c>
      <c r="I307" t="s">
        <v>41</v>
      </c>
      <c r="J307" t="s">
        <v>37</v>
      </c>
      <c r="K307" t="s">
        <v>37</v>
      </c>
      <c r="L307" t="s">
        <v>42</v>
      </c>
      <c r="M307" s="6">
        <v>45352.291666666664</v>
      </c>
      <c r="N307" t="s">
        <v>4268</v>
      </c>
      <c r="O307" s="1">
        <v>45352</v>
      </c>
      <c r="P307" s="1">
        <v>45340.719097222223</v>
      </c>
      <c r="Q307" t="s">
        <v>4268</v>
      </c>
      <c r="R307" s="6">
        <v>45352.416666666664</v>
      </c>
      <c r="S307" t="s">
        <v>43</v>
      </c>
      <c r="T307">
        <v>19.989999999999998</v>
      </c>
      <c r="U307">
        <v>0</v>
      </c>
      <c r="V307">
        <v>19.989999999999998</v>
      </c>
      <c r="W307">
        <v>0</v>
      </c>
      <c r="X307">
        <v>0</v>
      </c>
      <c r="Y307">
        <v>0</v>
      </c>
      <c r="Z307">
        <v>19.989999999999998</v>
      </c>
      <c r="AA307" t="s">
        <v>44</v>
      </c>
      <c r="AB307" t="s">
        <v>45</v>
      </c>
      <c r="AC307" t="s">
        <v>46</v>
      </c>
      <c r="AD307" t="s">
        <v>37</v>
      </c>
      <c r="AE307" t="s">
        <v>37</v>
      </c>
      <c r="AF307" t="s">
        <v>1593</v>
      </c>
      <c r="AG307" t="s">
        <v>37</v>
      </c>
      <c r="AH307" t="s">
        <v>107</v>
      </c>
      <c r="AI307" t="s">
        <v>37</v>
      </c>
    </row>
    <row r="308" spans="1:35" x14ac:dyDescent="0.25">
      <c r="A308" t="s">
        <v>1688</v>
      </c>
      <c r="B308" t="s">
        <v>34</v>
      </c>
      <c r="C308" t="s">
        <v>1136</v>
      </c>
      <c r="D308" t="s">
        <v>1137</v>
      </c>
      <c r="E308" t="s">
        <v>37</v>
      </c>
      <c r="F308" t="s">
        <v>1138</v>
      </c>
      <c r="G308" t="s">
        <v>39</v>
      </c>
      <c r="H308" t="s">
        <v>40</v>
      </c>
      <c r="I308" t="s">
        <v>41</v>
      </c>
      <c r="J308" t="s">
        <v>37</v>
      </c>
      <c r="K308" t="s">
        <v>37</v>
      </c>
      <c r="L308" t="s">
        <v>42</v>
      </c>
      <c r="M308" s="6">
        <v>45352.291666666664</v>
      </c>
      <c r="N308" t="s">
        <v>4268</v>
      </c>
      <c r="O308" s="1">
        <v>45352</v>
      </c>
      <c r="P308" s="1">
        <v>45327.923680555556</v>
      </c>
      <c r="Q308" t="s">
        <v>4268</v>
      </c>
      <c r="R308" s="6">
        <v>45352.416666666664</v>
      </c>
      <c r="S308" t="s">
        <v>43</v>
      </c>
      <c r="T308">
        <v>59.97</v>
      </c>
      <c r="U308">
        <v>0</v>
      </c>
      <c r="V308">
        <v>59.97</v>
      </c>
      <c r="W308">
        <v>0</v>
      </c>
      <c r="X308">
        <v>0</v>
      </c>
      <c r="Y308">
        <v>0</v>
      </c>
      <c r="Z308">
        <v>59.97</v>
      </c>
      <c r="AA308" t="s">
        <v>44</v>
      </c>
      <c r="AB308" t="s">
        <v>45</v>
      </c>
      <c r="AC308" t="s">
        <v>46</v>
      </c>
      <c r="AD308" t="s">
        <v>37</v>
      </c>
      <c r="AE308" t="s">
        <v>37</v>
      </c>
      <c r="AF308" t="s">
        <v>1139</v>
      </c>
      <c r="AG308" t="s">
        <v>37</v>
      </c>
      <c r="AH308" t="s">
        <v>1136</v>
      </c>
      <c r="AI308" t="s">
        <v>37</v>
      </c>
    </row>
    <row r="309" spans="1:35" x14ac:dyDescent="0.25">
      <c r="A309" t="s">
        <v>1703</v>
      </c>
      <c r="B309" t="s">
        <v>34</v>
      </c>
      <c r="C309" t="s">
        <v>1704</v>
      </c>
      <c r="D309" t="s">
        <v>1705</v>
      </c>
      <c r="E309" t="s">
        <v>37</v>
      </c>
      <c r="F309" t="s">
        <v>1706</v>
      </c>
      <c r="G309" t="s">
        <v>39</v>
      </c>
      <c r="H309" t="s">
        <v>40</v>
      </c>
      <c r="I309" t="s">
        <v>41</v>
      </c>
      <c r="J309" t="s">
        <v>37</v>
      </c>
      <c r="K309" t="s">
        <v>37</v>
      </c>
      <c r="L309" t="s">
        <v>42</v>
      </c>
      <c r="M309" s="6">
        <v>45352.291666666664</v>
      </c>
      <c r="N309" t="s">
        <v>4268</v>
      </c>
      <c r="O309" s="1">
        <v>45352</v>
      </c>
      <c r="P309" s="1">
        <v>45350.41615740741</v>
      </c>
      <c r="Q309" t="s">
        <v>4268</v>
      </c>
      <c r="R309" s="6">
        <v>45352.416666666664</v>
      </c>
      <c r="S309" t="s">
        <v>43</v>
      </c>
      <c r="T309">
        <v>19.989999999999998</v>
      </c>
      <c r="U309">
        <v>0</v>
      </c>
      <c r="V309">
        <v>19.989999999999998</v>
      </c>
      <c r="W309">
        <v>0</v>
      </c>
      <c r="X309">
        <v>0</v>
      </c>
      <c r="Y309">
        <v>0</v>
      </c>
      <c r="Z309">
        <v>19.989999999999998</v>
      </c>
      <c r="AA309" t="s">
        <v>44</v>
      </c>
      <c r="AB309" t="s">
        <v>45</v>
      </c>
      <c r="AC309" t="s">
        <v>46</v>
      </c>
      <c r="AD309" t="s">
        <v>37</v>
      </c>
      <c r="AE309" t="s">
        <v>37</v>
      </c>
      <c r="AF309" t="s">
        <v>1707</v>
      </c>
      <c r="AG309" t="s">
        <v>37</v>
      </c>
      <c r="AH309" t="s">
        <v>1704</v>
      </c>
      <c r="AI309" t="s">
        <v>37</v>
      </c>
    </row>
    <row r="310" spans="1:35" x14ac:dyDescent="0.25">
      <c r="A310" t="s">
        <v>1708</v>
      </c>
      <c r="B310" t="s">
        <v>34</v>
      </c>
      <c r="C310" t="s">
        <v>1678</v>
      </c>
      <c r="D310" t="s">
        <v>1679</v>
      </c>
      <c r="E310" t="s">
        <v>37</v>
      </c>
      <c r="F310" t="s">
        <v>1680</v>
      </c>
      <c r="G310" t="s">
        <v>39</v>
      </c>
      <c r="H310" t="s">
        <v>40</v>
      </c>
      <c r="I310" t="s">
        <v>41</v>
      </c>
      <c r="J310" t="s">
        <v>37</v>
      </c>
      <c r="K310" t="s">
        <v>37</v>
      </c>
      <c r="L310" t="s">
        <v>42</v>
      </c>
      <c r="M310" s="6">
        <v>45352.291666666664</v>
      </c>
      <c r="N310" t="s">
        <v>4268</v>
      </c>
      <c r="O310" s="1">
        <v>45352</v>
      </c>
      <c r="P310" s="1">
        <v>45350.549884259257</v>
      </c>
      <c r="Q310" t="s">
        <v>4268</v>
      </c>
      <c r="R310" s="6">
        <v>45352.416666666664</v>
      </c>
      <c r="S310" t="s">
        <v>43</v>
      </c>
      <c r="T310">
        <v>19.989999999999998</v>
      </c>
      <c r="U310">
        <v>0</v>
      </c>
      <c r="V310">
        <v>19.989999999999998</v>
      </c>
      <c r="W310">
        <v>0</v>
      </c>
      <c r="X310">
        <v>0</v>
      </c>
      <c r="Y310">
        <v>0</v>
      </c>
      <c r="Z310">
        <v>19.989999999999998</v>
      </c>
      <c r="AA310" t="s">
        <v>44</v>
      </c>
      <c r="AB310" t="s">
        <v>45</v>
      </c>
      <c r="AC310" t="s">
        <v>46</v>
      </c>
      <c r="AD310" t="s">
        <v>37</v>
      </c>
      <c r="AE310" t="s">
        <v>37</v>
      </c>
      <c r="AF310" t="s">
        <v>1709</v>
      </c>
      <c r="AG310" t="s">
        <v>37</v>
      </c>
      <c r="AH310" t="s">
        <v>1678</v>
      </c>
      <c r="AI310" t="s">
        <v>37</v>
      </c>
    </row>
    <row r="311" spans="1:35" x14ac:dyDescent="0.25">
      <c r="A311" t="s">
        <v>1710</v>
      </c>
      <c r="B311" t="s">
        <v>34</v>
      </c>
      <c r="C311" t="s">
        <v>1711</v>
      </c>
      <c r="D311" t="s">
        <v>1712</v>
      </c>
      <c r="E311" t="s">
        <v>37</v>
      </c>
      <c r="F311" t="s">
        <v>1713</v>
      </c>
      <c r="G311" t="s">
        <v>39</v>
      </c>
      <c r="H311" t="s">
        <v>40</v>
      </c>
      <c r="I311" t="s">
        <v>41</v>
      </c>
      <c r="J311" t="s">
        <v>37</v>
      </c>
      <c r="K311" t="s">
        <v>37</v>
      </c>
      <c r="L311" t="s">
        <v>42</v>
      </c>
      <c r="M311" s="6">
        <v>45352.291666666664</v>
      </c>
      <c r="N311" t="s">
        <v>4268</v>
      </c>
      <c r="O311" s="1">
        <v>45352</v>
      </c>
      <c r="P311" s="1">
        <v>45350.553854166668</v>
      </c>
      <c r="Q311" t="s">
        <v>4268</v>
      </c>
      <c r="R311" s="6">
        <v>45352.416666666664</v>
      </c>
      <c r="S311" t="s">
        <v>43</v>
      </c>
      <c r="T311">
        <v>19.989999999999998</v>
      </c>
      <c r="U311">
        <v>0</v>
      </c>
      <c r="V311">
        <v>19.989999999999998</v>
      </c>
      <c r="W311">
        <v>0</v>
      </c>
      <c r="X311">
        <v>0</v>
      </c>
      <c r="Y311">
        <v>0</v>
      </c>
      <c r="Z311">
        <v>19.989999999999998</v>
      </c>
      <c r="AA311" t="s">
        <v>44</v>
      </c>
      <c r="AB311" t="s">
        <v>45</v>
      </c>
      <c r="AC311" t="s">
        <v>46</v>
      </c>
      <c r="AD311" t="s">
        <v>37</v>
      </c>
      <c r="AE311" t="s">
        <v>37</v>
      </c>
      <c r="AF311" t="s">
        <v>1714</v>
      </c>
      <c r="AG311" t="s">
        <v>37</v>
      </c>
      <c r="AH311" t="s">
        <v>1711</v>
      </c>
      <c r="AI311" t="s">
        <v>37</v>
      </c>
    </row>
    <row r="312" spans="1:35" x14ac:dyDescent="0.25">
      <c r="A312" t="s">
        <v>1767</v>
      </c>
      <c r="B312" t="s">
        <v>34</v>
      </c>
      <c r="C312" t="s">
        <v>1768</v>
      </c>
      <c r="D312" t="s">
        <v>1769</v>
      </c>
      <c r="E312" t="s">
        <v>37</v>
      </c>
      <c r="F312" t="s">
        <v>1770</v>
      </c>
      <c r="G312" t="s">
        <v>39</v>
      </c>
      <c r="H312" t="s">
        <v>40</v>
      </c>
      <c r="I312" t="s">
        <v>41</v>
      </c>
      <c r="J312" t="s">
        <v>37</v>
      </c>
      <c r="K312" t="s">
        <v>37</v>
      </c>
      <c r="L312" t="s">
        <v>42</v>
      </c>
      <c r="M312" s="6">
        <v>45352.291666666664</v>
      </c>
      <c r="N312" t="s">
        <v>4268</v>
      </c>
      <c r="O312" s="1">
        <v>45352</v>
      </c>
      <c r="P312" s="1">
        <v>45351.726701388892</v>
      </c>
      <c r="Q312" t="s">
        <v>4268</v>
      </c>
      <c r="R312" s="6">
        <v>45352.416666666664</v>
      </c>
      <c r="S312" t="s">
        <v>43</v>
      </c>
      <c r="T312">
        <v>19.989999999999998</v>
      </c>
      <c r="U312">
        <v>0</v>
      </c>
      <c r="V312">
        <v>19.989999999999998</v>
      </c>
      <c r="W312">
        <v>0</v>
      </c>
      <c r="X312">
        <v>0</v>
      </c>
      <c r="Y312">
        <v>0</v>
      </c>
      <c r="Z312">
        <v>19.989999999999998</v>
      </c>
      <c r="AA312" t="s">
        <v>44</v>
      </c>
      <c r="AB312" t="s">
        <v>45</v>
      </c>
      <c r="AC312" t="s">
        <v>46</v>
      </c>
      <c r="AD312" t="s">
        <v>37</v>
      </c>
      <c r="AE312" t="s">
        <v>37</v>
      </c>
      <c r="AF312" t="s">
        <v>1771</v>
      </c>
      <c r="AG312" t="s">
        <v>37</v>
      </c>
      <c r="AH312" t="s">
        <v>1768</v>
      </c>
      <c r="AI312" t="s">
        <v>37</v>
      </c>
    </row>
    <row r="313" spans="1:35" x14ac:dyDescent="0.25">
      <c r="A313" t="s">
        <v>1786</v>
      </c>
      <c r="B313" t="s">
        <v>34</v>
      </c>
      <c r="C313" t="s">
        <v>1787</v>
      </c>
      <c r="D313" t="s">
        <v>1788</v>
      </c>
      <c r="E313" t="s">
        <v>37</v>
      </c>
      <c r="F313" t="s">
        <v>1789</v>
      </c>
      <c r="G313" t="s">
        <v>39</v>
      </c>
      <c r="H313" t="s">
        <v>40</v>
      </c>
      <c r="I313" t="s">
        <v>41</v>
      </c>
      <c r="J313" t="s">
        <v>37</v>
      </c>
      <c r="K313" t="s">
        <v>37</v>
      </c>
      <c r="L313" t="s">
        <v>42</v>
      </c>
      <c r="M313" s="6">
        <v>45352.291666666664</v>
      </c>
      <c r="N313" t="s">
        <v>4268</v>
      </c>
      <c r="O313" s="1">
        <v>45352</v>
      </c>
      <c r="P313" s="1">
        <v>45351.92528935185</v>
      </c>
      <c r="Q313" t="s">
        <v>4268</v>
      </c>
      <c r="R313" s="6">
        <v>45352.416666666664</v>
      </c>
      <c r="S313" t="s">
        <v>43</v>
      </c>
      <c r="T313">
        <v>19.989999999999998</v>
      </c>
      <c r="U313">
        <v>0</v>
      </c>
      <c r="V313">
        <v>19.989999999999998</v>
      </c>
      <c r="W313">
        <v>0</v>
      </c>
      <c r="X313">
        <v>0</v>
      </c>
      <c r="Y313">
        <v>0</v>
      </c>
      <c r="Z313">
        <v>19.989999999999998</v>
      </c>
      <c r="AA313" t="s">
        <v>44</v>
      </c>
      <c r="AB313" t="s">
        <v>45</v>
      </c>
      <c r="AC313" t="s">
        <v>46</v>
      </c>
      <c r="AD313" t="s">
        <v>37</v>
      </c>
      <c r="AE313" t="s">
        <v>37</v>
      </c>
      <c r="AF313" t="s">
        <v>1790</v>
      </c>
      <c r="AG313" t="s">
        <v>37</v>
      </c>
      <c r="AH313" t="s">
        <v>1787</v>
      </c>
      <c r="AI313" t="s">
        <v>37</v>
      </c>
    </row>
    <row r="314" spans="1:35" x14ac:dyDescent="0.25">
      <c r="A314" t="s">
        <v>1815</v>
      </c>
      <c r="B314" t="s">
        <v>34</v>
      </c>
      <c r="C314" t="s">
        <v>1816</v>
      </c>
      <c r="D314" t="s">
        <v>1817</v>
      </c>
      <c r="E314" t="s">
        <v>37</v>
      </c>
      <c r="F314" t="s">
        <v>1818</v>
      </c>
      <c r="G314" t="s">
        <v>39</v>
      </c>
      <c r="H314" t="s">
        <v>40</v>
      </c>
      <c r="I314" t="s">
        <v>41</v>
      </c>
      <c r="J314" t="s">
        <v>37</v>
      </c>
      <c r="K314" t="s">
        <v>37</v>
      </c>
      <c r="L314" t="s">
        <v>42</v>
      </c>
      <c r="M314" s="6">
        <v>45352.291666666664</v>
      </c>
      <c r="N314" t="s">
        <v>4268</v>
      </c>
      <c r="O314" s="1">
        <v>45352</v>
      </c>
      <c r="P314" s="1">
        <v>45352.364201388889</v>
      </c>
      <c r="Q314" t="s">
        <v>4268</v>
      </c>
      <c r="R314" s="6">
        <v>45352.416666666664</v>
      </c>
      <c r="S314" t="s">
        <v>43</v>
      </c>
      <c r="T314">
        <v>19.989999999999998</v>
      </c>
      <c r="U314">
        <v>0</v>
      </c>
      <c r="V314">
        <v>19.989999999999998</v>
      </c>
      <c r="W314">
        <v>0</v>
      </c>
      <c r="X314">
        <v>0</v>
      </c>
      <c r="Y314">
        <v>0</v>
      </c>
      <c r="Z314">
        <v>19.989999999999998</v>
      </c>
      <c r="AA314" t="s">
        <v>44</v>
      </c>
      <c r="AB314" t="s">
        <v>45</v>
      </c>
      <c r="AC314" t="s">
        <v>46</v>
      </c>
      <c r="AD314" t="s">
        <v>37</v>
      </c>
      <c r="AE314" t="s">
        <v>37</v>
      </c>
      <c r="AF314" t="s">
        <v>1819</v>
      </c>
      <c r="AG314" t="s">
        <v>37</v>
      </c>
      <c r="AH314" t="s">
        <v>1816</v>
      </c>
      <c r="AI314" t="s">
        <v>37</v>
      </c>
    </row>
    <row r="315" spans="1:35" x14ac:dyDescent="0.25">
      <c r="A315" t="s">
        <v>1820</v>
      </c>
      <c r="B315" t="s">
        <v>34</v>
      </c>
      <c r="C315" t="s">
        <v>913</v>
      </c>
      <c r="D315" t="s">
        <v>914</v>
      </c>
      <c r="E315" t="s">
        <v>37</v>
      </c>
      <c r="F315" t="s">
        <v>915</v>
      </c>
      <c r="G315" t="s">
        <v>39</v>
      </c>
      <c r="H315" t="s">
        <v>40</v>
      </c>
      <c r="I315" t="s">
        <v>41</v>
      </c>
      <c r="J315" t="s">
        <v>37</v>
      </c>
      <c r="K315" t="s">
        <v>37</v>
      </c>
      <c r="L315" t="s">
        <v>42</v>
      </c>
      <c r="M315" s="6">
        <v>45352.369479166664</v>
      </c>
      <c r="N315" t="s">
        <v>4268</v>
      </c>
      <c r="O315" s="1">
        <v>45352.0778125</v>
      </c>
      <c r="P315" s="1">
        <v>45352.369537037041</v>
      </c>
      <c r="Q315" t="s">
        <v>4268</v>
      </c>
      <c r="R315" s="6">
        <v>45352.416666666664</v>
      </c>
      <c r="S315" t="s">
        <v>43</v>
      </c>
      <c r="T315">
        <v>19.989999999999998</v>
      </c>
      <c r="U315">
        <v>0</v>
      </c>
      <c r="V315">
        <v>19.989999999999998</v>
      </c>
      <c r="W315">
        <v>0</v>
      </c>
      <c r="X315">
        <v>0</v>
      </c>
      <c r="Y315">
        <v>0</v>
      </c>
      <c r="Z315">
        <v>19.989999999999998</v>
      </c>
      <c r="AA315" t="s">
        <v>44</v>
      </c>
      <c r="AB315" t="s">
        <v>45</v>
      </c>
      <c r="AC315" t="s">
        <v>46</v>
      </c>
      <c r="AD315" t="s">
        <v>37</v>
      </c>
      <c r="AE315" t="s">
        <v>37</v>
      </c>
      <c r="AF315" t="s">
        <v>1821</v>
      </c>
      <c r="AG315" t="s">
        <v>37</v>
      </c>
      <c r="AH315" t="s">
        <v>913</v>
      </c>
      <c r="AI315" t="s">
        <v>37</v>
      </c>
    </row>
    <row r="316" spans="1:35" x14ac:dyDescent="0.25">
      <c r="A316" t="s">
        <v>1822</v>
      </c>
      <c r="B316" t="s">
        <v>34</v>
      </c>
      <c r="C316" t="s">
        <v>1177</v>
      </c>
      <c r="D316" t="s">
        <v>1178</v>
      </c>
      <c r="E316" t="s">
        <v>37</v>
      </c>
      <c r="F316" t="s">
        <v>1179</v>
      </c>
      <c r="G316" t="s">
        <v>39</v>
      </c>
      <c r="H316" t="s">
        <v>40</v>
      </c>
      <c r="I316" t="s">
        <v>41</v>
      </c>
      <c r="J316" t="s">
        <v>37</v>
      </c>
      <c r="K316" t="s">
        <v>37</v>
      </c>
      <c r="L316" t="s">
        <v>42</v>
      </c>
      <c r="M316" s="6">
        <v>45352.373877314814</v>
      </c>
      <c r="N316" t="s">
        <v>4268</v>
      </c>
      <c r="O316" s="1">
        <v>45352.08221064815</v>
      </c>
      <c r="P316" s="1">
        <v>45352.373935185184</v>
      </c>
      <c r="Q316" t="s">
        <v>4268</v>
      </c>
      <c r="R316" s="6">
        <v>45352.416666666664</v>
      </c>
      <c r="S316" t="s">
        <v>43</v>
      </c>
      <c r="T316">
        <v>19.989999999999998</v>
      </c>
      <c r="U316">
        <v>0</v>
      </c>
      <c r="V316">
        <v>19.989999999999998</v>
      </c>
      <c r="W316">
        <v>0</v>
      </c>
      <c r="X316">
        <v>0</v>
      </c>
      <c r="Y316">
        <v>0</v>
      </c>
      <c r="Z316">
        <v>19.989999999999998</v>
      </c>
      <c r="AA316" t="s">
        <v>44</v>
      </c>
      <c r="AB316" t="s">
        <v>45</v>
      </c>
      <c r="AC316" t="s">
        <v>46</v>
      </c>
      <c r="AD316" t="s">
        <v>37</v>
      </c>
      <c r="AE316" t="s">
        <v>37</v>
      </c>
      <c r="AF316" t="s">
        <v>1823</v>
      </c>
      <c r="AG316" t="s">
        <v>37</v>
      </c>
      <c r="AH316" t="s">
        <v>1177</v>
      </c>
      <c r="AI316" t="s">
        <v>37</v>
      </c>
    </row>
    <row r="317" spans="1:35" x14ac:dyDescent="0.25">
      <c r="A317" t="s">
        <v>1830</v>
      </c>
      <c r="B317" t="s">
        <v>34</v>
      </c>
      <c r="C317" t="s">
        <v>1831</v>
      </c>
      <c r="D317" t="s">
        <v>1832</v>
      </c>
      <c r="E317" t="s">
        <v>37</v>
      </c>
      <c r="F317" t="s">
        <v>1833</v>
      </c>
      <c r="G317" t="s">
        <v>39</v>
      </c>
      <c r="H317" t="s">
        <v>40</v>
      </c>
      <c r="I317" t="s">
        <v>41</v>
      </c>
      <c r="J317" t="s">
        <v>37</v>
      </c>
      <c r="K317" t="s">
        <v>37</v>
      </c>
      <c r="L317" t="s">
        <v>42</v>
      </c>
      <c r="M317" s="6">
        <v>45352.437326388892</v>
      </c>
      <c r="N317" t="s">
        <v>4268</v>
      </c>
      <c r="O317" s="1">
        <v>45352.14565972222</v>
      </c>
      <c r="P317" s="1">
        <v>45352.437384259261</v>
      </c>
      <c r="Q317" t="s">
        <v>4268</v>
      </c>
      <c r="R317" s="6">
        <v>45352.416666666664</v>
      </c>
      <c r="S317" t="s">
        <v>43</v>
      </c>
      <c r="T317">
        <v>19.989999999999998</v>
      </c>
      <c r="U317">
        <v>0</v>
      </c>
      <c r="V317">
        <v>19.989999999999998</v>
      </c>
      <c r="W317">
        <v>0</v>
      </c>
      <c r="X317">
        <v>0</v>
      </c>
      <c r="Y317">
        <v>0</v>
      </c>
      <c r="Z317">
        <v>19.989999999999998</v>
      </c>
      <c r="AA317" t="s">
        <v>44</v>
      </c>
      <c r="AB317" t="s">
        <v>45</v>
      </c>
      <c r="AC317" t="s">
        <v>46</v>
      </c>
      <c r="AD317" t="s">
        <v>37</v>
      </c>
      <c r="AE317" t="s">
        <v>37</v>
      </c>
      <c r="AF317" t="s">
        <v>1834</v>
      </c>
      <c r="AG317" t="s">
        <v>37</v>
      </c>
      <c r="AH317" t="s">
        <v>1831</v>
      </c>
      <c r="AI317" t="s">
        <v>37</v>
      </c>
    </row>
    <row r="318" spans="1:35" x14ac:dyDescent="0.25">
      <c r="A318" t="s">
        <v>1837</v>
      </c>
      <c r="B318" t="s">
        <v>34</v>
      </c>
      <c r="C318" t="s">
        <v>1838</v>
      </c>
      <c r="D318" t="s">
        <v>1839</v>
      </c>
      <c r="E318" t="s">
        <v>37</v>
      </c>
      <c r="F318" t="s">
        <v>1840</v>
      </c>
      <c r="G318" t="s">
        <v>39</v>
      </c>
      <c r="H318" t="s">
        <v>40</v>
      </c>
      <c r="I318" t="s">
        <v>41</v>
      </c>
      <c r="J318" t="s">
        <v>37</v>
      </c>
      <c r="K318" t="s">
        <v>37</v>
      </c>
      <c r="L318" t="s">
        <v>42</v>
      </c>
      <c r="M318" s="6">
        <v>45352.4453587963</v>
      </c>
      <c r="N318" t="s">
        <v>4268</v>
      </c>
      <c r="O318" s="1">
        <v>45352.153692129628</v>
      </c>
      <c r="P318" s="1">
        <v>45352.445416666669</v>
      </c>
      <c r="Q318" t="s">
        <v>4268</v>
      </c>
      <c r="R318" s="6">
        <v>45352.416666666664</v>
      </c>
      <c r="S318" t="s">
        <v>43</v>
      </c>
      <c r="T318">
        <v>19.989999999999998</v>
      </c>
      <c r="U318">
        <v>0</v>
      </c>
      <c r="V318">
        <v>19.989999999999998</v>
      </c>
      <c r="W318">
        <v>0</v>
      </c>
      <c r="X318">
        <v>0</v>
      </c>
      <c r="Y318">
        <v>0</v>
      </c>
      <c r="Z318">
        <v>19.989999999999998</v>
      </c>
      <c r="AA318" t="s">
        <v>44</v>
      </c>
      <c r="AB318" t="s">
        <v>45</v>
      </c>
      <c r="AC318" t="s">
        <v>46</v>
      </c>
      <c r="AD318" t="s">
        <v>37</v>
      </c>
      <c r="AE318" t="s">
        <v>37</v>
      </c>
      <c r="AF318" t="s">
        <v>1841</v>
      </c>
      <c r="AG318" t="s">
        <v>37</v>
      </c>
      <c r="AH318" t="s">
        <v>1842</v>
      </c>
      <c r="AI318" t="s">
        <v>37</v>
      </c>
    </row>
    <row r="319" spans="1:35" x14ac:dyDescent="0.25">
      <c r="A319" t="s">
        <v>1260</v>
      </c>
      <c r="B319" t="s">
        <v>34</v>
      </c>
      <c r="C319" t="s">
        <v>770</v>
      </c>
      <c r="D319" t="s">
        <v>771</v>
      </c>
      <c r="E319" t="s">
        <v>37</v>
      </c>
      <c r="F319" t="s">
        <v>772</v>
      </c>
      <c r="G319" t="s">
        <v>39</v>
      </c>
      <c r="H319" t="s">
        <v>40</v>
      </c>
      <c r="I319" t="s">
        <v>41</v>
      </c>
      <c r="J319" t="s">
        <v>37</v>
      </c>
      <c r="K319" t="s">
        <v>37</v>
      </c>
      <c r="L319" t="s">
        <v>42</v>
      </c>
      <c r="M319" s="6">
        <v>45353</v>
      </c>
      <c r="N319" t="s">
        <v>4268</v>
      </c>
      <c r="O319" s="1">
        <v>45352.708333333336</v>
      </c>
      <c r="P319" s="1">
        <v>45319.598217592589</v>
      </c>
      <c r="Q319" t="s">
        <v>4265</v>
      </c>
      <c r="R319" s="6">
        <v>45353.125</v>
      </c>
      <c r="S319" t="s">
        <v>43</v>
      </c>
      <c r="T319">
        <v>24.99</v>
      </c>
      <c r="U319">
        <v>0</v>
      </c>
      <c r="V319">
        <v>24.99</v>
      </c>
      <c r="W319">
        <v>0</v>
      </c>
      <c r="X319">
        <v>0</v>
      </c>
      <c r="Y319">
        <v>0</v>
      </c>
      <c r="Z319">
        <v>24.99</v>
      </c>
      <c r="AA319" t="s">
        <v>44</v>
      </c>
      <c r="AB319" t="s">
        <v>45</v>
      </c>
      <c r="AC319" t="s">
        <v>46</v>
      </c>
      <c r="AD319" t="s">
        <v>37</v>
      </c>
      <c r="AE319" t="s">
        <v>37</v>
      </c>
      <c r="AF319" t="s">
        <v>1261</v>
      </c>
      <c r="AG319" t="s">
        <v>37</v>
      </c>
      <c r="AH319" t="s">
        <v>770</v>
      </c>
      <c r="AI319" t="s">
        <v>37</v>
      </c>
    </row>
    <row r="320" spans="1:35" x14ac:dyDescent="0.25">
      <c r="A320" t="s">
        <v>1271</v>
      </c>
      <c r="B320" t="s">
        <v>34</v>
      </c>
      <c r="C320" t="s">
        <v>1272</v>
      </c>
      <c r="D320" t="s">
        <v>1273</v>
      </c>
      <c r="E320" t="s">
        <v>37</v>
      </c>
      <c r="F320" t="s">
        <v>1274</v>
      </c>
      <c r="G320" t="s">
        <v>39</v>
      </c>
      <c r="H320" t="s">
        <v>40</v>
      </c>
      <c r="I320" t="s">
        <v>41</v>
      </c>
      <c r="J320" t="s">
        <v>37</v>
      </c>
      <c r="K320" t="s">
        <v>37</v>
      </c>
      <c r="L320" t="s">
        <v>42</v>
      </c>
      <c r="M320" s="6">
        <v>45353.291666666664</v>
      </c>
      <c r="N320" t="s">
        <v>4265</v>
      </c>
      <c r="O320" s="1">
        <v>45353</v>
      </c>
      <c r="P320" s="1">
        <v>45319.773321759261</v>
      </c>
      <c r="Q320" t="s">
        <v>4265</v>
      </c>
      <c r="R320" s="6">
        <v>45353.416666666664</v>
      </c>
      <c r="S320" t="s">
        <v>43</v>
      </c>
      <c r="T320">
        <v>49.98</v>
      </c>
      <c r="U320">
        <v>0</v>
      </c>
      <c r="V320">
        <v>49.98</v>
      </c>
      <c r="W320">
        <v>0</v>
      </c>
      <c r="X320">
        <v>0</v>
      </c>
      <c r="Y320">
        <v>0</v>
      </c>
      <c r="Z320">
        <v>49.98</v>
      </c>
      <c r="AA320" t="s">
        <v>44</v>
      </c>
      <c r="AB320" t="s">
        <v>45</v>
      </c>
      <c r="AC320" t="s">
        <v>46</v>
      </c>
      <c r="AD320" t="s">
        <v>37</v>
      </c>
      <c r="AE320" t="s">
        <v>37</v>
      </c>
      <c r="AF320" t="s">
        <v>1275</v>
      </c>
      <c r="AG320" t="s">
        <v>37</v>
      </c>
      <c r="AH320" t="s">
        <v>1276</v>
      </c>
      <c r="AI320" t="s">
        <v>37</v>
      </c>
    </row>
    <row r="321" spans="1:35" x14ac:dyDescent="0.25">
      <c r="A321" t="s">
        <v>1505</v>
      </c>
      <c r="B321" t="s">
        <v>34</v>
      </c>
      <c r="C321" t="s">
        <v>1506</v>
      </c>
      <c r="D321" t="s">
        <v>1507</v>
      </c>
      <c r="E321" t="s">
        <v>37</v>
      </c>
      <c r="F321" t="s">
        <v>1508</v>
      </c>
      <c r="G321" t="s">
        <v>39</v>
      </c>
      <c r="H321" t="s">
        <v>40</v>
      </c>
      <c r="I321" t="s">
        <v>41</v>
      </c>
      <c r="J321" t="s">
        <v>37</v>
      </c>
      <c r="K321" t="s">
        <v>37</v>
      </c>
      <c r="L321" t="s">
        <v>42</v>
      </c>
      <c r="M321" s="6">
        <v>45353.291666666664</v>
      </c>
      <c r="N321" t="s">
        <v>4265</v>
      </c>
      <c r="O321" s="1">
        <v>45353</v>
      </c>
      <c r="P321" s="1">
        <v>45349.678749999999</v>
      </c>
      <c r="Q321" t="s">
        <v>4265</v>
      </c>
      <c r="R321" s="6">
        <v>45353.416666666664</v>
      </c>
      <c r="S321" t="s">
        <v>43</v>
      </c>
      <c r="T321">
        <v>49.98</v>
      </c>
      <c r="U321">
        <v>0</v>
      </c>
      <c r="V321">
        <v>49.98</v>
      </c>
      <c r="W321">
        <v>0</v>
      </c>
      <c r="X321">
        <v>0</v>
      </c>
      <c r="Y321">
        <v>0</v>
      </c>
      <c r="Z321">
        <v>49.98</v>
      </c>
      <c r="AA321" t="s">
        <v>44</v>
      </c>
      <c r="AB321" t="s">
        <v>45</v>
      </c>
      <c r="AC321" t="s">
        <v>46</v>
      </c>
      <c r="AD321" t="s">
        <v>37</v>
      </c>
      <c r="AE321" t="s">
        <v>37</v>
      </c>
      <c r="AF321" t="s">
        <v>1509</v>
      </c>
      <c r="AG321" t="s">
        <v>37</v>
      </c>
      <c r="AH321" t="s">
        <v>1506</v>
      </c>
      <c r="AI321" t="s">
        <v>37</v>
      </c>
    </row>
    <row r="322" spans="1:35" x14ac:dyDescent="0.25">
      <c r="A322" t="s">
        <v>1677</v>
      </c>
      <c r="B322" t="s">
        <v>34</v>
      </c>
      <c r="C322" t="s">
        <v>1678</v>
      </c>
      <c r="D322" t="s">
        <v>1679</v>
      </c>
      <c r="E322" t="s">
        <v>37</v>
      </c>
      <c r="F322" t="s">
        <v>1680</v>
      </c>
      <c r="G322" t="s">
        <v>39</v>
      </c>
      <c r="H322" t="s">
        <v>40</v>
      </c>
      <c r="I322" t="s">
        <v>41</v>
      </c>
      <c r="J322" t="s">
        <v>37</v>
      </c>
      <c r="K322" t="s">
        <v>37</v>
      </c>
      <c r="L322" t="s">
        <v>42</v>
      </c>
      <c r="M322" s="6">
        <v>45353.291666666664</v>
      </c>
      <c r="N322" t="s">
        <v>4265</v>
      </c>
      <c r="O322" s="1">
        <v>45353</v>
      </c>
      <c r="P322" s="1">
        <v>45350.549097222225</v>
      </c>
      <c r="Q322" t="s">
        <v>4265</v>
      </c>
      <c r="R322" s="6">
        <v>45353.416666666664</v>
      </c>
      <c r="S322" t="s">
        <v>43</v>
      </c>
      <c r="T322">
        <v>49.98</v>
      </c>
      <c r="U322">
        <v>0</v>
      </c>
      <c r="V322">
        <v>49.98</v>
      </c>
      <c r="W322">
        <v>0</v>
      </c>
      <c r="X322">
        <v>0</v>
      </c>
      <c r="Y322">
        <v>0</v>
      </c>
      <c r="Z322">
        <v>49.98</v>
      </c>
      <c r="AA322" t="s">
        <v>44</v>
      </c>
      <c r="AB322" t="s">
        <v>45</v>
      </c>
      <c r="AC322" t="s">
        <v>46</v>
      </c>
      <c r="AD322" t="s">
        <v>37</v>
      </c>
      <c r="AE322" t="s">
        <v>37</v>
      </c>
      <c r="AF322" t="s">
        <v>1681</v>
      </c>
      <c r="AG322" t="s">
        <v>37</v>
      </c>
      <c r="AH322" t="s">
        <v>1678</v>
      </c>
      <c r="AI322" t="s">
        <v>37</v>
      </c>
    </row>
    <row r="323" spans="1:35" x14ac:dyDescent="0.25">
      <c r="A323" t="s">
        <v>1689</v>
      </c>
      <c r="B323" t="s">
        <v>34</v>
      </c>
      <c r="C323" t="s">
        <v>1136</v>
      </c>
      <c r="D323" t="s">
        <v>1137</v>
      </c>
      <c r="E323" t="s">
        <v>37</v>
      </c>
      <c r="F323" t="s">
        <v>1138</v>
      </c>
      <c r="G323" t="s">
        <v>39</v>
      </c>
      <c r="H323" t="s">
        <v>40</v>
      </c>
      <c r="I323" t="s">
        <v>41</v>
      </c>
      <c r="J323" t="s">
        <v>37</v>
      </c>
      <c r="K323" t="s">
        <v>37</v>
      </c>
      <c r="L323" t="s">
        <v>42</v>
      </c>
      <c r="M323" s="6">
        <v>45353.291666666664</v>
      </c>
      <c r="N323" t="s">
        <v>4265</v>
      </c>
      <c r="O323" s="1">
        <v>45353</v>
      </c>
      <c r="P323" s="1">
        <v>45327.925613425927</v>
      </c>
      <c r="Q323" t="s">
        <v>4265</v>
      </c>
      <c r="R323" s="6">
        <v>45353.416666666664</v>
      </c>
      <c r="S323" t="s">
        <v>43</v>
      </c>
      <c r="T323">
        <v>24.99</v>
      </c>
      <c r="U323">
        <v>0</v>
      </c>
      <c r="V323">
        <v>24.99</v>
      </c>
      <c r="W323">
        <v>0</v>
      </c>
      <c r="X323">
        <v>0</v>
      </c>
      <c r="Y323">
        <v>0</v>
      </c>
      <c r="Z323">
        <v>24.99</v>
      </c>
      <c r="AA323" t="s">
        <v>44</v>
      </c>
      <c r="AB323" t="s">
        <v>45</v>
      </c>
      <c r="AC323" t="s">
        <v>46</v>
      </c>
      <c r="AD323" t="s">
        <v>37</v>
      </c>
      <c r="AE323" t="s">
        <v>37</v>
      </c>
      <c r="AF323" t="s">
        <v>1690</v>
      </c>
      <c r="AG323" t="s">
        <v>37</v>
      </c>
      <c r="AH323" t="s">
        <v>1136</v>
      </c>
      <c r="AI323" t="s">
        <v>37</v>
      </c>
    </row>
    <row r="324" spans="1:35" x14ac:dyDescent="0.25">
      <c r="A324" t="s">
        <v>1715</v>
      </c>
      <c r="B324" t="s">
        <v>34</v>
      </c>
      <c r="C324" t="s">
        <v>1711</v>
      </c>
      <c r="D324" t="s">
        <v>1712</v>
      </c>
      <c r="E324" t="s">
        <v>37</v>
      </c>
      <c r="F324" t="s">
        <v>1713</v>
      </c>
      <c r="G324" t="s">
        <v>39</v>
      </c>
      <c r="H324" t="s">
        <v>40</v>
      </c>
      <c r="I324" t="s">
        <v>41</v>
      </c>
      <c r="J324" t="s">
        <v>37</v>
      </c>
      <c r="K324" t="s">
        <v>37</v>
      </c>
      <c r="L324" t="s">
        <v>42</v>
      </c>
      <c r="M324" s="6">
        <v>45353.291666666664</v>
      </c>
      <c r="N324" t="s">
        <v>4265</v>
      </c>
      <c r="O324" s="1">
        <v>45353</v>
      </c>
      <c r="P324" s="1">
        <v>45350.555208333331</v>
      </c>
      <c r="Q324" t="s">
        <v>4265</v>
      </c>
      <c r="R324" s="6">
        <v>45353.416666666664</v>
      </c>
      <c r="S324" t="s">
        <v>43</v>
      </c>
      <c r="T324">
        <v>49.98</v>
      </c>
      <c r="U324">
        <v>0</v>
      </c>
      <c r="V324">
        <v>49.98</v>
      </c>
      <c r="W324">
        <v>0</v>
      </c>
      <c r="X324">
        <v>0</v>
      </c>
      <c r="Y324">
        <v>0</v>
      </c>
      <c r="Z324">
        <v>49.98</v>
      </c>
      <c r="AA324" t="s">
        <v>44</v>
      </c>
      <c r="AB324" t="s">
        <v>45</v>
      </c>
      <c r="AC324" t="s">
        <v>46</v>
      </c>
      <c r="AD324" t="s">
        <v>37</v>
      </c>
      <c r="AE324" t="s">
        <v>37</v>
      </c>
      <c r="AF324" t="s">
        <v>1716</v>
      </c>
      <c r="AG324" t="s">
        <v>37</v>
      </c>
      <c r="AH324" t="s">
        <v>1711</v>
      </c>
      <c r="AI324" t="s">
        <v>37</v>
      </c>
    </row>
    <row r="325" spans="1:35" x14ac:dyDescent="0.25">
      <c r="A325" t="s">
        <v>1722</v>
      </c>
      <c r="B325" t="s">
        <v>34</v>
      </c>
      <c r="C325" t="s">
        <v>1723</v>
      </c>
      <c r="D325" t="s">
        <v>1724</v>
      </c>
      <c r="E325" t="s">
        <v>37</v>
      </c>
      <c r="F325" t="s">
        <v>1725</v>
      </c>
      <c r="G325" t="s">
        <v>39</v>
      </c>
      <c r="H325" t="s">
        <v>40</v>
      </c>
      <c r="I325" t="s">
        <v>41</v>
      </c>
      <c r="J325" t="s">
        <v>37</v>
      </c>
      <c r="K325" t="s">
        <v>37</v>
      </c>
      <c r="L325" t="s">
        <v>42</v>
      </c>
      <c r="M325" s="6">
        <v>45353.291666666664</v>
      </c>
      <c r="N325" t="s">
        <v>4265</v>
      </c>
      <c r="O325" s="1">
        <v>45353</v>
      </c>
      <c r="P325" s="1">
        <v>45350.682604166665</v>
      </c>
      <c r="Q325" t="s">
        <v>4265</v>
      </c>
      <c r="R325" s="6">
        <v>45353.416666666664</v>
      </c>
      <c r="S325" t="s">
        <v>43</v>
      </c>
      <c r="T325">
        <v>24.99</v>
      </c>
      <c r="U325">
        <v>0</v>
      </c>
      <c r="V325">
        <v>24.99</v>
      </c>
      <c r="W325">
        <v>0</v>
      </c>
      <c r="X325">
        <v>0</v>
      </c>
      <c r="Y325">
        <v>0</v>
      </c>
      <c r="Z325">
        <v>24.99</v>
      </c>
      <c r="AA325" t="s">
        <v>44</v>
      </c>
      <c r="AB325" t="s">
        <v>45</v>
      </c>
      <c r="AC325" t="s">
        <v>46</v>
      </c>
      <c r="AD325" t="s">
        <v>37</v>
      </c>
      <c r="AE325" t="s">
        <v>37</v>
      </c>
      <c r="AF325" t="s">
        <v>1726</v>
      </c>
      <c r="AG325" t="s">
        <v>37</v>
      </c>
      <c r="AH325" t="s">
        <v>1723</v>
      </c>
      <c r="AI325" t="s">
        <v>37</v>
      </c>
    </row>
    <row r="326" spans="1:35" x14ac:dyDescent="0.25">
      <c r="A326" t="s">
        <v>1752</v>
      </c>
      <c r="B326" t="s">
        <v>34</v>
      </c>
      <c r="C326" t="s">
        <v>1753</v>
      </c>
      <c r="D326" t="s">
        <v>1754</v>
      </c>
      <c r="E326" t="s">
        <v>37</v>
      </c>
      <c r="F326" t="s">
        <v>1755</v>
      </c>
      <c r="G326" t="s">
        <v>39</v>
      </c>
      <c r="H326" t="s">
        <v>40</v>
      </c>
      <c r="I326" t="s">
        <v>41</v>
      </c>
      <c r="J326" t="s">
        <v>37</v>
      </c>
      <c r="K326" t="s">
        <v>37</v>
      </c>
      <c r="L326" t="s">
        <v>42</v>
      </c>
      <c r="M326" s="6">
        <v>45353.291666666664</v>
      </c>
      <c r="N326" t="s">
        <v>4265</v>
      </c>
      <c r="O326" s="1">
        <v>45353</v>
      </c>
      <c r="P326" s="1">
        <v>45351.627928240741</v>
      </c>
      <c r="Q326" t="s">
        <v>4265</v>
      </c>
      <c r="R326" s="6">
        <v>45353.416666666664</v>
      </c>
      <c r="S326" t="s">
        <v>43</v>
      </c>
      <c r="T326">
        <v>24.99</v>
      </c>
      <c r="U326">
        <v>0</v>
      </c>
      <c r="V326">
        <v>24.99</v>
      </c>
      <c r="W326">
        <v>0</v>
      </c>
      <c r="X326">
        <v>0</v>
      </c>
      <c r="Y326">
        <v>0</v>
      </c>
      <c r="Z326">
        <v>24.99</v>
      </c>
      <c r="AA326" t="s">
        <v>44</v>
      </c>
      <c r="AB326" t="s">
        <v>45</v>
      </c>
      <c r="AC326" t="s">
        <v>46</v>
      </c>
      <c r="AD326" t="s">
        <v>37</v>
      </c>
      <c r="AE326" t="s">
        <v>37</v>
      </c>
      <c r="AF326" t="s">
        <v>1756</v>
      </c>
      <c r="AG326" t="s">
        <v>37</v>
      </c>
      <c r="AH326" t="s">
        <v>1753</v>
      </c>
      <c r="AI326" t="s">
        <v>37</v>
      </c>
    </row>
    <row r="327" spans="1:35" x14ac:dyDescent="0.25">
      <c r="A327" t="s">
        <v>1762</v>
      </c>
      <c r="B327" t="s">
        <v>34</v>
      </c>
      <c r="C327" t="s">
        <v>1763</v>
      </c>
      <c r="D327" t="s">
        <v>1764</v>
      </c>
      <c r="E327" t="s">
        <v>37</v>
      </c>
      <c r="F327" t="s">
        <v>1765</v>
      </c>
      <c r="G327" t="s">
        <v>39</v>
      </c>
      <c r="H327" t="s">
        <v>40</v>
      </c>
      <c r="I327" t="s">
        <v>41</v>
      </c>
      <c r="J327" t="s">
        <v>37</v>
      </c>
      <c r="K327" t="s">
        <v>37</v>
      </c>
      <c r="L327" t="s">
        <v>42</v>
      </c>
      <c r="M327" s="6">
        <v>45353.291666666664</v>
      </c>
      <c r="N327" t="s">
        <v>4265</v>
      </c>
      <c r="O327" s="1">
        <v>45353</v>
      </c>
      <c r="P327" s="1">
        <v>45351.693009259259</v>
      </c>
      <c r="Q327" t="s">
        <v>4265</v>
      </c>
      <c r="R327" s="6">
        <v>45353.416666666664</v>
      </c>
      <c r="S327" t="s">
        <v>43</v>
      </c>
      <c r="T327">
        <v>24.99</v>
      </c>
      <c r="U327">
        <v>0</v>
      </c>
      <c r="V327">
        <v>24.99</v>
      </c>
      <c r="W327">
        <v>0</v>
      </c>
      <c r="X327">
        <v>0</v>
      </c>
      <c r="Y327">
        <v>0</v>
      </c>
      <c r="Z327">
        <v>24.99</v>
      </c>
      <c r="AA327" t="s">
        <v>44</v>
      </c>
      <c r="AB327" t="s">
        <v>45</v>
      </c>
      <c r="AC327" t="s">
        <v>46</v>
      </c>
      <c r="AD327" t="s">
        <v>37</v>
      </c>
      <c r="AE327" t="s">
        <v>37</v>
      </c>
      <c r="AF327" t="s">
        <v>1766</v>
      </c>
      <c r="AG327" t="s">
        <v>37</v>
      </c>
      <c r="AH327" t="s">
        <v>1763</v>
      </c>
      <c r="AI327" t="s">
        <v>37</v>
      </c>
    </row>
    <row r="328" spans="1:35" x14ac:dyDescent="0.25">
      <c r="A328" t="s">
        <v>1772</v>
      </c>
      <c r="B328" t="s">
        <v>34</v>
      </c>
      <c r="C328" t="s">
        <v>1773</v>
      </c>
      <c r="D328" t="s">
        <v>1774</v>
      </c>
      <c r="E328" t="s">
        <v>37</v>
      </c>
      <c r="F328" t="s">
        <v>1775</v>
      </c>
      <c r="G328" t="s">
        <v>39</v>
      </c>
      <c r="H328" t="s">
        <v>40</v>
      </c>
      <c r="I328" t="s">
        <v>41</v>
      </c>
      <c r="J328" t="s">
        <v>37</v>
      </c>
      <c r="K328" t="s">
        <v>37</v>
      </c>
      <c r="L328" t="s">
        <v>42</v>
      </c>
      <c r="M328" s="6">
        <v>45353.291666666664</v>
      </c>
      <c r="N328" t="s">
        <v>4265</v>
      </c>
      <c r="O328" s="1">
        <v>45353</v>
      </c>
      <c r="P328" s="1">
        <v>45351.742152777777</v>
      </c>
      <c r="Q328" t="s">
        <v>4265</v>
      </c>
      <c r="R328" s="6">
        <v>45353.416666666664</v>
      </c>
      <c r="S328" t="s">
        <v>43</v>
      </c>
      <c r="T328">
        <v>24.99</v>
      </c>
      <c r="U328">
        <v>0</v>
      </c>
      <c r="V328">
        <v>24.99</v>
      </c>
      <c r="W328">
        <v>0</v>
      </c>
      <c r="X328">
        <v>0</v>
      </c>
      <c r="Y328">
        <v>0</v>
      </c>
      <c r="Z328">
        <v>24.99</v>
      </c>
      <c r="AA328" t="s">
        <v>44</v>
      </c>
      <c r="AB328" t="s">
        <v>45</v>
      </c>
      <c r="AC328" t="s">
        <v>46</v>
      </c>
      <c r="AD328" t="s">
        <v>37</v>
      </c>
      <c r="AE328" t="s">
        <v>37</v>
      </c>
      <c r="AF328" t="s">
        <v>1776</v>
      </c>
      <c r="AG328" t="s">
        <v>37</v>
      </c>
      <c r="AH328" t="s">
        <v>1773</v>
      </c>
      <c r="AI328" t="s">
        <v>37</v>
      </c>
    </row>
    <row r="329" spans="1:35" x14ac:dyDescent="0.25">
      <c r="A329" t="s">
        <v>1781</v>
      </c>
      <c r="B329" t="s">
        <v>34</v>
      </c>
      <c r="C329" t="s">
        <v>1782</v>
      </c>
      <c r="D329" t="s">
        <v>1783</v>
      </c>
      <c r="E329" t="s">
        <v>37</v>
      </c>
      <c r="F329" t="s">
        <v>1784</v>
      </c>
      <c r="G329" t="s">
        <v>39</v>
      </c>
      <c r="H329" t="s">
        <v>40</v>
      </c>
      <c r="I329" t="s">
        <v>41</v>
      </c>
      <c r="J329" t="s">
        <v>37</v>
      </c>
      <c r="K329" t="s">
        <v>37</v>
      </c>
      <c r="L329" t="s">
        <v>42</v>
      </c>
      <c r="M329" s="6">
        <v>45353.291666666664</v>
      </c>
      <c r="N329" t="s">
        <v>4265</v>
      </c>
      <c r="O329" s="1">
        <v>45353</v>
      </c>
      <c r="P329" s="1">
        <v>45351.89471064815</v>
      </c>
      <c r="Q329" t="s">
        <v>4265</v>
      </c>
      <c r="R329" s="6">
        <v>45353.416666666664</v>
      </c>
      <c r="S329" t="s">
        <v>43</v>
      </c>
      <c r="T329">
        <v>24.99</v>
      </c>
      <c r="U329">
        <v>0</v>
      </c>
      <c r="V329">
        <v>24.99</v>
      </c>
      <c r="W329">
        <v>0</v>
      </c>
      <c r="X329">
        <v>0</v>
      </c>
      <c r="Y329">
        <v>0</v>
      </c>
      <c r="Z329">
        <v>24.99</v>
      </c>
      <c r="AA329" t="s">
        <v>44</v>
      </c>
      <c r="AB329" t="s">
        <v>45</v>
      </c>
      <c r="AC329" t="s">
        <v>46</v>
      </c>
      <c r="AD329" t="s">
        <v>37</v>
      </c>
      <c r="AE329" t="s">
        <v>37</v>
      </c>
      <c r="AF329" t="s">
        <v>1785</v>
      </c>
      <c r="AG329" t="s">
        <v>37</v>
      </c>
      <c r="AH329" t="s">
        <v>1782</v>
      </c>
      <c r="AI329" t="s">
        <v>37</v>
      </c>
    </row>
    <row r="330" spans="1:35" x14ac:dyDescent="0.25">
      <c r="A330" t="s">
        <v>1791</v>
      </c>
      <c r="B330" t="s">
        <v>34</v>
      </c>
      <c r="C330" t="s">
        <v>1792</v>
      </c>
      <c r="D330" t="s">
        <v>1793</v>
      </c>
      <c r="E330" t="s">
        <v>37</v>
      </c>
      <c r="F330" t="s">
        <v>1794</v>
      </c>
      <c r="G330" t="s">
        <v>39</v>
      </c>
      <c r="H330" t="s">
        <v>40</v>
      </c>
      <c r="I330" t="s">
        <v>41</v>
      </c>
      <c r="J330" t="s">
        <v>37</v>
      </c>
      <c r="K330" t="s">
        <v>37</v>
      </c>
      <c r="L330" t="s">
        <v>42</v>
      </c>
      <c r="M330" s="6">
        <v>45353.291666666664</v>
      </c>
      <c r="N330" t="s">
        <v>4265</v>
      </c>
      <c r="O330" s="1">
        <v>45353</v>
      </c>
      <c r="P330" s="1">
        <v>45351.933703703704</v>
      </c>
      <c r="Q330" t="s">
        <v>4265</v>
      </c>
      <c r="R330" s="6">
        <v>45353.416666666664</v>
      </c>
      <c r="S330" t="s">
        <v>43</v>
      </c>
      <c r="T330">
        <v>24.99</v>
      </c>
      <c r="U330">
        <v>0</v>
      </c>
      <c r="V330">
        <v>24.99</v>
      </c>
      <c r="W330">
        <v>0</v>
      </c>
      <c r="X330">
        <v>0</v>
      </c>
      <c r="Y330">
        <v>0</v>
      </c>
      <c r="Z330">
        <v>24.99</v>
      </c>
      <c r="AA330" t="s">
        <v>44</v>
      </c>
      <c r="AB330" t="s">
        <v>45</v>
      </c>
      <c r="AC330" t="s">
        <v>46</v>
      </c>
      <c r="AD330" t="s">
        <v>37</v>
      </c>
      <c r="AE330" t="s">
        <v>37</v>
      </c>
      <c r="AF330" t="s">
        <v>1795</v>
      </c>
      <c r="AG330" t="s">
        <v>37</v>
      </c>
      <c r="AH330" t="s">
        <v>1792</v>
      </c>
      <c r="AI330" t="s">
        <v>37</v>
      </c>
    </row>
    <row r="331" spans="1:35" x14ac:dyDescent="0.25">
      <c r="A331" t="s">
        <v>1806</v>
      </c>
      <c r="B331" t="s">
        <v>34</v>
      </c>
      <c r="C331" t="s">
        <v>1787</v>
      </c>
      <c r="D331" t="s">
        <v>1788</v>
      </c>
      <c r="E331" t="s">
        <v>37</v>
      </c>
      <c r="F331" t="s">
        <v>1789</v>
      </c>
      <c r="G331" t="s">
        <v>39</v>
      </c>
      <c r="H331" t="s">
        <v>40</v>
      </c>
      <c r="I331" t="s">
        <v>41</v>
      </c>
      <c r="J331" t="s">
        <v>37</v>
      </c>
      <c r="K331" t="s">
        <v>37</v>
      </c>
      <c r="L331" t="s">
        <v>42</v>
      </c>
      <c r="M331" s="6">
        <v>45353.291666666664</v>
      </c>
      <c r="N331" t="s">
        <v>4265</v>
      </c>
      <c r="O331" s="1">
        <v>45353</v>
      </c>
      <c r="P331" s="1">
        <v>45352.294490740744</v>
      </c>
      <c r="Q331" t="s">
        <v>4265</v>
      </c>
      <c r="R331" s="6">
        <v>45353.416666666664</v>
      </c>
      <c r="S331" t="s">
        <v>43</v>
      </c>
      <c r="T331">
        <v>24.99</v>
      </c>
      <c r="U331">
        <v>0</v>
      </c>
      <c r="V331">
        <v>24.99</v>
      </c>
      <c r="W331">
        <v>0</v>
      </c>
      <c r="X331">
        <v>0</v>
      </c>
      <c r="Y331">
        <v>0</v>
      </c>
      <c r="Z331">
        <v>24.99</v>
      </c>
      <c r="AA331" t="s">
        <v>44</v>
      </c>
      <c r="AB331" t="s">
        <v>45</v>
      </c>
      <c r="AC331" t="s">
        <v>46</v>
      </c>
      <c r="AD331" t="s">
        <v>37</v>
      </c>
      <c r="AE331" t="s">
        <v>37</v>
      </c>
      <c r="AF331" t="s">
        <v>1807</v>
      </c>
      <c r="AG331" t="s">
        <v>37</v>
      </c>
      <c r="AH331" t="s">
        <v>1787</v>
      </c>
      <c r="AI331" t="s">
        <v>37</v>
      </c>
    </row>
    <row r="332" spans="1:35" x14ac:dyDescent="0.25">
      <c r="A332" t="s">
        <v>1824</v>
      </c>
      <c r="B332" t="s">
        <v>34</v>
      </c>
      <c r="C332" t="s">
        <v>86</v>
      </c>
      <c r="D332" t="s">
        <v>87</v>
      </c>
      <c r="E332" t="s">
        <v>37</v>
      </c>
      <c r="F332" t="s">
        <v>88</v>
      </c>
      <c r="G332" t="s">
        <v>39</v>
      </c>
      <c r="H332" t="s">
        <v>40</v>
      </c>
      <c r="I332" t="s">
        <v>41</v>
      </c>
      <c r="J332" t="s">
        <v>37</v>
      </c>
      <c r="K332" t="s">
        <v>37</v>
      </c>
      <c r="L332" t="s">
        <v>42</v>
      </c>
      <c r="M332" s="6">
        <v>45353.291666666664</v>
      </c>
      <c r="N332" t="s">
        <v>4265</v>
      </c>
      <c r="O332" s="1">
        <v>45353</v>
      </c>
      <c r="P332" s="1">
        <v>45352.435798611114</v>
      </c>
      <c r="Q332" t="s">
        <v>4265</v>
      </c>
      <c r="R332" s="6">
        <v>45353.416666666664</v>
      </c>
      <c r="S332" t="s">
        <v>43</v>
      </c>
      <c r="T332">
        <v>24.99</v>
      </c>
      <c r="U332">
        <v>0</v>
      </c>
      <c r="V332">
        <v>24.99</v>
      </c>
      <c r="W332">
        <v>0</v>
      </c>
      <c r="X332">
        <v>0</v>
      </c>
      <c r="Y332">
        <v>0</v>
      </c>
      <c r="Z332">
        <v>24.99</v>
      </c>
      <c r="AA332" t="s">
        <v>44</v>
      </c>
      <c r="AB332" t="s">
        <v>45</v>
      </c>
      <c r="AC332" t="s">
        <v>46</v>
      </c>
      <c r="AD332" t="s">
        <v>37</v>
      </c>
      <c r="AE332" t="s">
        <v>37</v>
      </c>
      <c r="AF332" t="s">
        <v>1825</v>
      </c>
      <c r="AG332" t="s">
        <v>37</v>
      </c>
      <c r="AH332" t="s">
        <v>90</v>
      </c>
      <c r="AI332" t="s">
        <v>37</v>
      </c>
    </row>
    <row r="333" spans="1:35" x14ac:dyDescent="0.25">
      <c r="A333" t="s">
        <v>1854</v>
      </c>
      <c r="B333" t="s">
        <v>34</v>
      </c>
      <c r="C333" t="s">
        <v>1855</v>
      </c>
      <c r="D333" t="s">
        <v>1856</v>
      </c>
      <c r="E333" t="s">
        <v>37</v>
      </c>
      <c r="F333" t="s">
        <v>1857</v>
      </c>
      <c r="G333" t="s">
        <v>39</v>
      </c>
      <c r="H333" t="s">
        <v>40</v>
      </c>
      <c r="I333" t="s">
        <v>41</v>
      </c>
      <c r="J333" t="s">
        <v>37</v>
      </c>
      <c r="K333" t="s">
        <v>37</v>
      </c>
      <c r="L333" t="s">
        <v>42</v>
      </c>
      <c r="M333" s="6">
        <v>45353.291666666664</v>
      </c>
      <c r="N333" t="s">
        <v>4265</v>
      </c>
      <c r="O333" s="1">
        <v>45353</v>
      </c>
      <c r="P333" s="1">
        <v>45352.857418981483</v>
      </c>
      <c r="Q333" t="s">
        <v>4265</v>
      </c>
      <c r="R333" s="6">
        <v>45353.416666666664</v>
      </c>
      <c r="S333" t="s">
        <v>43</v>
      </c>
      <c r="T333">
        <v>24.99</v>
      </c>
      <c r="U333">
        <v>0</v>
      </c>
      <c r="V333">
        <v>24.99</v>
      </c>
      <c r="W333">
        <v>0</v>
      </c>
      <c r="X333">
        <v>0</v>
      </c>
      <c r="Y333">
        <v>0</v>
      </c>
      <c r="Z333">
        <v>24.99</v>
      </c>
      <c r="AA333" t="s">
        <v>44</v>
      </c>
      <c r="AB333" t="s">
        <v>45</v>
      </c>
      <c r="AC333" t="s">
        <v>46</v>
      </c>
      <c r="AD333" t="s">
        <v>37</v>
      </c>
      <c r="AE333" t="s">
        <v>37</v>
      </c>
      <c r="AF333" t="s">
        <v>1858</v>
      </c>
      <c r="AG333" t="s">
        <v>37</v>
      </c>
      <c r="AH333" t="s">
        <v>1855</v>
      </c>
      <c r="AI333" t="s">
        <v>37</v>
      </c>
    </row>
    <row r="334" spans="1:35" x14ac:dyDescent="0.25">
      <c r="A334" t="s">
        <v>1859</v>
      </c>
      <c r="B334" t="s">
        <v>34</v>
      </c>
      <c r="C334" t="s">
        <v>1860</v>
      </c>
      <c r="D334" t="s">
        <v>1861</v>
      </c>
      <c r="E334" t="s">
        <v>37</v>
      </c>
      <c r="F334" t="s">
        <v>1862</v>
      </c>
      <c r="G334" t="s">
        <v>39</v>
      </c>
      <c r="H334" t="s">
        <v>40</v>
      </c>
      <c r="I334" t="s">
        <v>41</v>
      </c>
      <c r="J334" t="s">
        <v>37</v>
      </c>
      <c r="K334" t="s">
        <v>37</v>
      </c>
      <c r="L334" t="s">
        <v>42</v>
      </c>
      <c r="M334" s="6">
        <v>45353.291666666664</v>
      </c>
      <c r="N334" t="s">
        <v>4265</v>
      </c>
      <c r="O334" s="1">
        <v>45353</v>
      </c>
      <c r="P334" s="1">
        <v>45352.93408564815</v>
      </c>
      <c r="Q334" t="s">
        <v>4265</v>
      </c>
      <c r="R334" s="6">
        <v>45353.416666666664</v>
      </c>
      <c r="S334" t="s">
        <v>43</v>
      </c>
      <c r="T334">
        <v>24.99</v>
      </c>
      <c r="U334">
        <v>0</v>
      </c>
      <c r="V334">
        <v>24.99</v>
      </c>
      <c r="W334">
        <v>0</v>
      </c>
      <c r="X334">
        <v>0</v>
      </c>
      <c r="Y334">
        <v>0</v>
      </c>
      <c r="Z334">
        <v>24.99</v>
      </c>
      <c r="AA334" t="s">
        <v>44</v>
      </c>
      <c r="AB334" t="s">
        <v>45</v>
      </c>
      <c r="AC334" t="s">
        <v>46</v>
      </c>
      <c r="AD334" t="s">
        <v>37</v>
      </c>
      <c r="AE334" t="s">
        <v>37</v>
      </c>
      <c r="AF334" t="s">
        <v>1863</v>
      </c>
      <c r="AG334" t="s">
        <v>37</v>
      </c>
      <c r="AH334" t="s">
        <v>1860</v>
      </c>
      <c r="AI334" t="s">
        <v>37</v>
      </c>
    </row>
    <row r="335" spans="1:35" x14ac:dyDescent="0.25">
      <c r="A335" t="s">
        <v>1864</v>
      </c>
      <c r="B335" t="s">
        <v>34</v>
      </c>
      <c r="C335" t="s">
        <v>1865</v>
      </c>
      <c r="D335" t="s">
        <v>1866</v>
      </c>
      <c r="E335" t="s">
        <v>37</v>
      </c>
      <c r="F335" t="s">
        <v>1867</v>
      </c>
      <c r="G335" t="s">
        <v>39</v>
      </c>
      <c r="H335" t="s">
        <v>40</v>
      </c>
      <c r="I335" t="s">
        <v>41</v>
      </c>
      <c r="J335" t="s">
        <v>37</v>
      </c>
      <c r="K335" t="s">
        <v>37</v>
      </c>
      <c r="L335" t="s">
        <v>42</v>
      </c>
      <c r="M335" s="6">
        <v>45353.291666666664</v>
      </c>
      <c r="N335" t="s">
        <v>4265</v>
      </c>
      <c r="O335" s="1">
        <v>45353</v>
      </c>
      <c r="P335" s="1">
        <v>45353.269560185188</v>
      </c>
      <c r="Q335" t="s">
        <v>4265</v>
      </c>
      <c r="R335" s="6">
        <v>45353.416666666664</v>
      </c>
      <c r="S335" t="s">
        <v>43</v>
      </c>
      <c r="T335">
        <v>24.99</v>
      </c>
      <c r="U335">
        <v>0</v>
      </c>
      <c r="V335">
        <v>24.99</v>
      </c>
      <c r="W335">
        <v>0</v>
      </c>
      <c r="X335">
        <v>0</v>
      </c>
      <c r="Y335">
        <v>0</v>
      </c>
      <c r="Z335">
        <v>24.99</v>
      </c>
      <c r="AA335" t="s">
        <v>44</v>
      </c>
      <c r="AB335" t="s">
        <v>45</v>
      </c>
      <c r="AC335" t="s">
        <v>46</v>
      </c>
      <c r="AD335" t="s">
        <v>37</v>
      </c>
      <c r="AE335" t="s">
        <v>37</v>
      </c>
      <c r="AF335" t="s">
        <v>1868</v>
      </c>
      <c r="AG335" t="s">
        <v>37</v>
      </c>
      <c r="AH335" t="s">
        <v>1865</v>
      </c>
      <c r="AI335" t="s">
        <v>37</v>
      </c>
    </row>
    <row r="336" spans="1:35" x14ac:dyDescent="0.25">
      <c r="A336" t="s">
        <v>1869</v>
      </c>
      <c r="B336" t="s">
        <v>34</v>
      </c>
      <c r="C336" t="s">
        <v>1870</v>
      </c>
      <c r="D336" t="s">
        <v>1871</v>
      </c>
      <c r="E336" t="s">
        <v>37</v>
      </c>
      <c r="F336" t="s">
        <v>1872</v>
      </c>
      <c r="G336" t="s">
        <v>39</v>
      </c>
      <c r="H336" t="s">
        <v>40</v>
      </c>
      <c r="I336" t="s">
        <v>41</v>
      </c>
      <c r="J336" t="s">
        <v>37</v>
      </c>
      <c r="K336" t="s">
        <v>37</v>
      </c>
      <c r="L336" t="s">
        <v>42</v>
      </c>
      <c r="M336" s="6">
        <v>45353.291666666664</v>
      </c>
      <c r="N336" t="s">
        <v>4265</v>
      </c>
      <c r="O336" s="1">
        <v>45353</v>
      </c>
      <c r="P336" s="1">
        <v>45353.274976851855</v>
      </c>
      <c r="Q336" t="s">
        <v>4265</v>
      </c>
      <c r="R336" s="6">
        <v>45353.416666666664</v>
      </c>
      <c r="S336" t="s">
        <v>43</v>
      </c>
      <c r="T336">
        <v>24.99</v>
      </c>
      <c r="U336">
        <v>0</v>
      </c>
      <c r="V336">
        <v>24.99</v>
      </c>
      <c r="W336">
        <v>0</v>
      </c>
      <c r="X336">
        <v>0</v>
      </c>
      <c r="Y336">
        <v>0</v>
      </c>
      <c r="Z336">
        <v>24.99</v>
      </c>
      <c r="AA336" t="s">
        <v>44</v>
      </c>
      <c r="AB336" t="s">
        <v>45</v>
      </c>
      <c r="AC336" t="s">
        <v>46</v>
      </c>
      <c r="AD336" t="s">
        <v>37</v>
      </c>
      <c r="AE336" t="s">
        <v>37</v>
      </c>
      <c r="AF336" t="s">
        <v>1873</v>
      </c>
      <c r="AG336" t="s">
        <v>37</v>
      </c>
      <c r="AH336" t="s">
        <v>1874</v>
      </c>
      <c r="AI336" t="s">
        <v>37</v>
      </c>
    </row>
    <row r="337" spans="1:35" x14ac:dyDescent="0.25">
      <c r="A337" t="s">
        <v>1875</v>
      </c>
      <c r="B337" t="s">
        <v>34</v>
      </c>
      <c r="C337" t="s">
        <v>1816</v>
      </c>
      <c r="D337" t="s">
        <v>1817</v>
      </c>
      <c r="E337" t="s">
        <v>37</v>
      </c>
      <c r="F337" t="s">
        <v>1818</v>
      </c>
      <c r="G337" t="s">
        <v>39</v>
      </c>
      <c r="H337" t="s">
        <v>40</v>
      </c>
      <c r="I337" t="s">
        <v>41</v>
      </c>
      <c r="J337" t="s">
        <v>37</v>
      </c>
      <c r="K337" t="s">
        <v>37</v>
      </c>
      <c r="L337" t="s">
        <v>42</v>
      </c>
      <c r="M337" s="6">
        <v>45353.291666666664</v>
      </c>
      <c r="N337" t="s">
        <v>4265</v>
      </c>
      <c r="O337" s="1">
        <v>45353</v>
      </c>
      <c r="P337" s="1">
        <v>45353.360034722224</v>
      </c>
      <c r="Q337" t="s">
        <v>4265</v>
      </c>
      <c r="R337" s="6">
        <v>45353.416666666664</v>
      </c>
      <c r="S337" t="s">
        <v>43</v>
      </c>
      <c r="T337">
        <v>24.99</v>
      </c>
      <c r="U337">
        <v>0</v>
      </c>
      <c r="V337">
        <v>24.99</v>
      </c>
      <c r="W337">
        <v>0</v>
      </c>
      <c r="X337">
        <v>0</v>
      </c>
      <c r="Y337">
        <v>0</v>
      </c>
      <c r="Z337">
        <v>24.99</v>
      </c>
      <c r="AA337" t="s">
        <v>44</v>
      </c>
      <c r="AB337" t="s">
        <v>45</v>
      </c>
      <c r="AC337" t="s">
        <v>46</v>
      </c>
      <c r="AD337" t="s">
        <v>37</v>
      </c>
      <c r="AE337" t="s">
        <v>37</v>
      </c>
      <c r="AF337" t="s">
        <v>1876</v>
      </c>
      <c r="AG337" t="s">
        <v>37</v>
      </c>
      <c r="AH337" t="s">
        <v>1816</v>
      </c>
      <c r="AI337" t="s">
        <v>37</v>
      </c>
    </row>
    <row r="338" spans="1:35" x14ac:dyDescent="0.25">
      <c r="A338" t="s">
        <v>1883</v>
      </c>
      <c r="B338" t="s">
        <v>34</v>
      </c>
      <c r="C338" t="s">
        <v>1884</v>
      </c>
      <c r="D338" t="s">
        <v>1885</v>
      </c>
      <c r="E338" t="s">
        <v>37</v>
      </c>
      <c r="F338" t="s">
        <v>1886</v>
      </c>
      <c r="G338" t="s">
        <v>39</v>
      </c>
      <c r="H338" t="s">
        <v>40</v>
      </c>
      <c r="I338" t="s">
        <v>41</v>
      </c>
      <c r="J338" t="s">
        <v>37</v>
      </c>
      <c r="K338" t="s">
        <v>37</v>
      </c>
      <c r="L338" t="s">
        <v>42</v>
      </c>
      <c r="M338" s="6">
        <v>45353.291666666664</v>
      </c>
      <c r="N338" t="s">
        <v>4265</v>
      </c>
      <c r="O338" s="1">
        <v>45353</v>
      </c>
      <c r="P338" s="1">
        <v>45353.402303240742</v>
      </c>
      <c r="Q338" t="s">
        <v>4265</v>
      </c>
      <c r="R338" s="6">
        <v>45353.416666666664</v>
      </c>
      <c r="S338" t="s">
        <v>43</v>
      </c>
      <c r="T338">
        <v>24.99</v>
      </c>
      <c r="U338">
        <v>0</v>
      </c>
      <c r="V338">
        <v>24.99</v>
      </c>
      <c r="W338">
        <v>0</v>
      </c>
      <c r="X338">
        <v>0</v>
      </c>
      <c r="Y338">
        <v>0</v>
      </c>
      <c r="Z338">
        <v>24.99</v>
      </c>
      <c r="AA338" t="s">
        <v>44</v>
      </c>
      <c r="AB338" t="s">
        <v>45</v>
      </c>
      <c r="AC338" t="s">
        <v>46</v>
      </c>
      <c r="AD338" t="s">
        <v>37</v>
      </c>
      <c r="AE338" t="s">
        <v>37</v>
      </c>
      <c r="AF338" t="s">
        <v>1887</v>
      </c>
      <c r="AG338" t="s">
        <v>37</v>
      </c>
      <c r="AH338" t="s">
        <v>1884</v>
      </c>
      <c r="AI338" t="s">
        <v>37</v>
      </c>
    </row>
    <row r="339" spans="1:35" x14ac:dyDescent="0.25">
      <c r="A339" t="s">
        <v>1910</v>
      </c>
      <c r="B339" t="s">
        <v>34</v>
      </c>
      <c r="C339" t="s">
        <v>1911</v>
      </c>
      <c r="D339" t="s">
        <v>1912</v>
      </c>
      <c r="E339" t="s">
        <v>37</v>
      </c>
      <c r="F339" t="s">
        <v>1913</v>
      </c>
      <c r="G339" t="s">
        <v>39</v>
      </c>
      <c r="H339" t="s">
        <v>40</v>
      </c>
      <c r="I339" t="s">
        <v>41</v>
      </c>
      <c r="J339" t="s">
        <v>37</v>
      </c>
      <c r="K339" t="s">
        <v>37</v>
      </c>
      <c r="L339" t="s">
        <v>42</v>
      </c>
      <c r="M339" s="6">
        <v>45353.291666666664</v>
      </c>
      <c r="N339" t="s">
        <v>4265</v>
      </c>
      <c r="O339" s="1">
        <v>45353</v>
      </c>
      <c r="P339" s="1">
        <v>45353.527939814812</v>
      </c>
      <c r="Q339" t="s">
        <v>4265</v>
      </c>
      <c r="R339" s="6">
        <v>45353.416666666664</v>
      </c>
      <c r="S339" t="s">
        <v>43</v>
      </c>
      <c r="T339">
        <v>24.99</v>
      </c>
      <c r="U339">
        <v>0</v>
      </c>
      <c r="V339">
        <v>24.99</v>
      </c>
      <c r="W339">
        <v>0</v>
      </c>
      <c r="X339">
        <v>0</v>
      </c>
      <c r="Y339">
        <v>0</v>
      </c>
      <c r="Z339">
        <v>24.99</v>
      </c>
      <c r="AA339" t="s">
        <v>44</v>
      </c>
      <c r="AB339" t="s">
        <v>45</v>
      </c>
      <c r="AC339" t="s">
        <v>46</v>
      </c>
      <c r="AD339" t="s">
        <v>37</v>
      </c>
      <c r="AE339" t="s">
        <v>37</v>
      </c>
      <c r="AF339" t="s">
        <v>1914</v>
      </c>
      <c r="AG339" t="s">
        <v>37</v>
      </c>
      <c r="AH339" t="s">
        <v>1911</v>
      </c>
      <c r="AI339" t="s">
        <v>37</v>
      </c>
    </row>
    <row r="340" spans="1:35" x14ac:dyDescent="0.25">
      <c r="A340" t="s">
        <v>1877</v>
      </c>
      <c r="B340" t="s">
        <v>34</v>
      </c>
      <c r="C340" t="s">
        <v>913</v>
      </c>
      <c r="D340" t="s">
        <v>914</v>
      </c>
      <c r="E340" t="s">
        <v>37</v>
      </c>
      <c r="F340" t="s">
        <v>915</v>
      </c>
      <c r="G340" t="s">
        <v>39</v>
      </c>
      <c r="H340" t="s">
        <v>40</v>
      </c>
      <c r="I340" t="s">
        <v>41</v>
      </c>
      <c r="J340" t="s">
        <v>37</v>
      </c>
      <c r="K340" t="s">
        <v>37</v>
      </c>
      <c r="L340" t="s">
        <v>42</v>
      </c>
      <c r="M340" s="6">
        <v>45353.360567129632</v>
      </c>
      <c r="N340" t="s">
        <v>4265</v>
      </c>
      <c r="O340" s="1">
        <v>45353.06890046296</v>
      </c>
      <c r="P340" s="1">
        <v>45353.360625000001</v>
      </c>
      <c r="Q340" t="s">
        <v>4265</v>
      </c>
      <c r="R340" s="6">
        <v>45353.416666666664</v>
      </c>
      <c r="S340" t="s">
        <v>43</v>
      </c>
      <c r="T340">
        <v>24.99</v>
      </c>
      <c r="U340">
        <v>0</v>
      </c>
      <c r="V340">
        <v>24.99</v>
      </c>
      <c r="W340">
        <v>0</v>
      </c>
      <c r="X340">
        <v>0</v>
      </c>
      <c r="Y340">
        <v>0</v>
      </c>
      <c r="Z340">
        <v>24.99</v>
      </c>
      <c r="AA340" t="s">
        <v>44</v>
      </c>
      <c r="AB340" t="s">
        <v>45</v>
      </c>
      <c r="AC340" t="s">
        <v>46</v>
      </c>
      <c r="AD340" t="s">
        <v>37</v>
      </c>
      <c r="AE340" t="s">
        <v>37</v>
      </c>
      <c r="AF340" t="s">
        <v>1878</v>
      </c>
      <c r="AG340" t="s">
        <v>37</v>
      </c>
      <c r="AH340" t="s">
        <v>913</v>
      </c>
      <c r="AI340" t="s">
        <v>37</v>
      </c>
    </row>
    <row r="341" spans="1:35" x14ac:dyDescent="0.25">
      <c r="A341" t="s">
        <v>1879</v>
      </c>
      <c r="B341" t="s">
        <v>34</v>
      </c>
      <c r="C341" t="s">
        <v>1880</v>
      </c>
      <c r="D341" t="s">
        <v>1881</v>
      </c>
      <c r="E341" t="s">
        <v>37</v>
      </c>
      <c r="F341" t="s">
        <v>475</v>
      </c>
      <c r="G341" t="s">
        <v>39</v>
      </c>
      <c r="H341" t="s">
        <v>40</v>
      </c>
      <c r="I341" t="s">
        <v>41</v>
      </c>
      <c r="J341" t="s">
        <v>37</v>
      </c>
      <c r="K341" t="s">
        <v>37</v>
      </c>
      <c r="L341" t="s">
        <v>42</v>
      </c>
      <c r="M341" s="6">
        <v>45353.36855324074</v>
      </c>
      <c r="N341" t="s">
        <v>4265</v>
      </c>
      <c r="O341" s="1">
        <v>45353.076886574076</v>
      </c>
      <c r="P341" s="1">
        <v>45353.368611111109</v>
      </c>
      <c r="Q341" t="s">
        <v>4265</v>
      </c>
      <c r="R341" s="6">
        <v>45353.416666666664</v>
      </c>
      <c r="S341" t="s">
        <v>43</v>
      </c>
      <c r="T341">
        <v>24.99</v>
      </c>
      <c r="U341">
        <v>0</v>
      </c>
      <c r="V341">
        <v>24.99</v>
      </c>
      <c r="W341">
        <v>0</v>
      </c>
      <c r="X341">
        <v>0</v>
      </c>
      <c r="Y341">
        <v>0</v>
      </c>
      <c r="Z341">
        <v>24.99</v>
      </c>
      <c r="AA341" t="s">
        <v>44</v>
      </c>
      <c r="AB341" t="s">
        <v>45</v>
      </c>
      <c r="AC341" t="s">
        <v>46</v>
      </c>
      <c r="AD341" t="s">
        <v>37</v>
      </c>
      <c r="AE341" t="s">
        <v>37</v>
      </c>
      <c r="AF341" t="s">
        <v>1882</v>
      </c>
      <c r="AG341" t="s">
        <v>37</v>
      </c>
      <c r="AH341" t="s">
        <v>1880</v>
      </c>
      <c r="AI341" t="s">
        <v>37</v>
      </c>
    </row>
    <row r="342" spans="1:35" x14ac:dyDescent="0.25">
      <c r="A342" t="s">
        <v>1888</v>
      </c>
      <c r="B342" t="s">
        <v>34</v>
      </c>
      <c r="C342" t="s">
        <v>1889</v>
      </c>
      <c r="D342" t="s">
        <v>1890</v>
      </c>
      <c r="E342" t="s">
        <v>37</v>
      </c>
      <c r="F342" t="s">
        <v>1891</v>
      </c>
      <c r="G342" t="s">
        <v>39</v>
      </c>
      <c r="H342" t="s">
        <v>40</v>
      </c>
      <c r="I342" t="s">
        <v>41</v>
      </c>
      <c r="J342" t="s">
        <v>37</v>
      </c>
      <c r="K342" t="s">
        <v>37</v>
      </c>
      <c r="L342" t="s">
        <v>42</v>
      </c>
      <c r="M342" s="6">
        <v>45353.426770833335</v>
      </c>
      <c r="N342" t="s">
        <v>4265</v>
      </c>
      <c r="O342" s="1">
        <v>45353.135104166664</v>
      </c>
      <c r="P342" s="1">
        <v>45353.426805555559</v>
      </c>
      <c r="Q342" t="s">
        <v>4265</v>
      </c>
      <c r="R342" s="6">
        <v>45353.416666666664</v>
      </c>
      <c r="S342" t="s">
        <v>43</v>
      </c>
      <c r="T342">
        <v>24.99</v>
      </c>
      <c r="U342">
        <v>0</v>
      </c>
      <c r="V342">
        <v>24.99</v>
      </c>
      <c r="W342">
        <v>0</v>
      </c>
      <c r="X342">
        <v>0</v>
      </c>
      <c r="Y342">
        <v>0</v>
      </c>
      <c r="Z342">
        <v>24.99</v>
      </c>
      <c r="AA342" t="s">
        <v>44</v>
      </c>
      <c r="AB342" t="s">
        <v>45</v>
      </c>
      <c r="AC342" t="s">
        <v>46</v>
      </c>
      <c r="AD342" t="s">
        <v>37</v>
      </c>
      <c r="AE342" t="s">
        <v>37</v>
      </c>
      <c r="AF342" t="s">
        <v>1892</v>
      </c>
      <c r="AG342" t="s">
        <v>37</v>
      </c>
      <c r="AH342" t="s">
        <v>1889</v>
      </c>
      <c r="AI342" t="s">
        <v>37</v>
      </c>
    </row>
    <row r="343" spans="1:35" x14ac:dyDescent="0.25">
      <c r="A343" t="s">
        <v>1905</v>
      </c>
      <c r="B343" t="s">
        <v>34</v>
      </c>
      <c r="C343" t="s">
        <v>1906</v>
      </c>
      <c r="D343" t="s">
        <v>1907</v>
      </c>
      <c r="E343" t="s">
        <v>37</v>
      </c>
      <c r="F343" t="s">
        <v>1908</v>
      </c>
      <c r="G343" t="s">
        <v>39</v>
      </c>
      <c r="H343" t="s">
        <v>40</v>
      </c>
      <c r="I343" t="s">
        <v>41</v>
      </c>
      <c r="J343" t="s">
        <v>37</v>
      </c>
      <c r="K343" t="s">
        <v>37</v>
      </c>
      <c r="L343" t="s">
        <v>42</v>
      </c>
      <c r="M343" s="6">
        <v>45353.441724537035</v>
      </c>
      <c r="N343" t="s">
        <v>4265</v>
      </c>
      <c r="O343" s="1">
        <v>45353.150057870371</v>
      </c>
      <c r="P343" s="1">
        <v>45353.441782407404</v>
      </c>
      <c r="Q343" t="s">
        <v>4265</v>
      </c>
      <c r="R343" s="6">
        <v>45353.416666666664</v>
      </c>
      <c r="S343" t="s">
        <v>43</v>
      </c>
      <c r="T343">
        <v>24.99</v>
      </c>
      <c r="U343">
        <v>0</v>
      </c>
      <c r="V343">
        <v>24.99</v>
      </c>
      <c r="W343">
        <v>0</v>
      </c>
      <c r="X343">
        <v>0</v>
      </c>
      <c r="Y343">
        <v>0</v>
      </c>
      <c r="Z343">
        <v>24.99</v>
      </c>
      <c r="AA343" t="s">
        <v>44</v>
      </c>
      <c r="AB343" t="s">
        <v>45</v>
      </c>
      <c r="AC343" t="s">
        <v>46</v>
      </c>
      <c r="AD343" t="s">
        <v>37</v>
      </c>
      <c r="AE343" t="s">
        <v>37</v>
      </c>
      <c r="AF343" t="s">
        <v>1909</v>
      </c>
      <c r="AG343" t="s">
        <v>37</v>
      </c>
      <c r="AH343" t="s">
        <v>1906</v>
      </c>
      <c r="AI343" t="s">
        <v>37</v>
      </c>
    </row>
    <row r="344" spans="1:35" x14ac:dyDescent="0.25">
      <c r="A344" t="s">
        <v>1277</v>
      </c>
      <c r="B344" t="s">
        <v>34</v>
      </c>
      <c r="C344" t="s">
        <v>1272</v>
      </c>
      <c r="D344" t="s">
        <v>1273</v>
      </c>
      <c r="E344" t="s">
        <v>37</v>
      </c>
      <c r="F344" t="s">
        <v>1274</v>
      </c>
      <c r="G344" t="s">
        <v>39</v>
      </c>
      <c r="H344" t="s">
        <v>40</v>
      </c>
      <c r="I344" t="s">
        <v>41</v>
      </c>
      <c r="J344" t="s">
        <v>37</v>
      </c>
      <c r="K344" t="s">
        <v>37</v>
      </c>
      <c r="L344" t="s">
        <v>42</v>
      </c>
      <c r="M344" s="6">
        <v>45354.291666666664</v>
      </c>
      <c r="N344" t="s">
        <v>4266</v>
      </c>
      <c r="O344" s="1">
        <v>45354</v>
      </c>
      <c r="P344" s="1">
        <v>45319.773321759261</v>
      </c>
      <c r="Q344" t="s">
        <v>4266</v>
      </c>
      <c r="R344" s="6">
        <v>45354.416666666664</v>
      </c>
      <c r="S344" t="s">
        <v>43</v>
      </c>
      <c r="T344">
        <v>49.98</v>
      </c>
      <c r="U344">
        <v>0</v>
      </c>
      <c r="V344">
        <v>49.98</v>
      </c>
      <c r="W344">
        <v>0</v>
      </c>
      <c r="X344">
        <v>0</v>
      </c>
      <c r="Y344">
        <v>0</v>
      </c>
      <c r="Z344">
        <v>49.98</v>
      </c>
      <c r="AA344" t="s">
        <v>44</v>
      </c>
      <c r="AB344" t="s">
        <v>45</v>
      </c>
      <c r="AC344" t="s">
        <v>46</v>
      </c>
      <c r="AD344" t="s">
        <v>37</v>
      </c>
      <c r="AE344" t="s">
        <v>37</v>
      </c>
      <c r="AF344" t="s">
        <v>1275</v>
      </c>
      <c r="AG344" t="s">
        <v>37</v>
      </c>
      <c r="AH344" t="s">
        <v>1276</v>
      </c>
      <c r="AI344" t="s">
        <v>37</v>
      </c>
    </row>
    <row r="345" spans="1:35" x14ac:dyDescent="0.25">
      <c r="A345" t="s">
        <v>1510</v>
      </c>
      <c r="B345" t="s">
        <v>34</v>
      </c>
      <c r="C345" t="s">
        <v>1506</v>
      </c>
      <c r="D345" t="s">
        <v>1507</v>
      </c>
      <c r="E345" t="s">
        <v>37</v>
      </c>
      <c r="F345" t="s">
        <v>1508</v>
      </c>
      <c r="G345" t="s">
        <v>39</v>
      </c>
      <c r="H345" t="s">
        <v>40</v>
      </c>
      <c r="I345" t="s">
        <v>41</v>
      </c>
      <c r="J345" t="s">
        <v>37</v>
      </c>
      <c r="K345" t="s">
        <v>37</v>
      </c>
      <c r="L345" t="s">
        <v>42</v>
      </c>
      <c r="M345" s="6">
        <v>45354.291666666664</v>
      </c>
      <c r="N345" t="s">
        <v>4266</v>
      </c>
      <c r="O345" s="1">
        <v>45354</v>
      </c>
      <c r="P345" s="1">
        <v>45349.678749999999</v>
      </c>
      <c r="Q345" t="s">
        <v>4266</v>
      </c>
      <c r="R345" s="6">
        <v>45354.416666666664</v>
      </c>
      <c r="S345" t="s">
        <v>43</v>
      </c>
      <c r="T345">
        <v>49.98</v>
      </c>
      <c r="U345">
        <v>0</v>
      </c>
      <c r="V345">
        <v>49.98</v>
      </c>
      <c r="W345">
        <v>0</v>
      </c>
      <c r="X345">
        <v>0</v>
      </c>
      <c r="Y345">
        <v>0</v>
      </c>
      <c r="Z345">
        <v>49.98</v>
      </c>
      <c r="AA345" t="s">
        <v>44</v>
      </c>
      <c r="AB345" t="s">
        <v>45</v>
      </c>
      <c r="AC345" t="s">
        <v>46</v>
      </c>
      <c r="AD345" t="s">
        <v>37</v>
      </c>
      <c r="AE345" t="s">
        <v>37</v>
      </c>
      <c r="AF345" t="s">
        <v>1509</v>
      </c>
      <c r="AG345" t="s">
        <v>37</v>
      </c>
      <c r="AH345" t="s">
        <v>1506</v>
      </c>
      <c r="AI345" t="s">
        <v>37</v>
      </c>
    </row>
    <row r="346" spans="1:35" x14ac:dyDescent="0.25">
      <c r="A346" t="s">
        <v>1682</v>
      </c>
      <c r="B346" t="s">
        <v>34</v>
      </c>
      <c r="C346" t="s">
        <v>1678</v>
      </c>
      <c r="D346" t="s">
        <v>1679</v>
      </c>
      <c r="E346" t="s">
        <v>37</v>
      </c>
      <c r="F346" t="s">
        <v>1680</v>
      </c>
      <c r="G346" t="s">
        <v>39</v>
      </c>
      <c r="H346" t="s">
        <v>40</v>
      </c>
      <c r="I346" t="s">
        <v>41</v>
      </c>
      <c r="J346" t="s">
        <v>37</v>
      </c>
      <c r="K346" t="s">
        <v>37</v>
      </c>
      <c r="L346" t="s">
        <v>42</v>
      </c>
      <c r="M346" s="6">
        <v>45354.291666666664</v>
      </c>
      <c r="N346" t="s">
        <v>4266</v>
      </c>
      <c r="O346" s="1">
        <v>45354</v>
      </c>
      <c r="P346" s="1">
        <v>45350.549097222225</v>
      </c>
      <c r="Q346" t="s">
        <v>4266</v>
      </c>
      <c r="R346" s="6">
        <v>45354.416666666664</v>
      </c>
      <c r="S346" t="s">
        <v>43</v>
      </c>
      <c r="T346">
        <v>49.98</v>
      </c>
      <c r="U346">
        <v>0</v>
      </c>
      <c r="V346">
        <v>49.98</v>
      </c>
      <c r="W346">
        <v>0</v>
      </c>
      <c r="X346">
        <v>0</v>
      </c>
      <c r="Y346">
        <v>0</v>
      </c>
      <c r="Z346">
        <v>49.98</v>
      </c>
      <c r="AA346" t="s">
        <v>44</v>
      </c>
      <c r="AB346" t="s">
        <v>45</v>
      </c>
      <c r="AC346" t="s">
        <v>46</v>
      </c>
      <c r="AD346" t="s">
        <v>37</v>
      </c>
      <c r="AE346" t="s">
        <v>37</v>
      </c>
      <c r="AF346" t="s">
        <v>1681</v>
      </c>
      <c r="AG346" t="s">
        <v>37</v>
      </c>
      <c r="AH346" t="s">
        <v>1678</v>
      </c>
      <c r="AI346" t="s">
        <v>37</v>
      </c>
    </row>
    <row r="347" spans="1:35" x14ac:dyDescent="0.25">
      <c r="A347" t="s">
        <v>1717</v>
      </c>
      <c r="B347" t="s">
        <v>34</v>
      </c>
      <c r="C347" t="s">
        <v>1711</v>
      </c>
      <c r="D347" t="s">
        <v>1712</v>
      </c>
      <c r="E347" t="s">
        <v>37</v>
      </c>
      <c r="F347" t="s">
        <v>1713</v>
      </c>
      <c r="G347" t="s">
        <v>39</v>
      </c>
      <c r="H347" t="s">
        <v>40</v>
      </c>
      <c r="I347" t="s">
        <v>41</v>
      </c>
      <c r="J347" t="s">
        <v>37</v>
      </c>
      <c r="K347" t="s">
        <v>37</v>
      </c>
      <c r="L347" t="s">
        <v>42</v>
      </c>
      <c r="M347" s="6">
        <v>45354.291666666664</v>
      </c>
      <c r="N347" t="s">
        <v>4266</v>
      </c>
      <c r="O347" s="1">
        <v>45354</v>
      </c>
      <c r="P347" s="1">
        <v>45350.555208333331</v>
      </c>
      <c r="Q347" t="s">
        <v>4266</v>
      </c>
      <c r="R347" s="6">
        <v>45354.416666666664</v>
      </c>
      <c r="S347" t="s">
        <v>43</v>
      </c>
      <c r="T347">
        <v>49.98</v>
      </c>
      <c r="U347">
        <v>0</v>
      </c>
      <c r="V347">
        <v>49.98</v>
      </c>
      <c r="W347">
        <v>0</v>
      </c>
      <c r="X347">
        <v>0</v>
      </c>
      <c r="Y347">
        <v>0</v>
      </c>
      <c r="Z347">
        <v>49.98</v>
      </c>
      <c r="AA347" t="s">
        <v>44</v>
      </c>
      <c r="AB347" t="s">
        <v>45</v>
      </c>
      <c r="AC347" t="s">
        <v>46</v>
      </c>
      <c r="AD347" t="s">
        <v>37</v>
      </c>
      <c r="AE347" t="s">
        <v>37</v>
      </c>
      <c r="AF347" t="s">
        <v>1716</v>
      </c>
      <c r="AG347" t="s">
        <v>37</v>
      </c>
      <c r="AH347" t="s">
        <v>1711</v>
      </c>
      <c r="AI347" t="s">
        <v>37</v>
      </c>
    </row>
    <row r="348" spans="1:35" x14ac:dyDescent="0.25">
      <c r="A348" t="s">
        <v>1843</v>
      </c>
      <c r="B348" t="s">
        <v>34</v>
      </c>
      <c r="C348" t="s">
        <v>1844</v>
      </c>
      <c r="D348" t="s">
        <v>1845</v>
      </c>
      <c r="E348" t="s">
        <v>37</v>
      </c>
      <c r="F348" t="s">
        <v>1846</v>
      </c>
      <c r="G348" t="s">
        <v>39</v>
      </c>
      <c r="H348" t="s">
        <v>40</v>
      </c>
      <c r="I348" t="s">
        <v>41</v>
      </c>
      <c r="J348" t="s">
        <v>37</v>
      </c>
      <c r="K348" t="s">
        <v>37</v>
      </c>
      <c r="L348" t="s">
        <v>42</v>
      </c>
      <c r="M348" s="6">
        <v>45354.291666666664</v>
      </c>
      <c r="N348" t="s">
        <v>4266</v>
      </c>
      <c r="O348" s="1">
        <v>45354</v>
      </c>
      <c r="P348" s="1">
        <v>45352.501736111109</v>
      </c>
      <c r="Q348" t="s">
        <v>4266</v>
      </c>
      <c r="R348" s="6">
        <v>45354.416666666664</v>
      </c>
      <c r="S348" t="s">
        <v>43</v>
      </c>
      <c r="T348">
        <v>24.99</v>
      </c>
      <c r="U348">
        <v>0</v>
      </c>
      <c r="V348">
        <v>24.99</v>
      </c>
      <c r="W348">
        <v>0</v>
      </c>
      <c r="X348">
        <v>0</v>
      </c>
      <c r="Y348">
        <v>0</v>
      </c>
      <c r="Z348">
        <v>24.99</v>
      </c>
      <c r="AA348" t="s">
        <v>44</v>
      </c>
      <c r="AB348" t="s">
        <v>45</v>
      </c>
      <c r="AC348" t="s">
        <v>46</v>
      </c>
      <c r="AD348" t="s">
        <v>37</v>
      </c>
      <c r="AE348" t="s">
        <v>37</v>
      </c>
      <c r="AF348" t="s">
        <v>1847</v>
      </c>
      <c r="AG348" t="s">
        <v>37</v>
      </c>
      <c r="AH348" t="s">
        <v>1844</v>
      </c>
      <c r="AI348" t="s">
        <v>37</v>
      </c>
    </row>
    <row r="349" spans="1:35" x14ac:dyDescent="0.25">
      <c r="A349" t="s">
        <v>1900</v>
      </c>
      <c r="B349" t="s">
        <v>34</v>
      </c>
      <c r="C349" t="s">
        <v>1901</v>
      </c>
      <c r="D349" t="s">
        <v>1902</v>
      </c>
      <c r="E349" t="s">
        <v>37</v>
      </c>
      <c r="F349" t="s">
        <v>1903</v>
      </c>
      <c r="G349" t="s">
        <v>39</v>
      </c>
      <c r="H349" t="s">
        <v>40</v>
      </c>
      <c r="I349" t="s">
        <v>41</v>
      </c>
      <c r="J349" t="s">
        <v>37</v>
      </c>
      <c r="K349" t="s">
        <v>37</v>
      </c>
      <c r="L349" t="s">
        <v>42</v>
      </c>
      <c r="M349" s="6">
        <v>45354.291666666664</v>
      </c>
      <c r="N349" t="s">
        <v>4266</v>
      </c>
      <c r="O349" s="1">
        <v>45354</v>
      </c>
      <c r="P349" s="1">
        <v>45353.437418981484</v>
      </c>
      <c r="Q349" t="s">
        <v>4266</v>
      </c>
      <c r="R349" s="6">
        <v>45354.416666666664</v>
      </c>
      <c r="S349" t="s">
        <v>43</v>
      </c>
      <c r="T349">
        <v>24.99</v>
      </c>
      <c r="U349">
        <v>0</v>
      </c>
      <c r="V349">
        <v>24.99</v>
      </c>
      <c r="W349">
        <v>0</v>
      </c>
      <c r="X349">
        <v>0</v>
      </c>
      <c r="Y349">
        <v>0</v>
      </c>
      <c r="Z349">
        <v>24.99</v>
      </c>
      <c r="AA349" t="s">
        <v>44</v>
      </c>
      <c r="AB349" t="s">
        <v>45</v>
      </c>
      <c r="AC349" t="s">
        <v>46</v>
      </c>
      <c r="AD349" t="s">
        <v>37</v>
      </c>
      <c r="AE349" t="s">
        <v>37</v>
      </c>
      <c r="AF349" t="s">
        <v>1904</v>
      </c>
      <c r="AG349" t="s">
        <v>37</v>
      </c>
      <c r="AH349" t="s">
        <v>1901</v>
      </c>
      <c r="AI349" t="s">
        <v>37</v>
      </c>
    </row>
    <row r="350" spans="1:35" x14ac:dyDescent="0.25">
      <c r="A350" t="s">
        <v>1923</v>
      </c>
      <c r="B350" t="s">
        <v>34</v>
      </c>
      <c r="C350" t="s">
        <v>1753</v>
      </c>
      <c r="D350" t="s">
        <v>1754</v>
      </c>
      <c r="E350" t="s">
        <v>37</v>
      </c>
      <c r="F350" t="s">
        <v>1755</v>
      </c>
      <c r="G350" t="s">
        <v>39</v>
      </c>
      <c r="H350" t="s">
        <v>40</v>
      </c>
      <c r="I350" t="s">
        <v>41</v>
      </c>
      <c r="J350" t="s">
        <v>37</v>
      </c>
      <c r="K350" t="s">
        <v>37</v>
      </c>
      <c r="L350" t="s">
        <v>42</v>
      </c>
      <c r="M350" s="6">
        <v>45354.291666666664</v>
      </c>
      <c r="N350" t="s">
        <v>4266</v>
      </c>
      <c r="O350" s="1">
        <v>45354</v>
      </c>
      <c r="P350" s="1">
        <v>45353.700844907406</v>
      </c>
      <c r="Q350" t="s">
        <v>4266</v>
      </c>
      <c r="R350" s="6">
        <v>45354.416666666664</v>
      </c>
      <c r="S350" t="s">
        <v>43</v>
      </c>
      <c r="T350">
        <v>24.99</v>
      </c>
      <c r="U350">
        <v>0</v>
      </c>
      <c r="V350">
        <v>24.99</v>
      </c>
      <c r="W350">
        <v>0</v>
      </c>
      <c r="X350">
        <v>0</v>
      </c>
      <c r="Y350">
        <v>0</v>
      </c>
      <c r="Z350">
        <v>24.99</v>
      </c>
      <c r="AA350" t="s">
        <v>44</v>
      </c>
      <c r="AB350" t="s">
        <v>45</v>
      </c>
      <c r="AC350" t="s">
        <v>46</v>
      </c>
      <c r="AD350" t="s">
        <v>37</v>
      </c>
      <c r="AE350" t="s">
        <v>37</v>
      </c>
      <c r="AF350" t="s">
        <v>1924</v>
      </c>
      <c r="AG350" t="s">
        <v>37</v>
      </c>
      <c r="AH350" t="s">
        <v>1753</v>
      </c>
      <c r="AI350" t="s">
        <v>37</v>
      </c>
    </row>
    <row r="351" spans="1:35" x14ac:dyDescent="0.25">
      <c r="A351" t="s">
        <v>1925</v>
      </c>
      <c r="B351" t="s">
        <v>34</v>
      </c>
      <c r="C351" t="s">
        <v>1926</v>
      </c>
      <c r="D351" t="s">
        <v>1927</v>
      </c>
      <c r="E351" t="s">
        <v>37</v>
      </c>
      <c r="F351" t="s">
        <v>1928</v>
      </c>
      <c r="G351" t="s">
        <v>39</v>
      </c>
      <c r="H351" t="s">
        <v>40</v>
      </c>
      <c r="I351" t="s">
        <v>41</v>
      </c>
      <c r="J351" t="s">
        <v>37</v>
      </c>
      <c r="K351" t="s">
        <v>37</v>
      </c>
      <c r="L351" t="s">
        <v>42</v>
      </c>
      <c r="M351" s="6">
        <v>45354.291666666664</v>
      </c>
      <c r="N351" t="s">
        <v>4266</v>
      </c>
      <c r="O351" s="1">
        <v>45354</v>
      </c>
      <c r="P351" s="1">
        <v>45353.811979166669</v>
      </c>
      <c r="Q351" t="s">
        <v>4266</v>
      </c>
      <c r="R351" s="6">
        <v>45354.416666666664</v>
      </c>
      <c r="S351" t="s">
        <v>43</v>
      </c>
      <c r="T351">
        <v>24.99</v>
      </c>
      <c r="U351">
        <v>0</v>
      </c>
      <c r="V351">
        <v>24.99</v>
      </c>
      <c r="W351">
        <v>0</v>
      </c>
      <c r="X351">
        <v>0</v>
      </c>
      <c r="Y351">
        <v>0</v>
      </c>
      <c r="Z351">
        <v>24.99</v>
      </c>
      <c r="AA351" t="s">
        <v>44</v>
      </c>
      <c r="AB351" t="s">
        <v>45</v>
      </c>
      <c r="AC351" t="s">
        <v>46</v>
      </c>
      <c r="AD351" t="s">
        <v>37</v>
      </c>
      <c r="AE351" t="s">
        <v>37</v>
      </c>
      <c r="AF351" t="s">
        <v>1929</v>
      </c>
      <c r="AG351" t="s">
        <v>37</v>
      </c>
      <c r="AH351" t="s">
        <v>1930</v>
      </c>
      <c r="AI351" t="s">
        <v>37</v>
      </c>
    </row>
    <row r="352" spans="1:35" x14ac:dyDescent="0.25">
      <c r="A352" t="s">
        <v>1934</v>
      </c>
      <c r="B352" t="s">
        <v>34</v>
      </c>
      <c r="C352" t="s">
        <v>1816</v>
      </c>
      <c r="D352" t="s">
        <v>1817</v>
      </c>
      <c r="E352" t="s">
        <v>37</v>
      </c>
      <c r="F352" t="s">
        <v>1818</v>
      </c>
      <c r="G352" t="s">
        <v>39</v>
      </c>
      <c r="H352" t="s">
        <v>40</v>
      </c>
      <c r="I352" t="s">
        <v>41</v>
      </c>
      <c r="J352" t="s">
        <v>37</v>
      </c>
      <c r="K352" t="s">
        <v>37</v>
      </c>
      <c r="L352" t="s">
        <v>42</v>
      </c>
      <c r="M352" s="6">
        <v>45354.291666666664</v>
      </c>
      <c r="N352" t="s">
        <v>4266</v>
      </c>
      <c r="O352" s="1">
        <v>45354</v>
      </c>
      <c r="P352" s="1">
        <v>45354.328842592593</v>
      </c>
      <c r="Q352" t="s">
        <v>4266</v>
      </c>
      <c r="R352" s="6">
        <v>45354.416666666664</v>
      </c>
      <c r="S352" t="s">
        <v>43</v>
      </c>
      <c r="T352">
        <v>24.99</v>
      </c>
      <c r="U352">
        <v>0</v>
      </c>
      <c r="V352">
        <v>24.99</v>
      </c>
      <c r="W352">
        <v>0</v>
      </c>
      <c r="X352">
        <v>0</v>
      </c>
      <c r="Y352">
        <v>0</v>
      </c>
      <c r="Z352">
        <v>24.99</v>
      </c>
      <c r="AA352" t="s">
        <v>44</v>
      </c>
      <c r="AB352" t="s">
        <v>45</v>
      </c>
      <c r="AC352" t="s">
        <v>46</v>
      </c>
      <c r="AD352" t="s">
        <v>37</v>
      </c>
      <c r="AE352" t="s">
        <v>37</v>
      </c>
      <c r="AF352" t="s">
        <v>1935</v>
      </c>
      <c r="AG352" t="s">
        <v>37</v>
      </c>
      <c r="AH352" t="s">
        <v>1816</v>
      </c>
      <c r="AI352" t="s">
        <v>37</v>
      </c>
    </row>
    <row r="353" spans="1:35" x14ac:dyDescent="0.25">
      <c r="A353" t="s">
        <v>1936</v>
      </c>
      <c r="B353" t="s">
        <v>34</v>
      </c>
      <c r="C353" t="s">
        <v>1870</v>
      </c>
      <c r="D353" t="s">
        <v>1871</v>
      </c>
      <c r="E353" t="s">
        <v>37</v>
      </c>
      <c r="F353" t="s">
        <v>1872</v>
      </c>
      <c r="G353" t="s">
        <v>39</v>
      </c>
      <c r="H353" t="s">
        <v>40</v>
      </c>
      <c r="I353" t="s">
        <v>41</v>
      </c>
      <c r="J353" t="s">
        <v>37</v>
      </c>
      <c r="K353" t="s">
        <v>37</v>
      </c>
      <c r="L353" t="s">
        <v>42</v>
      </c>
      <c r="M353" s="6">
        <v>45354.350046296298</v>
      </c>
      <c r="N353" t="s">
        <v>4266</v>
      </c>
      <c r="O353" s="1">
        <v>45354.058379629627</v>
      </c>
      <c r="P353" s="1">
        <v>45354.350104166668</v>
      </c>
      <c r="Q353" t="s">
        <v>4266</v>
      </c>
      <c r="R353" s="6">
        <v>45354.416666666664</v>
      </c>
      <c r="S353" t="s">
        <v>43</v>
      </c>
      <c r="T353">
        <v>24.99</v>
      </c>
      <c r="U353">
        <v>0</v>
      </c>
      <c r="V353">
        <v>24.99</v>
      </c>
      <c r="W353">
        <v>0</v>
      </c>
      <c r="X353">
        <v>0</v>
      </c>
      <c r="Y353">
        <v>0</v>
      </c>
      <c r="Z353">
        <v>24.99</v>
      </c>
      <c r="AA353" t="s">
        <v>44</v>
      </c>
      <c r="AB353" t="s">
        <v>45</v>
      </c>
      <c r="AC353" t="s">
        <v>46</v>
      </c>
      <c r="AD353" t="s">
        <v>37</v>
      </c>
      <c r="AE353" t="s">
        <v>37</v>
      </c>
      <c r="AF353" t="s">
        <v>1937</v>
      </c>
      <c r="AG353" t="s">
        <v>37</v>
      </c>
      <c r="AH353" t="s">
        <v>1874</v>
      </c>
      <c r="AI353" t="s">
        <v>37</v>
      </c>
    </row>
    <row r="354" spans="1:35" x14ac:dyDescent="0.25">
      <c r="A354" t="s">
        <v>1938</v>
      </c>
      <c r="B354" t="s">
        <v>34</v>
      </c>
      <c r="C354" t="s">
        <v>473</v>
      </c>
      <c r="D354" t="s">
        <v>474</v>
      </c>
      <c r="E354" t="s">
        <v>37</v>
      </c>
      <c r="F354" t="s">
        <v>475</v>
      </c>
      <c r="G354" t="s">
        <v>39</v>
      </c>
      <c r="H354" t="s">
        <v>40</v>
      </c>
      <c r="I354" t="s">
        <v>41</v>
      </c>
      <c r="J354" t="s">
        <v>37</v>
      </c>
      <c r="K354" t="s">
        <v>37</v>
      </c>
      <c r="L354" t="s">
        <v>42</v>
      </c>
      <c r="M354" s="6">
        <v>45354.355567129627</v>
      </c>
      <c r="N354" t="s">
        <v>4266</v>
      </c>
      <c r="O354" s="1">
        <v>45354.063900462963</v>
      </c>
      <c r="P354" s="1">
        <v>45354.355613425927</v>
      </c>
      <c r="Q354" t="s">
        <v>4266</v>
      </c>
      <c r="R354" s="6">
        <v>45354.416666666664</v>
      </c>
      <c r="S354" t="s">
        <v>43</v>
      </c>
      <c r="T354">
        <v>24.99</v>
      </c>
      <c r="U354">
        <v>0</v>
      </c>
      <c r="V354">
        <v>24.99</v>
      </c>
      <c r="W354">
        <v>0</v>
      </c>
      <c r="X354">
        <v>0</v>
      </c>
      <c r="Y354">
        <v>0</v>
      </c>
      <c r="Z354">
        <v>24.99</v>
      </c>
      <c r="AA354" t="s">
        <v>44</v>
      </c>
      <c r="AB354" t="s">
        <v>45</v>
      </c>
      <c r="AC354" t="s">
        <v>46</v>
      </c>
      <c r="AD354" t="s">
        <v>37</v>
      </c>
      <c r="AE354" t="s">
        <v>37</v>
      </c>
      <c r="AF354" t="s">
        <v>1939</v>
      </c>
      <c r="AG354" t="s">
        <v>37</v>
      </c>
      <c r="AH354" t="s">
        <v>473</v>
      </c>
      <c r="AI354" t="s">
        <v>37</v>
      </c>
    </row>
    <row r="355" spans="1:35" x14ac:dyDescent="0.25">
      <c r="A355" t="s">
        <v>1329</v>
      </c>
      <c r="B355" t="s">
        <v>34</v>
      </c>
      <c r="C355" t="s">
        <v>1330</v>
      </c>
      <c r="D355" t="s">
        <v>1331</v>
      </c>
      <c r="E355" t="s">
        <v>37</v>
      </c>
      <c r="F355" t="s">
        <v>1332</v>
      </c>
      <c r="G355" t="s">
        <v>39</v>
      </c>
      <c r="H355" t="s">
        <v>40</v>
      </c>
      <c r="I355" t="s">
        <v>41</v>
      </c>
      <c r="J355" t="s">
        <v>37</v>
      </c>
      <c r="K355" t="s">
        <v>37</v>
      </c>
      <c r="L355" t="s">
        <v>42</v>
      </c>
      <c r="M355" s="6">
        <v>45356.291666666664</v>
      </c>
      <c r="N355" t="s">
        <v>4267</v>
      </c>
      <c r="O355" s="1">
        <v>45356</v>
      </c>
      <c r="P355" s="1">
        <v>45355.81890046296</v>
      </c>
      <c r="Q355" t="s">
        <v>4267</v>
      </c>
      <c r="R355" s="6">
        <v>45356.416666666664</v>
      </c>
      <c r="S355" t="s">
        <v>43</v>
      </c>
      <c r="T355">
        <v>19.989999999999998</v>
      </c>
      <c r="U355">
        <v>0</v>
      </c>
      <c r="V355">
        <v>19.989999999999998</v>
      </c>
      <c r="W355">
        <v>0</v>
      </c>
      <c r="X355">
        <v>0</v>
      </c>
      <c r="Y355">
        <v>0</v>
      </c>
      <c r="Z355">
        <v>19.989999999999998</v>
      </c>
      <c r="AA355" t="s">
        <v>44</v>
      </c>
      <c r="AB355" t="s">
        <v>45</v>
      </c>
      <c r="AC355" t="s">
        <v>46</v>
      </c>
      <c r="AD355" t="s">
        <v>37</v>
      </c>
      <c r="AE355" t="s">
        <v>37</v>
      </c>
      <c r="AF355" t="s">
        <v>1333</v>
      </c>
      <c r="AG355" t="s">
        <v>37</v>
      </c>
      <c r="AH355" t="s">
        <v>1334</v>
      </c>
      <c r="AI355" t="s">
        <v>37</v>
      </c>
    </row>
    <row r="356" spans="1:35" x14ac:dyDescent="0.25">
      <c r="A356" t="s">
        <v>1340</v>
      </c>
      <c r="B356" t="s">
        <v>34</v>
      </c>
      <c r="C356" t="s">
        <v>658</v>
      </c>
      <c r="D356" t="s">
        <v>659</v>
      </c>
      <c r="E356" t="s">
        <v>37</v>
      </c>
      <c r="F356" t="s">
        <v>660</v>
      </c>
      <c r="G356" t="s">
        <v>39</v>
      </c>
      <c r="H356" t="s">
        <v>40</v>
      </c>
      <c r="I356" t="s">
        <v>41</v>
      </c>
      <c r="J356" t="s">
        <v>37</v>
      </c>
      <c r="K356" t="s">
        <v>37</v>
      </c>
      <c r="L356" t="s">
        <v>42</v>
      </c>
      <c r="M356" s="6">
        <v>45356.291666666664</v>
      </c>
      <c r="N356" t="s">
        <v>4267</v>
      </c>
      <c r="O356" s="1">
        <v>45356</v>
      </c>
      <c r="P356" s="1">
        <v>45356.397303240738</v>
      </c>
      <c r="Q356" t="s">
        <v>4267</v>
      </c>
      <c r="R356" s="6">
        <v>45356.416666666664</v>
      </c>
      <c r="S356" t="s">
        <v>43</v>
      </c>
      <c r="T356">
        <v>19.989999999999998</v>
      </c>
      <c r="U356">
        <v>0</v>
      </c>
      <c r="V356">
        <v>19.989999999999998</v>
      </c>
      <c r="W356">
        <v>0</v>
      </c>
      <c r="X356">
        <v>0</v>
      </c>
      <c r="Y356">
        <v>0</v>
      </c>
      <c r="Z356">
        <v>19.989999999999998</v>
      </c>
      <c r="AA356" t="s">
        <v>44</v>
      </c>
      <c r="AB356" t="s">
        <v>45</v>
      </c>
      <c r="AC356" t="s">
        <v>46</v>
      </c>
      <c r="AD356" t="s">
        <v>37</v>
      </c>
      <c r="AE356" t="s">
        <v>37</v>
      </c>
      <c r="AF356" t="s">
        <v>1341</v>
      </c>
      <c r="AG356" t="s">
        <v>37</v>
      </c>
      <c r="AH356" t="s">
        <v>658</v>
      </c>
      <c r="AI356" t="s">
        <v>37</v>
      </c>
    </row>
    <row r="357" spans="1:35" x14ac:dyDescent="0.25">
      <c r="A357" t="s">
        <v>1347</v>
      </c>
      <c r="B357" t="s">
        <v>34</v>
      </c>
      <c r="C357" t="s">
        <v>1348</v>
      </c>
      <c r="D357" t="s">
        <v>1349</v>
      </c>
      <c r="E357" t="s">
        <v>37</v>
      </c>
      <c r="F357" t="s">
        <v>1350</v>
      </c>
      <c r="G357" t="s">
        <v>39</v>
      </c>
      <c r="H357" t="s">
        <v>40</v>
      </c>
      <c r="I357" t="s">
        <v>41</v>
      </c>
      <c r="J357" t="s">
        <v>37</v>
      </c>
      <c r="K357" t="s">
        <v>37</v>
      </c>
      <c r="L357" t="s">
        <v>42</v>
      </c>
      <c r="M357" s="6">
        <v>45356.451990740738</v>
      </c>
      <c r="N357" t="s">
        <v>4267</v>
      </c>
      <c r="O357" s="1">
        <v>45356.160324074073</v>
      </c>
      <c r="P357" s="1">
        <v>45356.452048611114</v>
      </c>
      <c r="Q357" t="s">
        <v>4267</v>
      </c>
      <c r="R357" s="6">
        <v>45356.416666666664</v>
      </c>
      <c r="S357" t="s">
        <v>43</v>
      </c>
      <c r="T357">
        <v>19.989999999999998</v>
      </c>
      <c r="U357">
        <v>0</v>
      </c>
      <c r="V357">
        <v>19.989999999999998</v>
      </c>
      <c r="W357">
        <v>0</v>
      </c>
      <c r="X357">
        <v>0</v>
      </c>
      <c r="Y357">
        <v>0</v>
      </c>
      <c r="Z357">
        <v>19.989999999999998</v>
      </c>
      <c r="AA357" t="s">
        <v>44</v>
      </c>
      <c r="AB357" t="s">
        <v>45</v>
      </c>
      <c r="AC357" t="s">
        <v>46</v>
      </c>
      <c r="AD357" t="s">
        <v>37</v>
      </c>
      <c r="AE357" t="s">
        <v>37</v>
      </c>
      <c r="AF357" t="s">
        <v>1351</v>
      </c>
      <c r="AG357" t="s">
        <v>37</v>
      </c>
      <c r="AH357" t="s">
        <v>1348</v>
      </c>
      <c r="AI357" t="s">
        <v>37</v>
      </c>
    </row>
    <row r="358" spans="1:35" x14ac:dyDescent="0.25">
      <c r="A358" t="s">
        <v>1417</v>
      </c>
      <c r="B358" t="s">
        <v>34</v>
      </c>
      <c r="C358" t="s">
        <v>1418</v>
      </c>
      <c r="D358" t="s">
        <v>1419</v>
      </c>
      <c r="E358" t="s">
        <v>37</v>
      </c>
      <c r="F358" t="s">
        <v>1420</v>
      </c>
      <c r="G358" t="s">
        <v>39</v>
      </c>
      <c r="H358" t="s">
        <v>40</v>
      </c>
      <c r="I358" t="s">
        <v>41</v>
      </c>
      <c r="J358" t="s">
        <v>37</v>
      </c>
      <c r="K358" t="s">
        <v>37</v>
      </c>
      <c r="L358" t="s">
        <v>42</v>
      </c>
      <c r="M358" s="6">
        <v>45357.291666666664</v>
      </c>
      <c r="N358" t="s">
        <v>4263</v>
      </c>
      <c r="O358" s="1">
        <v>45357</v>
      </c>
      <c r="P358" s="1">
        <v>45357.498425925929</v>
      </c>
      <c r="Q358" t="s">
        <v>4263</v>
      </c>
      <c r="R358" s="6">
        <v>45357.416666666664</v>
      </c>
      <c r="S358" t="s">
        <v>43</v>
      </c>
      <c r="T358">
        <v>19.989999999999998</v>
      </c>
      <c r="U358">
        <v>0</v>
      </c>
      <c r="V358">
        <v>19.989999999999998</v>
      </c>
      <c r="W358">
        <v>0</v>
      </c>
      <c r="X358">
        <v>0</v>
      </c>
      <c r="Y358">
        <v>0</v>
      </c>
      <c r="Z358">
        <v>19.989999999999998</v>
      </c>
      <c r="AA358" t="s">
        <v>44</v>
      </c>
      <c r="AB358" t="s">
        <v>45</v>
      </c>
      <c r="AC358" t="s">
        <v>46</v>
      </c>
      <c r="AD358" t="s">
        <v>37</v>
      </c>
      <c r="AE358" t="s">
        <v>37</v>
      </c>
      <c r="AF358" t="s">
        <v>1421</v>
      </c>
      <c r="AG358" t="s">
        <v>37</v>
      </c>
      <c r="AH358" t="s">
        <v>1418</v>
      </c>
      <c r="AI358" t="s">
        <v>37</v>
      </c>
    </row>
    <row r="359" spans="1:35" x14ac:dyDescent="0.25">
      <c r="A359" t="s">
        <v>1459</v>
      </c>
      <c r="B359" t="s">
        <v>34</v>
      </c>
      <c r="C359" t="s">
        <v>1460</v>
      </c>
      <c r="D359" t="s">
        <v>1461</v>
      </c>
      <c r="E359" t="s">
        <v>37</v>
      </c>
      <c r="F359" t="s">
        <v>1462</v>
      </c>
      <c r="G359" t="s">
        <v>39</v>
      </c>
      <c r="H359" t="s">
        <v>40</v>
      </c>
      <c r="I359" t="s">
        <v>41</v>
      </c>
      <c r="J359" t="s">
        <v>37</v>
      </c>
      <c r="K359" t="s">
        <v>37</v>
      </c>
      <c r="L359" t="s">
        <v>42</v>
      </c>
      <c r="M359" s="6">
        <v>45358.291666666664</v>
      </c>
      <c r="N359" t="s">
        <v>4264</v>
      </c>
      <c r="O359" s="1">
        <v>45358</v>
      </c>
      <c r="P359" s="1">
        <v>45357.914201388892</v>
      </c>
      <c r="Q359" t="s">
        <v>4264</v>
      </c>
      <c r="R359" s="6">
        <v>45358.416666666664</v>
      </c>
      <c r="S359" t="s">
        <v>43</v>
      </c>
      <c r="T359">
        <v>19.989999999999998</v>
      </c>
      <c r="U359">
        <v>0</v>
      </c>
      <c r="V359">
        <v>19.989999999999998</v>
      </c>
      <c r="W359">
        <v>0</v>
      </c>
      <c r="X359">
        <v>0</v>
      </c>
      <c r="Y359">
        <v>0</v>
      </c>
      <c r="Z359">
        <v>19.989999999999998</v>
      </c>
      <c r="AA359" t="s">
        <v>44</v>
      </c>
      <c r="AB359" t="s">
        <v>45</v>
      </c>
      <c r="AC359" t="s">
        <v>46</v>
      </c>
      <c r="AD359" t="s">
        <v>37</v>
      </c>
      <c r="AE359" t="s">
        <v>37</v>
      </c>
      <c r="AF359" t="s">
        <v>1463</v>
      </c>
      <c r="AG359" t="s">
        <v>37</v>
      </c>
      <c r="AH359" t="s">
        <v>1460</v>
      </c>
      <c r="AI359" t="s">
        <v>37</v>
      </c>
    </row>
    <row r="360" spans="1:35" x14ac:dyDescent="0.25">
      <c r="A360" t="s">
        <v>1464</v>
      </c>
      <c r="B360" t="s">
        <v>34</v>
      </c>
      <c r="C360" t="s">
        <v>1465</v>
      </c>
      <c r="D360" t="s">
        <v>1466</v>
      </c>
      <c r="E360" t="s">
        <v>37</v>
      </c>
      <c r="F360" t="s">
        <v>1467</v>
      </c>
      <c r="G360" t="s">
        <v>39</v>
      </c>
      <c r="H360" t="s">
        <v>40</v>
      </c>
      <c r="I360" t="s">
        <v>41</v>
      </c>
      <c r="J360" t="s">
        <v>37</v>
      </c>
      <c r="K360" t="s">
        <v>37</v>
      </c>
      <c r="L360" t="s">
        <v>42</v>
      </c>
      <c r="M360" s="6">
        <v>45358.291666666664</v>
      </c>
      <c r="N360" t="s">
        <v>4264</v>
      </c>
      <c r="O360" s="1">
        <v>45358</v>
      </c>
      <c r="P360" s="1">
        <v>45357.897800925923</v>
      </c>
      <c r="Q360" t="s">
        <v>4264</v>
      </c>
      <c r="R360" s="6">
        <v>45358.416666666664</v>
      </c>
      <c r="S360" t="s">
        <v>43</v>
      </c>
      <c r="T360">
        <v>19.989999999999998</v>
      </c>
      <c r="U360">
        <v>0</v>
      </c>
      <c r="V360">
        <v>19.989999999999998</v>
      </c>
      <c r="W360">
        <v>0</v>
      </c>
      <c r="X360">
        <v>0</v>
      </c>
      <c r="Y360">
        <v>0</v>
      </c>
      <c r="Z360">
        <v>19.989999999999998</v>
      </c>
      <c r="AA360" t="s">
        <v>44</v>
      </c>
      <c r="AB360" t="s">
        <v>45</v>
      </c>
      <c r="AC360" t="s">
        <v>46</v>
      </c>
      <c r="AD360" t="s">
        <v>37</v>
      </c>
      <c r="AE360" t="s">
        <v>37</v>
      </c>
      <c r="AF360" t="s">
        <v>1468</v>
      </c>
      <c r="AG360" t="s">
        <v>37</v>
      </c>
      <c r="AH360" t="s">
        <v>1465</v>
      </c>
      <c r="AI360" t="s">
        <v>37</v>
      </c>
    </row>
    <row r="361" spans="1:35" x14ac:dyDescent="0.25">
      <c r="A361" t="s">
        <v>1469</v>
      </c>
      <c r="B361" t="s">
        <v>34</v>
      </c>
      <c r="C361" t="s">
        <v>1460</v>
      </c>
      <c r="D361" t="s">
        <v>1461</v>
      </c>
      <c r="E361" t="s">
        <v>37</v>
      </c>
      <c r="F361" t="s">
        <v>1462</v>
      </c>
      <c r="G361" t="s">
        <v>39</v>
      </c>
      <c r="H361" t="s">
        <v>40</v>
      </c>
      <c r="I361" t="s">
        <v>41</v>
      </c>
      <c r="J361" t="s">
        <v>37</v>
      </c>
      <c r="K361" t="s">
        <v>37</v>
      </c>
      <c r="L361" t="s">
        <v>42</v>
      </c>
      <c r="M361" s="6">
        <v>45358.291666666664</v>
      </c>
      <c r="N361" t="s">
        <v>4264</v>
      </c>
      <c r="O361" s="1">
        <v>45358</v>
      </c>
      <c r="P361" s="1">
        <v>45357.912615740737</v>
      </c>
      <c r="Q361" t="s">
        <v>4264</v>
      </c>
      <c r="R361" s="6">
        <v>45358.416666666664</v>
      </c>
      <c r="S361" t="s">
        <v>43</v>
      </c>
      <c r="T361">
        <v>19.989999999999998</v>
      </c>
      <c r="U361">
        <v>0</v>
      </c>
      <c r="V361">
        <v>0</v>
      </c>
      <c r="W361">
        <v>0</v>
      </c>
      <c r="X361">
        <v>0</v>
      </c>
      <c r="Y361">
        <v>0</v>
      </c>
      <c r="Z361">
        <v>19.989999999999998</v>
      </c>
      <c r="AA361" t="s">
        <v>44</v>
      </c>
      <c r="AB361" t="s">
        <v>115</v>
      </c>
      <c r="AC361" t="s">
        <v>116</v>
      </c>
      <c r="AD361" t="s">
        <v>37</v>
      </c>
      <c r="AE361" t="s">
        <v>37</v>
      </c>
      <c r="AF361" t="s">
        <v>37</v>
      </c>
      <c r="AG361" t="s">
        <v>37</v>
      </c>
      <c r="AH361" t="s">
        <v>1460</v>
      </c>
      <c r="AI361" t="s">
        <v>37</v>
      </c>
    </row>
    <row r="362" spans="1:35" x14ac:dyDescent="0.25">
      <c r="A362" t="s">
        <v>1319</v>
      </c>
      <c r="B362" t="s">
        <v>34</v>
      </c>
      <c r="C362" t="s">
        <v>821</v>
      </c>
      <c r="D362" t="s">
        <v>822</v>
      </c>
      <c r="E362" t="s">
        <v>37</v>
      </c>
      <c r="F362" t="s">
        <v>823</v>
      </c>
      <c r="G362" t="s">
        <v>39</v>
      </c>
      <c r="H362" t="s">
        <v>40</v>
      </c>
      <c r="I362" t="s">
        <v>41</v>
      </c>
      <c r="J362" t="s">
        <v>37</v>
      </c>
      <c r="K362" t="s">
        <v>37</v>
      </c>
      <c r="L362" t="s">
        <v>42</v>
      </c>
      <c r="M362" s="6">
        <v>45359.291666666664</v>
      </c>
      <c r="N362" t="s">
        <v>4268</v>
      </c>
      <c r="O362" s="1">
        <v>45359</v>
      </c>
      <c r="P362" s="1">
        <v>45355.763541666667</v>
      </c>
      <c r="Q362" t="s">
        <v>4268</v>
      </c>
      <c r="R362" s="6">
        <v>45359.416666666664</v>
      </c>
      <c r="S362" t="s">
        <v>43</v>
      </c>
      <c r="T362">
        <v>19.989999999999998</v>
      </c>
      <c r="U362">
        <v>0</v>
      </c>
      <c r="V362">
        <v>19.989999999999998</v>
      </c>
      <c r="W362">
        <v>0</v>
      </c>
      <c r="X362">
        <v>0</v>
      </c>
      <c r="Y362">
        <v>0</v>
      </c>
      <c r="Z362">
        <v>19.989999999999998</v>
      </c>
      <c r="AA362" t="s">
        <v>44</v>
      </c>
      <c r="AB362" t="s">
        <v>45</v>
      </c>
      <c r="AC362" t="s">
        <v>46</v>
      </c>
      <c r="AD362" t="s">
        <v>37</v>
      </c>
      <c r="AE362" t="s">
        <v>37</v>
      </c>
      <c r="AF362" t="s">
        <v>1320</v>
      </c>
      <c r="AG362" t="s">
        <v>37</v>
      </c>
      <c r="AH362" t="s">
        <v>821</v>
      </c>
      <c r="AI362" t="s">
        <v>37</v>
      </c>
    </row>
    <row r="363" spans="1:35" x14ac:dyDescent="0.25">
      <c r="A363" t="s">
        <v>1434</v>
      </c>
      <c r="B363" t="s">
        <v>34</v>
      </c>
      <c r="C363" t="s">
        <v>1435</v>
      </c>
      <c r="D363" t="s">
        <v>1436</v>
      </c>
      <c r="E363" t="s">
        <v>37</v>
      </c>
      <c r="F363" t="s">
        <v>1437</v>
      </c>
      <c r="G363" t="s">
        <v>39</v>
      </c>
      <c r="H363" t="s">
        <v>40</v>
      </c>
      <c r="I363" t="s">
        <v>41</v>
      </c>
      <c r="J363" t="s">
        <v>37</v>
      </c>
      <c r="K363" t="s">
        <v>37</v>
      </c>
      <c r="L363" t="s">
        <v>42</v>
      </c>
      <c r="M363" s="6">
        <v>45359.291666666664</v>
      </c>
      <c r="N363" t="s">
        <v>4268</v>
      </c>
      <c r="O363" s="1">
        <v>45359</v>
      </c>
      <c r="P363" s="1">
        <v>45357.623368055552</v>
      </c>
      <c r="Q363" t="s">
        <v>4268</v>
      </c>
      <c r="R363" s="6">
        <v>45359.416666666664</v>
      </c>
      <c r="S363" t="s">
        <v>43</v>
      </c>
      <c r="T363">
        <v>19.989999999999998</v>
      </c>
      <c r="U363">
        <v>0</v>
      </c>
      <c r="V363">
        <v>19.989999999999998</v>
      </c>
      <c r="W363">
        <v>0</v>
      </c>
      <c r="X363">
        <v>0</v>
      </c>
      <c r="Y363">
        <v>0</v>
      </c>
      <c r="Z363">
        <v>19.989999999999998</v>
      </c>
      <c r="AA363" t="s">
        <v>44</v>
      </c>
      <c r="AB363" t="s">
        <v>45</v>
      </c>
      <c r="AC363" t="s">
        <v>46</v>
      </c>
      <c r="AD363" t="s">
        <v>37</v>
      </c>
      <c r="AE363" t="s">
        <v>37</v>
      </c>
      <c r="AF363" t="s">
        <v>1438</v>
      </c>
      <c r="AG363" t="s">
        <v>37</v>
      </c>
      <c r="AH363" t="s">
        <v>1435</v>
      </c>
      <c r="AI363" t="s">
        <v>37</v>
      </c>
    </row>
    <row r="364" spans="1:35" x14ac:dyDescent="0.25">
      <c r="A364" t="s">
        <v>1295</v>
      </c>
      <c r="B364" t="s">
        <v>34</v>
      </c>
      <c r="C364" t="s">
        <v>1296</v>
      </c>
      <c r="D364" t="s">
        <v>1297</v>
      </c>
      <c r="E364" t="s">
        <v>37</v>
      </c>
      <c r="F364" t="s">
        <v>1298</v>
      </c>
      <c r="G364" t="s">
        <v>39</v>
      </c>
      <c r="H364" t="s">
        <v>40</v>
      </c>
      <c r="I364" t="s">
        <v>41</v>
      </c>
      <c r="J364" t="s">
        <v>37</v>
      </c>
      <c r="K364" t="s">
        <v>37</v>
      </c>
      <c r="L364" t="s">
        <v>42</v>
      </c>
      <c r="M364" s="6">
        <v>45360.291666666664</v>
      </c>
      <c r="N364" t="s">
        <v>4265</v>
      </c>
      <c r="O364" s="1">
        <v>45360</v>
      </c>
      <c r="P364" s="1">
        <v>45354.844560185185</v>
      </c>
      <c r="Q364" t="s">
        <v>4265</v>
      </c>
      <c r="R364" s="6">
        <v>45360.416666666664</v>
      </c>
      <c r="S364" t="s">
        <v>43</v>
      </c>
      <c r="T364">
        <v>24.99</v>
      </c>
      <c r="U364">
        <v>0</v>
      </c>
      <c r="V364">
        <v>0</v>
      </c>
      <c r="W364">
        <v>0</v>
      </c>
      <c r="X364">
        <v>0</v>
      </c>
      <c r="Y364">
        <v>0</v>
      </c>
      <c r="Z364">
        <v>24.99</v>
      </c>
      <c r="AA364" t="s">
        <v>44</v>
      </c>
      <c r="AB364" t="s">
        <v>115</v>
      </c>
      <c r="AC364" t="s">
        <v>116</v>
      </c>
      <c r="AD364" t="s">
        <v>37</v>
      </c>
      <c r="AE364" t="s">
        <v>37</v>
      </c>
      <c r="AF364" t="s">
        <v>37</v>
      </c>
      <c r="AG364" t="s">
        <v>37</v>
      </c>
      <c r="AH364" t="s">
        <v>1296</v>
      </c>
      <c r="AI364" t="s">
        <v>37</v>
      </c>
    </row>
    <row r="365" spans="1:35" x14ac:dyDescent="0.25">
      <c r="A365" t="s">
        <v>1299</v>
      </c>
      <c r="B365" t="s">
        <v>34</v>
      </c>
      <c r="C365" t="s">
        <v>1296</v>
      </c>
      <c r="D365" t="s">
        <v>1297</v>
      </c>
      <c r="E365" t="s">
        <v>37</v>
      </c>
      <c r="F365" t="s">
        <v>1298</v>
      </c>
      <c r="G365" t="s">
        <v>39</v>
      </c>
      <c r="H365" t="s">
        <v>40</v>
      </c>
      <c r="I365" t="s">
        <v>41</v>
      </c>
      <c r="J365" t="s">
        <v>37</v>
      </c>
      <c r="K365" t="s">
        <v>37</v>
      </c>
      <c r="L365" t="s">
        <v>42</v>
      </c>
      <c r="M365" s="6">
        <v>45360.291666666664</v>
      </c>
      <c r="N365" t="s">
        <v>4265</v>
      </c>
      <c r="O365" s="1">
        <v>45360</v>
      </c>
      <c r="P365" s="1">
        <v>45354.845081018517</v>
      </c>
      <c r="Q365" t="s">
        <v>4265</v>
      </c>
      <c r="R365" s="6">
        <v>45360.416666666664</v>
      </c>
      <c r="S365" t="s">
        <v>43</v>
      </c>
      <c r="T365">
        <v>24.99</v>
      </c>
      <c r="U365">
        <v>0</v>
      </c>
      <c r="V365">
        <v>24.99</v>
      </c>
      <c r="W365">
        <v>0</v>
      </c>
      <c r="X365">
        <v>0</v>
      </c>
      <c r="Y365">
        <v>0</v>
      </c>
      <c r="Z365">
        <v>24.99</v>
      </c>
      <c r="AA365" t="s">
        <v>44</v>
      </c>
      <c r="AB365" t="s">
        <v>45</v>
      </c>
      <c r="AC365" t="s">
        <v>46</v>
      </c>
      <c r="AD365" t="s">
        <v>37</v>
      </c>
      <c r="AE365" t="s">
        <v>37</v>
      </c>
      <c r="AF365" t="s">
        <v>1300</v>
      </c>
      <c r="AG365" t="s">
        <v>37</v>
      </c>
      <c r="AH365" t="s">
        <v>1296</v>
      </c>
      <c r="AI365" t="s">
        <v>37</v>
      </c>
    </row>
    <row r="366" spans="1:35" x14ac:dyDescent="0.25">
      <c r="A366" t="s">
        <v>1321</v>
      </c>
      <c r="B366" t="s">
        <v>34</v>
      </c>
      <c r="C366" t="s">
        <v>821</v>
      </c>
      <c r="D366" t="s">
        <v>822</v>
      </c>
      <c r="E366" t="s">
        <v>37</v>
      </c>
      <c r="F366" t="s">
        <v>823</v>
      </c>
      <c r="G366" t="s">
        <v>39</v>
      </c>
      <c r="H366" t="s">
        <v>40</v>
      </c>
      <c r="I366" t="s">
        <v>41</v>
      </c>
      <c r="J366" t="s">
        <v>37</v>
      </c>
      <c r="K366" t="s">
        <v>37</v>
      </c>
      <c r="L366" t="s">
        <v>42</v>
      </c>
      <c r="M366" s="6">
        <v>45360.291666666664</v>
      </c>
      <c r="N366" t="s">
        <v>4265</v>
      </c>
      <c r="O366" s="1">
        <v>45360</v>
      </c>
      <c r="P366" s="1">
        <v>45355.763888888891</v>
      </c>
      <c r="Q366" t="s">
        <v>4265</v>
      </c>
      <c r="R366" s="6">
        <v>45360.416666666664</v>
      </c>
      <c r="S366" t="s">
        <v>43</v>
      </c>
      <c r="T366">
        <v>24.99</v>
      </c>
      <c r="U366">
        <v>0</v>
      </c>
      <c r="V366">
        <v>24.99</v>
      </c>
      <c r="W366">
        <v>0</v>
      </c>
      <c r="X366">
        <v>0</v>
      </c>
      <c r="Y366">
        <v>0</v>
      </c>
      <c r="Z366">
        <v>24.99</v>
      </c>
      <c r="AA366" t="s">
        <v>44</v>
      </c>
      <c r="AB366" t="s">
        <v>45</v>
      </c>
      <c r="AC366" t="s">
        <v>46</v>
      </c>
      <c r="AD366" t="s">
        <v>37</v>
      </c>
      <c r="AE366" t="s">
        <v>37</v>
      </c>
      <c r="AF366" t="s">
        <v>1322</v>
      </c>
      <c r="AG366" t="s">
        <v>37</v>
      </c>
      <c r="AH366" t="s">
        <v>821</v>
      </c>
      <c r="AI366" t="s">
        <v>37</v>
      </c>
    </row>
    <row r="367" spans="1:35" x14ac:dyDescent="0.25">
      <c r="A367" t="s">
        <v>1470</v>
      </c>
      <c r="B367" t="s">
        <v>34</v>
      </c>
      <c r="C367" t="s">
        <v>1026</v>
      </c>
      <c r="D367" t="s">
        <v>1027</v>
      </c>
      <c r="E367" t="s">
        <v>37</v>
      </c>
      <c r="F367" t="s">
        <v>1028</v>
      </c>
      <c r="G367" t="s">
        <v>39</v>
      </c>
      <c r="H367" t="s">
        <v>40</v>
      </c>
      <c r="I367" t="s">
        <v>41</v>
      </c>
      <c r="J367" t="s">
        <v>37</v>
      </c>
      <c r="K367" t="s">
        <v>37</v>
      </c>
      <c r="L367" t="s">
        <v>42</v>
      </c>
      <c r="M367" s="6">
        <v>45360.291666666664</v>
      </c>
      <c r="N367" t="s">
        <v>4265</v>
      </c>
      <c r="O367" s="1">
        <v>45360</v>
      </c>
      <c r="P367" s="1">
        <v>45357.949918981481</v>
      </c>
      <c r="Q367" t="s">
        <v>4265</v>
      </c>
      <c r="R367" s="6">
        <v>45360.416666666664</v>
      </c>
      <c r="S367" t="s">
        <v>43</v>
      </c>
      <c r="T367">
        <v>24.99</v>
      </c>
      <c r="U367">
        <v>0</v>
      </c>
      <c r="V367">
        <v>24.99</v>
      </c>
      <c r="W367">
        <v>0</v>
      </c>
      <c r="X367">
        <v>0</v>
      </c>
      <c r="Y367">
        <v>0</v>
      </c>
      <c r="Z367">
        <v>24.99</v>
      </c>
      <c r="AA367" t="s">
        <v>44</v>
      </c>
      <c r="AB367" t="s">
        <v>45</v>
      </c>
      <c r="AC367" t="s">
        <v>46</v>
      </c>
      <c r="AD367" t="s">
        <v>37</v>
      </c>
      <c r="AE367" t="s">
        <v>37</v>
      </c>
      <c r="AF367" t="s">
        <v>1471</v>
      </c>
      <c r="AG367" t="s">
        <v>37</v>
      </c>
      <c r="AH367" t="s">
        <v>1026</v>
      </c>
      <c r="AI367" t="s">
        <v>37</v>
      </c>
    </row>
    <row r="368" spans="1:35" x14ac:dyDescent="0.25">
      <c r="A368" t="s">
        <v>1541</v>
      </c>
      <c r="B368" t="s">
        <v>34</v>
      </c>
      <c r="C368" t="s">
        <v>1542</v>
      </c>
      <c r="D368" t="s">
        <v>1543</v>
      </c>
      <c r="E368" t="s">
        <v>37</v>
      </c>
      <c r="F368" t="s">
        <v>1544</v>
      </c>
      <c r="G368" t="s">
        <v>39</v>
      </c>
      <c r="H368" t="s">
        <v>40</v>
      </c>
      <c r="I368" t="s">
        <v>41</v>
      </c>
      <c r="J368" t="s">
        <v>37</v>
      </c>
      <c r="K368" t="s">
        <v>37</v>
      </c>
      <c r="L368" t="s">
        <v>42</v>
      </c>
      <c r="M368" s="6">
        <v>45360.291666666664</v>
      </c>
      <c r="N368" t="s">
        <v>4265</v>
      </c>
      <c r="O368" s="1">
        <v>45360</v>
      </c>
      <c r="P368" s="1">
        <v>45360.409398148149</v>
      </c>
      <c r="Q368" t="s">
        <v>4265</v>
      </c>
      <c r="R368" s="6">
        <v>45360.416666666664</v>
      </c>
      <c r="S368" t="s">
        <v>43</v>
      </c>
      <c r="T368">
        <v>49.98</v>
      </c>
      <c r="U368">
        <v>0</v>
      </c>
      <c r="V368">
        <v>49.98</v>
      </c>
      <c r="W368">
        <v>0</v>
      </c>
      <c r="X368">
        <v>0</v>
      </c>
      <c r="Y368">
        <v>0</v>
      </c>
      <c r="Z368">
        <v>49.98</v>
      </c>
      <c r="AA368" t="s">
        <v>44</v>
      </c>
      <c r="AB368" t="s">
        <v>45</v>
      </c>
      <c r="AC368" t="s">
        <v>46</v>
      </c>
      <c r="AD368" t="s">
        <v>37</v>
      </c>
      <c r="AE368" t="s">
        <v>37</v>
      </c>
      <c r="AF368" t="s">
        <v>1545</v>
      </c>
      <c r="AG368" t="s">
        <v>37</v>
      </c>
      <c r="AH368" t="s">
        <v>1542</v>
      </c>
      <c r="AI368" t="s">
        <v>37</v>
      </c>
    </row>
    <row r="369" spans="1:35" x14ac:dyDescent="0.25">
      <c r="A369" t="s">
        <v>1587</v>
      </c>
      <c r="B369" t="s">
        <v>34</v>
      </c>
      <c r="C369" t="s">
        <v>1588</v>
      </c>
      <c r="D369" t="s">
        <v>1589</v>
      </c>
      <c r="E369" t="s">
        <v>37</v>
      </c>
      <c r="F369" t="s">
        <v>1590</v>
      </c>
      <c r="G369" t="s">
        <v>39</v>
      </c>
      <c r="H369" t="s">
        <v>40</v>
      </c>
      <c r="I369" t="s">
        <v>41</v>
      </c>
      <c r="J369" t="s">
        <v>37</v>
      </c>
      <c r="K369" t="s">
        <v>37</v>
      </c>
      <c r="L369" t="s">
        <v>42</v>
      </c>
      <c r="M369" s="6">
        <v>45360.291666666664</v>
      </c>
      <c r="N369" t="s">
        <v>4265</v>
      </c>
      <c r="O369" s="1">
        <v>45360</v>
      </c>
      <c r="P369" s="1">
        <v>45359.319189814814</v>
      </c>
      <c r="Q369" t="s">
        <v>4265</v>
      </c>
      <c r="R369" s="6">
        <v>45360.416666666664</v>
      </c>
      <c r="S369" t="s">
        <v>43</v>
      </c>
      <c r="T369">
        <v>24.99</v>
      </c>
      <c r="U369">
        <v>0</v>
      </c>
      <c r="V369">
        <v>24.99</v>
      </c>
      <c r="W369">
        <v>0</v>
      </c>
      <c r="X369">
        <v>0</v>
      </c>
      <c r="Y369">
        <v>0</v>
      </c>
      <c r="Z369">
        <v>24.99</v>
      </c>
      <c r="AA369" t="s">
        <v>44</v>
      </c>
      <c r="AB369" t="s">
        <v>45</v>
      </c>
      <c r="AC369" t="s">
        <v>46</v>
      </c>
      <c r="AD369" t="s">
        <v>37</v>
      </c>
      <c r="AE369" t="s">
        <v>37</v>
      </c>
      <c r="AF369" t="s">
        <v>1591</v>
      </c>
      <c r="AG369" t="s">
        <v>37</v>
      </c>
      <c r="AH369" t="s">
        <v>1588</v>
      </c>
      <c r="AI369" t="s">
        <v>37</v>
      </c>
    </row>
    <row r="370" spans="1:35" x14ac:dyDescent="0.25">
      <c r="A370" t="s">
        <v>1622</v>
      </c>
      <c r="B370" t="s">
        <v>34</v>
      </c>
      <c r="C370" t="s">
        <v>260</v>
      </c>
      <c r="D370" t="s">
        <v>261</v>
      </c>
      <c r="E370" t="s">
        <v>37</v>
      </c>
      <c r="F370" t="s">
        <v>262</v>
      </c>
      <c r="G370" t="s">
        <v>39</v>
      </c>
      <c r="H370" t="s">
        <v>40</v>
      </c>
      <c r="I370" t="s">
        <v>41</v>
      </c>
      <c r="J370" t="s">
        <v>37</v>
      </c>
      <c r="K370" t="s">
        <v>37</v>
      </c>
      <c r="L370" t="s">
        <v>42</v>
      </c>
      <c r="M370" s="6">
        <v>45360.291666666664</v>
      </c>
      <c r="N370" t="s">
        <v>4265</v>
      </c>
      <c r="O370" s="1">
        <v>45360</v>
      </c>
      <c r="P370" s="1">
        <v>45359.643587962964</v>
      </c>
      <c r="Q370" t="s">
        <v>4265</v>
      </c>
      <c r="R370" s="6">
        <v>45360.416666666664</v>
      </c>
      <c r="S370" t="s">
        <v>43</v>
      </c>
      <c r="T370">
        <v>24.99</v>
      </c>
      <c r="U370">
        <v>0</v>
      </c>
      <c r="V370">
        <v>24.99</v>
      </c>
      <c r="W370">
        <v>0</v>
      </c>
      <c r="X370">
        <v>0</v>
      </c>
      <c r="Y370">
        <v>0</v>
      </c>
      <c r="Z370">
        <v>24.99</v>
      </c>
      <c r="AA370" t="s">
        <v>44</v>
      </c>
      <c r="AB370" t="s">
        <v>45</v>
      </c>
      <c r="AC370" t="s">
        <v>46</v>
      </c>
      <c r="AD370" t="s">
        <v>37</v>
      </c>
      <c r="AE370" t="s">
        <v>37</v>
      </c>
      <c r="AF370" t="s">
        <v>1623</v>
      </c>
      <c r="AG370" t="s">
        <v>37</v>
      </c>
      <c r="AH370" t="s">
        <v>263</v>
      </c>
      <c r="AI370" t="s">
        <v>37</v>
      </c>
    </row>
    <row r="371" spans="1:35" x14ac:dyDescent="0.25">
      <c r="A371" t="s">
        <v>1640</v>
      </c>
      <c r="B371" t="s">
        <v>34</v>
      </c>
      <c r="C371" t="s">
        <v>988</v>
      </c>
      <c r="D371" t="s">
        <v>989</v>
      </c>
      <c r="E371" t="s">
        <v>37</v>
      </c>
      <c r="F371" t="s">
        <v>990</v>
      </c>
      <c r="G371" t="s">
        <v>39</v>
      </c>
      <c r="H371" t="s">
        <v>40</v>
      </c>
      <c r="I371" t="s">
        <v>41</v>
      </c>
      <c r="J371" t="s">
        <v>37</v>
      </c>
      <c r="K371" t="s">
        <v>37</v>
      </c>
      <c r="L371" t="s">
        <v>42</v>
      </c>
      <c r="M371" s="6">
        <v>45360.291666666664</v>
      </c>
      <c r="N371" t="s">
        <v>4265</v>
      </c>
      <c r="O371" s="1">
        <v>45360</v>
      </c>
      <c r="P371" s="1">
        <v>45359.745567129627</v>
      </c>
      <c r="Q371" t="s">
        <v>4265</v>
      </c>
      <c r="R371" s="6">
        <v>45360.416666666664</v>
      </c>
      <c r="S371" t="s">
        <v>43</v>
      </c>
      <c r="T371">
        <v>24.99</v>
      </c>
      <c r="U371">
        <v>0</v>
      </c>
      <c r="V371">
        <v>24.99</v>
      </c>
      <c r="W371">
        <v>0</v>
      </c>
      <c r="X371">
        <v>0</v>
      </c>
      <c r="Y371">
        <v>0</v>
      </c>
      <c r="Z371">
        <v>24.99</v>
      </c>
      <c r="AA371" t="s">
        <v>44</v>
      </c>
      <c r="AB371" t="s">
        <v>45</v>
      </c>
      <c r="AC371" t="s">
        <v>46</v>
      </c>
      <c r="AD371" t="s">
        <v>37</v>
      </c>
      <c r="AE371" t="s">
        <v>37</v>
      </c>
      <c r="AF371" t="s">
        <v>1641</v>
      </c>
      <c r="AG371" t="s">
        <v>37</v>
      </c>
      <c r="AH371" t="s">
        <v>988</v>
      </c>
      <c r="AI371" t="s">
        <v>37</v>
      </c>
    </row>
    <row r="372" spans="1:35" x14ac:dyDescent="0.25">
      <c r="A372" t="s">
        <v>1893</v>
      </c>
      <c r="B372" t="s">
        <v>34</v>
      </c>
      <c r="C372" t="s">
        <v>1894</v>
      </c>
      <c r="D372" t="s">
        <v>1895</v>
      </c>
      <c r="E372" t="s">
        <v>37</v>
      </c>
      <c r="F372" t="s">
        <v>1896</v>
      </c>
      <c r="G372" t="s">
        <v>39</v>
      </c>
      <c r="H372" t="s">
        <v>40</v>
      </c>
      <c r="I372" t="s">
        <v>41</v>
      </c>
      <c r="J372" t="s">
        <v>37</v>
      </c>
      <c r="K372" t="s">
        <v>37</v>
      </c>
      <c r="L372" t="s">
        <v>42</v>
      </c>
      <c r="M372" s="6">
        <v>45360.291666666664</v>
      </c>
      <c r="N372" t="s">
        <v>4265</v>
      </c>
      <c r="O372" s="1">
        <v>45360</v>
      </c>
      <c r="P372" s="1">
        <v>45353.429965277777</v>
      </c>
      <c r="Q372" t="s">
        <v>4265</v>
      </c>
      <c r="R372" s="6">
        <v>45360.416666666664</v>
      </c>
      <c r="S372" t="s">
        <v>43</v>
      </c>
      <c r="T372">
        <v>49.98</v>
      </c>
      <c r="U372">
        <v>0</v>
      </c>
      <c r="V372">
        <v>49.98</v>
      </c>
      <c r="W372">
        <v>0</v>
      </c>
      <c r="X372">
        <v>0</v>
      </c>
      <c r="Y372">
        <v>0</v>
      </c>
      <c r="Z372">
        <v>49.98</v>
      </c>
      <c r="AA372" t="s">
        <v>44</v>
      </c>
      <c r="AB372" t="s">
        <v>45</v>
      </c>
      <c r="AC372" t="s">
        <v>46</v>
      </c>
      <c r="AD372" t="s">
        <v>37</v>
      </c>
      <c r="AE372" t="s">
        <v>37</v>
      </c>
      <c r="AF372" t="s">
        <v>1897</v>
      </c>
      <c r="AG372" t="s">
        <v>37</v>
      </c>
      <c r="AH372" t="s">
        <v>1898</v>
      </c>
      <c r="AI372" t="s">
        <v>37</v>
      </c>
    </row>
    <row r="373" spans="1:35" x14ac:dyDescent="0.25">
      <c r="A373" t="s">
        <v>1915</v>
      </c>
      <c r="B373" t="s">
        <v>34</v>
      </c>
      <c r="C373" t="s">
        <v>1916</v>
      </c>
      <c r="D373" t="s">
        <v>1917</v>
      </c>
      <c r="E373" t="s">
        <v>37</v>
      </c>
      <c r="F373" t="s">
        <v>1918</v>
      </c>
      <c r="G373" t="s">
        <v>39</v>
      </c>
      <c r="H373" t="s">
        <v>40</v>
      </c>
      <c r="I373" t="s">
        <v>41</v>
      </c>
      <c r="J373" t="s">
        <v>37</v>
      </c>
      <c r="K373" t="s">
        <v>37</v>
      </c>
      <c r="L373" t="s">
        <v>42</v>
      </c>
      <c r="M373" s="6">
        <v>45360.291666666664</v>
      </c>
      <c r="N373" t="s">
        <v>4265</v>
      </c>
      <c r="O373" s="1">
        <v>45360</v>
      </c>
      <c r="P373" s="1">
        <v>45353.639363425929</v>
      </c>
      <c r="Q373" t="s">
        <v>4265</v>
      </c>
      <c r="R373" s="6">
        <v>45360.416666666664</v>
      </c>
      <c r="S373" t="s">
        <v>43</v>
      </c>
      <c r="T373">
        <v>24.99</v>
      </c>
      <c r="U373">
        <v>0</v>
      </c>
      <c r="V373">
        <v>24.99</v>
      </c>
      <c r="W373">
        <v>0</v>
      </c>
      <c r="X373">
        <v>0</v>
      </c>
      <c r="Y373">
        <v>0</v>
      </c>
      <c r="Z373">
        <v>24.99</v>
      </c>
      <c r="AA373" t="s">
        <v>44</v>
      </c>
      <c r="AB373" t="s">
        <v>45</v>
      </c>
      <c r="AC373" t="s">
        <v>46</v>
      </c>
      <c r="AD373" t="s">
        <v>37</v>
      </c>
      <c r="AE373" t="s">
        <v>37</v>
      </c>
      <c r="AF373" t="s">
        <v>1919</v>
      </c>
      <c r="AG373" t="s">
        <v>37</v>
      </c>
      <c r="AH373" t="s">
        <v>1916</v>
      </c>
      <c r="AI373" t="s">
        <v>37</v>
      </c>
    </row>
    <row r="374" spans="1:35" x14ac:dyDescent="0.25">
      <c r="A374" t="s">
        <v>1659</v>
      </c>
      <c r="B374" t="s">
        <v>34</v>
      </c>
      <c r="C374" t="s">
        <v>1660</v>
      </c>
      <c r="D374" t="s">
        <v>1661</v>
      </c>
      <c r="E374" t="s">
        <v>37</v>
      </c>
      <c r="F374" t="s">
        <v>1387</v>
      </c>
      <c r="G374" t="s">
        <v>39</v>
      </c>
      <c r="H374" t="s">
        <v>40</v>
      </c>
      <c r="I374" t="s">
        <v>41</v>
      </c>
      <c r="J374" t="s">
        <v>37</v>
      </c>
      <c r="K374" t="s">
        <v>37</v>
      </c>
      <c r="L374" t="s">
        <v>42</v>
      </c>
      <c r="M374" s="6">
        <v>45360.367337962962</v>
      </c>
      <c r="N374" t="s">
        <v>4265</v>
      </c>
      <c r="O374" s="1">
        <v>45360.075671296298</v>
      </c>
      <c r="P374" s="1">
        <v>45360.367395833331</v>
      </c>
      <c r="Q374" t="s">
        <v>4265</v>
      </c>
      <c r="R374" s="6">
        <v>45360.416666666664</v>
      </c>
      <c r="S374" t="s">
        <v>43</v>
      </c>
      <c r="T374">
        <v>24.99</v>
      </c>
      <c r="U374">
        <v>0</v>
      </c>
      <c r="V374">
        <v>24.99</v>
      </c>
      <c r="W374">
        <v>0</v>
      </c>
      <c r="X374">
        <v>0</v>
      </c>
      <c r="Y374">
        <v>0</v>
      </c>
      <c r="Z374">
        <v>24.99</v>
      </c>
      <c r="AA374" t="s">
        <v>44</v>
      </c>
      <c r="AB374" t="s">
        <v>45</v>
      </c>
      <c r="AC374" t="s">
        <v>46</v>
      </c>
      <c r="AD374" t="s">
        <v>37</v>
      </c>
      <c r="AE374" t="s">
        <v>37</v>
      </c>
      <c r="AF374" t="s">
        <v>1662</v>
      </c>
      <c r="AG374" t="s">
        <v>37</v>
      </c>
      <c r="AH374" t="s">
        <v>1660</v>
      </c>
      <c r="AI374" t="s">
        <v>37</v>
      </c>
    </row>
    <row r="375" spans="1:35" x14ac:dyDescent="0.25">
      <c r="A375" t="s">
        <v>1663</v>
      </c>
      <c r="B375" t="s">
        <v>34</v>
      </c>
      <c r="C375" t="s">
        <v>1664</v>
      </c>
      <c r="D375" t="s">
        <v>1665</v>
      </c>
      <c r="E375" t="s">
        <v>37</v>
      </c>
      <c r="F375" t="s">
        <v>1666</v>
      </c>
      <c r="G375" t="s">
        <v>39</v>
      </c>
      <c r="H375" t="s">
        <v>40</v>
      </c>
      <c r="I375" t="s">
        <v>41</v>
      </c>
      <c r="J375" t="s">
        <v>37</v>
      </c>
      <c r="K375" t="s">
        <v>37</v>
      </c>
      <c r="L375" t="s">
        <v>42</v>
      </c>
      <c r="M375" s="6">
        <v>45360.369560185187</v>
      </c>
      <c r="N375" t="s">
        <v>4265</v>
      </c>
      <c r="O375" s="1">
        <v>45360.077893518515</v>
      </c>
      <c r="P375" s="1">
        <v>45360.369606481479</v>
      </c>
      <c r="Q375" t="s">
        <v>4265</v>
      </c>
      <c r="R375" s="6">
        <v>45360.416666666664</v>
      </c>
      <c r="S375" t="s">
        <v>43</v>
      </c>
      <c r="T375">
        <v>24.99</v>
      </c>
      <c r="U375">
        <v>0</v>
      </c>
      <c r="V375">
        <v>24.99</v>
      </c>
      <c r="W375">
        <v>0</v>
      </c>
      <c r="X375">
        <v>0</v>
      </c>
      <c r="Y375">
        <v>0</v>
      </c>
      <c r="Z375">
        <v>24.99</v>
      </c>
      <c r="AA375" t="s">
        <v>44</v>
      </c>
      <c r="AB375" t="s">
        <v>45</v>
      </c>
      <c r="AC375" t="s">
        <v>46</v>
      </c>
      <c r="AD375" t="s">
        <v>37</v>
      </c>
      <c r="AE375" t="s">
        <v>37</v>
      </c>
      <c r="AF375" t="s">
        <v>1667</v>
      </c>
      <c r="AG375" t="s">
        <v>37</v>
      </c>
      <c r="AH375" t="s">
        <v>1664</v>
      </c>
      <c r="AI375" t="s">
        <v>37</v>
      </c>
    </row>
    <row r="376" spans="1:35" x14ac:dyDescent="0.25">
      <c r="A376" t="s">
        <v>1668</v>
      </c>
      <c r="B376" t="s">
        <v>34</v>
      </c>
      <c r="C376" t="s">
        <v>458</v>
      </c>
      <c r="D376" t="s">
        <v>459</v>
      </c>
      <c r="E376" t="s">
        <v>37</v>
      </c>
      <c r="F376" t="s">
        <v>460</v>
      </c>
      <c r="G376" t="s">
        <v>39</v>
      </c>
      <c r="H376" t="s">
        <v>40</v>
      </c>
      <c r="I376" t="s">
        <v>41</v>
      </c>
      <c r="J376" t="s">
        <v>37</v>
      </c>
      <c r="K376" t="s">
        <v>37</v>
      </c>
      <c r="L376" t="s">
        <v>42</v>
      </c>
      <c r="M376" s="6">
        <v>45360.453356481485</v>
      </c>
      <c r="N376" t="s">
        <v>4265</v>
      </c>
      <c r="O376" s="1">
        <v>45360.161689814813</v>
      </c>
      <c r="P376" s="1">
        <v>45360.453483796293</v>
      </c>
      <c r="Q376" t="s">
        <v>4265</v>
      </c>
      <c r="R376" s="6">
        <v>45360.416666666664</v>
      </c>
      <c r="S376" t="s">
        <v>43</v>
      </c>
      <c r="T376">
        <v>49.98</v>
      </c>
      <c r="U376">
        <v>0</v>
      </c>
      <c r="V376">
        <v>49.98</v>
      </c>
      <c r="W376">
        <v>0</v>
      </c>
      <c r="X376">
        <v>0</v>
      </c>
      <c r="Y376">
        <v>0</v>
      </c>
      <c r="Z376">
        <v>49.98</v>
      </c>
      <c r="AA376" t="s">
        <v>44</v>
      </c>
      <c r="AB376" t="s">
        <v>45</v>
      </c>
      <c r="AC376" t="s">
        <v>46</v>
      </c>
      <c r="AD376" t="s">
        <v>37</v>
      </c>
      <c r="AE376" t="s">
        <v>37</v>
      </c>
      <c r="AF376" t="s">
        <v>1669</v>
      </c>
      <c r="AG376" t="s">
        <v>37</v>
      </c>
      <c r="AH376" t="s">
        <v>458</v>
      </c>
      <c r="AI376" t="s">
        <v>37</v>
      </c>
    </row>
    <row r="377" spans="1:35" x14ac:dyDescent="0.25">
      <c r="A377" t="s">
        <v>1522</v>
      </c>
      <c r="B377" t="s">
        <v>34</v>
      </c>
      <c r="C377" t="s">
        <v>1039</v>
      </c>
      <c r="D377" t="s">
        <v>1040</v>
      </c>
      <c r="E377" t="s">
        <v>37</v>
      </c>
      <c r="F377" t="s">
        <v>1041</v>
      </c>
      <c r="G377" t="s">
        <v>39</v>
      </c>
      <c r="H377" t="s">
        <v>40</v>
      </c>
      <c r="I377" t="s">
        <v>41</v>
      </c>
      <c r="J377" t="s">
        <v>37</v>
      </c>
      <c r="K377" t="s">
        <v>37</v>
      </c>
      <c r="L377" t="s">
        <v>42</v>
      </c>
      <c r="M377" s="6">
        <v>45361.291666666664</v>
      </c>
      <c r="N377" t="s">
        <v>4265</v>
      </c>
      <c r="O377" s="1">
        <v>45360.958333333336</v>
      </c>
      <c r="P377" s="1">
        <v>45358.646516203706</v>
      </c>
      <c r="Q377" t="s">
        <v>4266</v>
      </c>
      <c r="R377" s="6">
        <v>45361.416666666664</v>
      </c>
      <c r="S377" t="s">
        <v>43</v>
      </c>
      <c r="T377">
        <v>24.99</v>
      </c>
      <c r="U377">
        <v>0</v>
      </c>
      <c r="V377">
        <v>24.99</v>
      </c>
      <c r="W377">
        <v>0</v>
      </c>
      <c r="X377">
        <v>0</v>
      </c>
      <c r="Y377">
        <v>0</v>
      </c>
      <c r="Z377">
        <v>24.99</v>
      </c>
      <c r="AA377" t="s">
        <v>44</v>
      </c>
      <c r="AB377" t="s">
        <v>45</v>
      </c>
      <c r="AC377" t="s">
        <v>46</v>
      </c>
      <c r="AD377" t="s">
        <v>37</v>
      </c>
      <c r="AE377" t="s">
        <v>37</v>
      </c>
      <c r="AF377" t="s">
        <v>1523</v>
      </c>
      <c r="AG377" t="s">
        <v>37</v>
      </c>
      <c r="AH377" t="s">
        <v>1039</v>
      </c>
      <c r="AI377" t="s">
        <v>37</v>
      </c>
    </row>
    <row r="378" spans="1:35" x14ac:dyDescent="0.25">
      <c r="A378" t="s">
        <v>1546</v>
      </c>
      <c r="B378" t="s">
        <v>34</v>
      </c>
      <c r="C378" t="s">
        <v>1542</v>
      </c>
      <c r="D378" t="s">
        <v>1543</v>
      </c>
      <c r="E378" t="s">
        <v>37</v>
      </c>
      <c r="F378" t="s">
        <v>1544</v>
      </c>
      <c r="G378" t="s">
        <v>39</v>
      </c>
      <c r="H378" t="s">
        <v>40</v>
      </c>
      <c r="I378" t="s">
        <v>41</v>
      </c>
      <c r="J378" t="s">
        <v>37</v>
      </c>
      <c r="K378" t="s">
        <v>37</v>
      </c>
      <c r="L378" t="s">
        <v>42</v>
      </c>
      <c r="M378" s="6">
        <v>45361.291666666664</v>
      </c>
      <c r="N378" t="s">
        <v>4265</v>
      </c>
      <c r="O378" s="1">
        <v>45360.958333333336</v>
      </c>
      <c r="P378" s="1">
        <v>45360.409398148149</v>
      </c>
      <c r="Q378" t="s">
        <v>4266</v>
      </c>
      <c r="R378" s="6">
        <v>45361.416666666664</v>
      </c>
      <c r="S378" t="s">
        <v>43</v>
      </c>
      <c r="T378">
        <v>49.98</v>
      </c>
      <c r="U378">
        <v>0</v>
      </c>
      <c r="V378">
        <v>49.98</v>
      </c>
      <c r="W378">
        <v>0</v>
      </c>
      <c r="X378">
        <v>0</v>
      </c>
      <c r="Y378">
        <v>0</v>
      </c>
      <c r="Z378">
        <v>49.98</v>
      </c>
      <c r="AA378" t="s">
        <v>44</v>
      </c>
      <c r="AB378" t="s">
        <v>45</v>
      </c>
      <c r="AC378" t="s">
        <v>46</v>
      </c>
      <c r="AD378" t="s">
        <v>37</v>
      </c>
      <c r="AE378" t="s">
        <v>37</v>
      </c>
      <c r="AF378" t="s">
        <v>1545</v>
      </c>
      <c r="AG378" t="s">
        <v>37</v>
      </c>
      <c r="AH378" t="s">
        <v>1542</v>
      </c>
      <c r="AI378" t="s">
        <v>37</v>
      </c>
    </row>
    <row r="379" spans="1:35" x14ac:dyDescent="0.25">
      <c r="A379" t="s">
        <v>1577</v>
      </c>
      <c r="B379" t="s">
        <v>34</v>
      </c>
      <c r="C379" t="s">
        <v>1578</v>
      </c>
      <c r="D379" t="s">
        <v>1579</v>
      </c>
      <c r="E379" t="s">
        <v>37</v>
      </c>
      <c r="F379" t="s">
        <v>1580</v>
      </c>
      <c r="G379" t="s">
        <v>39</v>
      </c>
      <c r="H379" t="s">
        <v>40</v>
      </c>
      <c r="I379" t="s">
        <v>41</v>
      </c>
      <c r="J379" t="s">
        <v>37</v>
      </c>
      <c r="K379" t="s">
        <v>37</v>
      </c>
      <c r="L379" t="s">
        <v>42</v>
      </c>
      <c r="M379" s="6">
        <v>45361.291666666664</v>
      </c>
      <c r="N379" t="s">
        <v>4265</v>
      </c>
      <c r="O379" s="1">
        <v>45360.958333333336</v>
      </c>
      <c r="P379" s="1">
        <v>45359.02648148148</v>
      </c>
      <c r="Q379" t="s">
        <v>4266</v>
      </c>
      <c r="R379" s="6">
        <v>45361.416666666664</v>
      </c>
      <c r="S379" t="s">
        <v>43</v>
      </c>
      <c r="T379">
        <v>24.99</v>
      </c>
      <c r="U379">
        <v>0</v>
      </c>
      <c r="V379">
        <v>24.99</v>
      </c>
      <c r="W379">
        <v>0</v>
      </c>
      <c r="X379">
        <v>0</v>
      </c>
      <c r="Y379">
        <v>0</v>
      </c>
      <c r="Z379">
        <v>24.99</v>
      </c>
      <c r="AA379" t="s">
        <v>44</v>
      </c>
      <c r="AB379" t="s">
        <v>45</v>
      </c>
      <c r="AC379" t="s">
        <v>46</v>
      </c>
      <c r="AD379" t="s">
        <v>37</v>
      </c>
      <c r="AE379" t="s">
        <v>37</v>
      </c>
      <c r="AF379" t="s">
        <v>1581</v>
      </c>
      <c r="AG379" t="s">
        <v>37</v>
      </c>
      <c r="AH379" t="s">
        <v>1578</v>
      </c>
      <c r="AI379" t="s">
        <v>37</v>
      </c>
    </row>
    <row r="380" spans="1:35" x14ac:dyDescent="0.25">
      <c r="A380" t="s">
        <v>1670</v>
      </c>
      <c r="B380" t="s">
        <v>34</v>
      </c>
      <c r="C380" t="s">
        <v>458</v>
      </c>
      <c r="D380" t="s">
        <v>459</v>
      </c>
      <c r="E380" t="s">
        <v>37</v>
      </c>
      <c r="F380" t="s">
        <v>460</v>
      </c>
      <c r="G380" t="s">
        <v>39</v>
      </c>
      <c r="H380" t="s">
        <v>40</v>
      </c>
      <c r="I380" t="s">
        <v>41</v>
      </c>
      <c r="J380" t="s">
        <v>37</v>
      </c>
      <c r="K380" t="s">
        <v>37</v>
      </c>
      <c r="L380" t="s">
        <v>42</v>
      </c>
      <c r="M380" s="6">
        <v>45361.291666666664</v>
      </c>
      <c r="N380" t="s">
        <v>4265</v>
      </c>
      <c r="O380" s="1">
        <v>45360.958333333336</v>
      </c>
      <c r="P380" s="1">
        <v>45360.453483796293</v>
      </c>
      <c r="Q380" t="s">
        <v>4266</v>
      </c>
      <c r="R380" s="6">
        <v>45361.416666666664</v>
      </c>
      <c r="S380" t="s">
        <v>43</v>
      </c>
      <c r="T380">
        <v>49.98</v>
      </c>
      <c r="U380">
        <v>0</v>
      </c>
      <c r="V380">
        <v>49.98</v>
      </c>
      <c r="W380">
        <v>0</v>
      </c>
      <c r="X380">
        <v>0</v>
      </c>
      <c r="Y380">
        <v>0</v>
      </c>
      <c r="Z380">
        <v>49.98</v>
      </c>
      <c r="AA380" t="s">
        <v>44</v>
      </c>
      <c r="AB380" t="s">
        <v>45</v>
      </c>
      <c r="AC380" t="s">
        <v>46</v>
      </c>
      <c r="AD380" t="s">
        <v>37</v>
      </c>
      <c r="AE380" t="s">
        <v>37</v>
      </c>
      <c r="AF380" t="s">
        <v>1669</v>
      </c>
      <c r="AG380" t="s">
        <v>37</v>
      </c>
      <c r="AH380" t="s">
        <v>458</v>
      </c>
      <c r="AI380" t="s">
        <v>37</v>
      </c>
    </row>
    <row r="381" spans="1:35" x14ac:dyDescent="0.25">
      <c r="A381" t="s">
        <v>1693</v>
      </c>
      <c r="B381" t="s">
        <v>34</v>
      </c>
      <c r="C381" t="s">
        <v>1694</v>
      </c>
      <c r="D381" t="s">
        <v>1695</v>
      </c>
      <c r="E381" t="s">
        <v>37</v>
      </c>
      <c r="F381" t="s">
        <v>1696</v>
      </c>
      <c r="G381" t="s">
        <v>39</v>
      </c>
      <c r="H381" t="s">
        <v>40</v>
      </c>
      <c r="I381" t="s">
        <v>41</v>
      </c>
      <c r="J381" t="s">
        <v>37</v>
      </c>
      <c r="K381" t="s">
        <v>37</v>
      </c>
      <c r="L381" t="s">
        <v>42</v>
      </c>
      <c r="M381" s="6">
        <v>45361.291666666664</v>
      </c>
      <c r="N381" t="s">
        <v>4265</v>
      </c>
      <c r="O381" s="1">
        <v>45360.958333333336</v>
      </c>
      <c r="P381" s="1">
        <v>45360.908645833333</v>
      </c>
      <c r="Q381" t="s">
        <v>4266</v>
      </c>
      <c r="R381" s="6">
        <v>45361.416666666664</v>
      </c>
      <c r="S381" t="s">
        <v>43</v>
      </c>
      <c r="T381">
        <v>24.99</v>
      </c>
      <c r="U381">
        <v>0</v>
      </c>
      <c r="V381">
        <v>24.99</v>
      </c>
      <c r="W381">
        <v>0</v>
      </c>
      <c r="X381">
        <v>0</v>
      </c>
      <c r="Y381">
        <v>0</v>
      </c>
      <c r="Z381">
        <v>24.99</v>
      </c>
      <c r="AA381" t="s">
        <v>44</v>
      </c>
      <c r="AB381" t="s">
        <v>45</v>
      </c>
      <c r="AC381" t="s">
        <v>46</v>
      </c>
      <c r="AD381" t="s">
        <v>37</v>
      </c>
      <c r="AE381" t="s">
        <v>37</v>
      </c>
      <c r="AF381" t="s">
        <v>1697</v>
      </c>
      <c r="AG381" t="s">
        <v>37</v>
      </c>
      <c r="AH381" t="s">
        <v>1694</v>
      </c>
      <c r="AI381" t="s">
        <v>37</v>
      </c>
    </row>
    <row r="382" spans="1:35" x14ac:dyDescent="0.25">
      <c r="A382" t="s">
        <v>1698</v>
      </c>
      <c r="B382" t="s">
        <v>34</v>
      </c>
      <c r="C382" t="s">
        <v>1699</v>
      </c>
      <c r="D382" t="s">
        <v>1700</v>
      </c>
      <c r="E382" t="s">
        <v>37</v>
      </c>
      <c r="F382" t="s">
        <v>1701</v>
      </c>
      <c r="G382" t="s">
        <v>39</v>
      </c>
      <c r="H382" t="s">
        <v>40</v>
      </c>
      <c r="I382" t="s">
        <v>41</v>
      </c>
      <c r="J382" t="s">
        <v>37</v>
      </c>
      <c r="K382" t="s">
        <v>37</v>
      </c>
      <c r="L382" t="s">
        <v>42</v>
      </c>
      <c r="M382" s="6">
        <v>45361.291666666664</v>
      </c>
      <c r="N382" t="s">
        <v>4265</v>
      </c>
      <c r="O382" s="1">
        <v>45360.958333333336</v>
      </c>
      <c r="P382" s="1">
        <v>45360.932800925926</v>
      </c>
      <c r="Q382" t="s">
        <v>4266</v>
      </c>
      <c r="R382" s="6">
        <v>45361.416666666664</v>
      </c>
      <c r="S382" t="s">
        <v>43</v>
      </c>
      <c r="T382">
        <v>24.99</v>
      </c>
      <c r="U382">
        <v>0</v>
      </c>
      <c r="V382">
        <v>24.99</v>
      </c>
      <c r="W382">
        <v>0</v>
      </c>
      <c r="X382">
        <v>0</v>
      </c>
      <c r="Y382">
        <v>0</v>
      </c>
      <c r="Z382">
        <v>24.99</v>
      </c>
      <c r="AA382" t="s">
        <v>44</v>
      </c>
      <c r="AB382" t="s">
        <v>45</v>
      </c>
      <c r="AC382" t="s">
        <v>46</v>
      </c>
      <c r="AD382" t="s">
        <v>37</v>
      </c>
      <c r="AE382" t="s">
        <v>37</v>
      </c>
      <c r="AF382" t="s">
        <v>1702</v>
      </c>
      <c r="AG382" t="s">
        <v>37</v>
      </c>
      <c r="AH382" t="s">
        <v>1699</v>
      </c>
      <c r="AI382" t="s">
        <v>37</v>
      </c>
    </row>
    <row r="383" spans="1:35" x14ac:dyDescent="0.25">
      <c r="A383" t="s">
        <v>1899</v>
      </c>
      <c r="B383" t="s">
        <v>34</v>
      </c>
      <c r="C383" t="s">
        <v>1894</v>
      </c>
      <c r="D383" t="s">
        <v>1895</v>
      </c>
      <c r="E383" t="s">
        <v>37</v>
      </c>
      <c r="F383" t="s">
        <v>1896</v>
      </c>
      <c r="G383" t="s">
        <v>39</v>
      </c>
      <c r="H383" t="s">
        <v>40</v>
      </c>
      <c r="I383" t="s">
        <v>41</v>
      </c>
      <c r="J383" t="s">
        <v>37</v>
      </c>
      <c r="K383" t="s">
        <v>37</v>
      </c>
      <c r="L383" t="s">
        <v>42</v>
      </c>
      <c r="M383" s="6">
        <v>45361.291666666664</v>
      </c>
      <c r="N383" t="s">
        <v>4265</v>
      </c>
      <c r="O383" s="1">
        <v>45360.958333333336</v>
      </c>
      <c r="P383" s="1">
        <v>45353.429965277777</v>
      </c>
      <c r="Q383" t="s">
        <v>4266</v>
      </c>
      <c r="R383" s="6">
        <v>45361.416666666664</v>
      </c>
      <c r="S383" t="s">
        <v>43</v>
      </c>
      <c r="T383">
        <v>49.98</v>
      </c>
      <c r="U383">
        <v>0</v>
      </c>
      <c r="V383">
        <v>49.98</v>
      </c>
      <c r="W383">
        <v>0</v>
      </c>
      <c r="X383">
        <v>0</v>
      </c>
      <c r="Y383">
        <v>0</v>
      </c>
      <c r="Z383">
        <v>49.98</v>
      </c>
      <c r="AA383" t="s">
        <v>44</v>
      </c>
      <c r="AB383" t="s">
        <v>45</v>
      </c>
      <c r="AC383" t="s">
        <v>46</v>
      </c>
      <c r="AD383" t="s">
        <v>37</v>
      </c>
      <c r="AE383" t="s">
        <v>37</v>
      </c>
      <c r="AF383" t="s">
        <v>1897</v>
      </c>
      <c r="AG383" t="s">
        <v>37</v>
      </c>
      <c r="AH383" t="s">
        <v>1898</v>
      </c>
      <c r="AI383" t="s">
        <v>37</v>
      </c>
    </row>
    <row r="384" spans="1:35" x14ac:dyDescent="0.25">
      <c r="A384" t="s">
        <v>1718</v>
      </c>
      <c r="B384" t="s">
        <v>34</v>
      </c>
      <c r="C384" t="s">
        <v>1114</v>
      </c>
      <c r="D384" t="s">
        <v>1115</v>
      </c>
      <c r="E384" t="s">
        <v>37</v>
      </c>
      <c r="F384" t="s">
        <v>1686</v>
      </c>
      <c r="G384" t="s">
        <v>39</v>
      </c>
      <c r="H384" t="s">
        <v>40</v>
      </c>
      <c r="I384" t="s">
        <v>41</v>
      </c>
      <c r="J384" t="s">
        <v>37</v>
      </c>
      <c r="K384" t="s">
        <v>37</v>
      </c>
      <c r="L384" t="s">
        <v>42</v>
      </c>
      <c r="M384" s="6">
        <v>45361.387499999997</v>
      </c>
      <c r="N384" t="s">
        <v>4266</v>
      </c>
      <c r="O384" s="1">
        <v>45361.054166666669</v>
      </c>
      <c r="P384" s="1">
        <v>45361.387557870374</v>
      </c>
      <c r="Q384" t="s">
        <v>4266</v>
      </c>
      <c r="R384" s="6">
        <v>45361.416666666664</v>
      </c>
      <c r="S384" t="s">
        <v>43</v>
      </c>
      <c r="T384">
        <v>24.99</v>
      </c>
      <c r="U384">
        <v>0</v>
      </c>
      <c r="V384">
        <v>24.99</v>
      </c>
      <c r="W384">
        <v>0</v>
      </c>
      <c r="X384">
        <v>0</v>
      </c>
      <c r="Y384">
        <v>0</v>
      </c>
      <c r="Z384">
        <v>24.99</v>
      </c>
      <c r="AA384" t="s">
        <v>44</v>
      </c>
      <c r="AB384" t="s">
        <v>45</v>
      </c>
      <c r="AC384" t="s">
        <v>46</v>
      </c>
      <c r="AD384" t="s">
        <v>37</v>
      </c>
      <c r="AE384" t="s">
        <v>37</v>
      </c>
      <c r="AF384" t="s">
        <v>1719</v>
      </c>
      <c r="AG384" t="s">
        <v>37</v>
      </c>
      <c r="AH384" t="s">
        <v>1114</v>
      </c>
      <c r="AI384" t="s">
        <v>37</v>
      </c>
    </row>
    <row r="385" spans="1:35" x14ac:dyDescent="0.25">
      <c r="A385" t="s">
        <v>1740</v>
      </c>
      <c r="B385" t="s">
        <v>34</v>
      </c>
      <c r="C385" t="s">
        <v>1741</v>
      </c>
      <c r="D385" t="s">
        <v>1742</v>
      </c>
      <c r="E385" t="s">
        <v>37</v>
      </c>
      <c r="F385" t="s">
        <v>1743</v>
      </c>
      <c r="G385" t="s">
        <v>39</v>
      </c>
      <c r="H385" t="s">
        <v>40</v>
      </c>
      <c r="I385" t="s">
        <v>41</v>
      </c>
      <c r="J385" t="s">
        <v>37</v>
      </c>
      <c r="K385" t="s">
        <v>37</v>
      </c>
      <c r="L385" t="s">
        <v>42</v>
      </c>
      <c r="M385" s="6">
        <v>45362.343009259261</v>
      </c>
      <c r="N385" t="s">
        <v>4262</v>
      </c>
      <c r="O385" s="1">
        <v>45362.051342592589</v>
      </c>
      <c r="P385" s="1">
        <v>45362.343078703707</v>
      </c>
      <c r="Q385" t="s">
        <v>4262</v>
      </c>
      <c r="R385" s="6">
        <v>45362.416666666664</v>
      </c>
      <c r="S385" t="s">
        <v>43</v>
      </c>
      <c r="T385">
        <v>19.989999999999998</v>
      </c>
      <c r="U385">
        <v>0</v>
      </c>
      <c r="V385">
        <v>19.989999999999998</v>
      </c>
      <c r="W385">
        <v>0</v>
      </c>
      <c r="X385">
        <v>0</v>
      </c>
      <c r="Y385">
        <v>0</v>
      </c>
      <c r="Z385">
        <v>19.989999999999998</v>
      </c>
      <c r="AA385" t="s">
        <v>44</v>
      </c>
      <c r="AB385" t="s">
        <v>45</v>
      </c>
      <c r="AC385" t="s">
        <v>46</v>
      </c>
      <c r="AD385" t="s">
        <v>37</v>
      </c>
      <c r="AE385" t="s">
        <v>37</v>
      </c>
      <c r="AF385" t="s">
        <v>1744</v>
      </c>
      <c r="AG385" t="s">
        <v>37</v>
      </c>
      <c r="AH385" t="s">
        <v>1741</v>
      </c>
      <c r="AI385" t="s">
        <v>37</v>
      </c>
    </row>
    <row r="386" spans="1:35" x14ac:dyDescent="0.25">
      <c r="A386" t="s">
        <v>1745</v>
      </c>
      <c r="B386" t="s">
        <v>34</v>
      </c>
      <c r="C386" t="s">
        <v>1114</v>
      </c>
      <c r="D386" t="s">
        <v>1115</v>
      </c>
      <c r="E386" t="s">
        <v>37</v>
      </c>
      <c r="F386" t="s">
        <v>1686</v>
      </c>
      <c r="G386" t="s">
        <v>39</v>
      </c>
      <c r="H386" t="s">
        <v>40</v>
      </c>
      <c r="I386" t="s">
        <v>41</v>
      </c>
      <c r="J386" t="s">
        <v>37</v>
      </c>
      <c r="K386" t="s">
        <v>37</v>
      </c>
      <c r="L386" t="s">
        <v>42</v>
      </c>
      <c r="M386" s="6">
        <v>45362.370081018518</v>
      </c>
      <c r="N386" t="s">
        <v>4262</v>
      </c>
      <c r="O386" s="1">
        <v>45362.078414351854</v>
      </c>
      <c r="P386" s="1">
        <v>45362.370138888888</v>
      </c>
      <c r="Q386" t="s">
        <v>4262</v>
      </c>
      <c r="R386" s="6">
        <v>45362.416666666664</v>
      </c>
      <c r="S386" t="s">
        <v>43</v>
      </c>
      <c r="T386">
        <v>19.989999999999998</v>
      </c>
      <c r="U386">
        <v>0</v>
      </c>
      <c r="V386">
        <v>19.989999999999998</v>
      </c>
      <c r="W386">
        <v>0</v>
      </c>
      <c r="X386">
        <v>0</v>
      </c>
      <c r="Y386">
        <v>0</v>
      </c>
      <c r="Z386">
        <v>19.989999999999998</v>
      </c>
      <c r="AA386" t="s">
        <v>44</v>
      </c>
      <c r="AB386" t="s">
        <v>45</v>
      </c>
      <c r="AC386" t="s">
        <v>46</v>
      </c>
      <c r="AD386" t="s">
        <v>37</v>
      </c>
      <c r="AE386" t="s">
        <v>37</v>
      </c>
      <c r="AF386" t="s">
        <v>1746</v>
      </c>
      <c r="AG386" t="s">
        <v>37</v>
      </c>
      <c r="AH386" t="s">
        <v>1114</v>
      </c>
      <c r="AI386" t="s">
        <v>37</v>
      </c>
    </row>
    <row r="387" spans="1:35" x14ac:dyDescent="0.25">
      <c r="A387" t="s">
        <v>1757</v>
      </c>
      <c r="B387" t="s">
        <v>34</v>
      </c>
      <c r="C387" t="s">
        <v>1758</v>
      </c>
      <c r="D387" t="s">
        <v>1759</v>
      </c>
      <c r="E387" t="s">
        <v>37</v>
      </c>
      <c r="F387" t="s">
        <v>1760</v>
      </c>
      <c r="G387" t="s">
        <v>39</v>
      </c>
      <c r="H387" t="s">
        <v>40</v>
      </c>
      <c r="I387" t="s">
        <v>41</v>
      </c>
      <c r="J387" t="s">
        <v>37</v>
      </c>
      <c r="K387" t="s">
        <v>37</v>
      </c>
      <c r="L387" t="s">
        <v>42</v>
      </c>
      <c r="M387" s="6">
        <v>45363.291666666664</v>
      </c>
      <c r="N387" t="s">
        <v>4267</v>
      </c>
      <c r="O387" s="1">
        <v>45363</v>
      </c>
      <c r="P387" s="1">
        <v>45362.654432870368</v>
      </c>
      <c r="Q387" t="s">
        <v>4267</v>
      </c>
      <c r="R387" s="6">
        <v>45363.416666666664</v>
      </c>
      <c r="S387" t="s">
        <v>43</v>
      </c>
      <c r="T387">
        <v>19.989999999999998</v>
      </c>
      <c r="U387">
        <v>0</v>
      </c>
      <c r="V387">
        <v>19.989999999999998</v>
      </c>
      <c r="W387">
        <v>0</v>
      </c>
      <c r="X387">
        <v>0</v>
      </c>
      <c r="Y387">
        <v>0</v>
      </c>
      <c r="Z387">
        <v>19.989999999999998</v>
      </c>
      <c r="AA387" t="s">
        <v>44</v>
      </c>
      <c r="AB387" t="s">
        <v>45</v>
      </c>
      <c r="AC387" t="s">
        <v>46</v>
      </c>
      <c r="AD387" t="s">
        <v>37</v>
      </c>
      <c r="AE387" t="s">
        <v>37</v>
      </c>
      <c r="AF387" t="s">
        <v>1761</v>
      </c>
      <c r="AG387" t="s">
        <v>37</v>
      </c>
      <c r="AH387" t="s">
        <v>1758</v>
      </c>
      <c r="AI387" t="s">
        <v>37</v>
      </c>
    </row>
    <row r="388" spans="1:35" x14ac:dyDescent="0.25">
      <c r="A388" t="s">
        <v>1323</v>
      </c>
      <c r="B388" t="s">
        <v>34</v>
      </c>
      <c r="C388" t="s">
        <v>1324</v>
      </c>
      <c r="D388" t="s">
        <v>1325</v>
      </c>
      <c r="E388" t="s">
        <v>37</v>
      </c>
      <c r="F388" t="s">
        <v>1326</v>
      </c>
      <c r="G388" t="s">
        <v>39</v>
      </c>
      <c r="H388" t="s">
        <v>40</v>
      </c>
      <c r="I388" t="s">
        <v>41</v>
      </c>
      <c r="J388" t="s">
        <v>37</v>
      </c>
      <c r="K388" t="s">
        <v>37</v>
      </c>
      <c r="L388" t="s">
        <v>42</v>
      </c>
      <c r="M388" s="6">
        <v>45365.291666666664</v>
      </c>
      <c r="N388" t="s">
        <v>4264</v>
      </c>
      <c r="O388" s="1">
        <v>45365</v>
      </c>
      <c r="P388" s="1">
        <v>45365.404131944444</v>
      </c>
      <c r="Q388" t="s">
        <v>4264</v>
      </c>
      <c r="R388" s="6">
        <v>45365.416666666664</v>
      </c>
      <c r="S388" t="s">
        <v>43</v>
      </c>
      <c r="T388">
        <v>19.989999999999998</v>
      </c>
      <c r="U388">
        <v>0</v>
      </c>
      <c r="V388">
        <v>19.989999999999998</v>
      </c>
      <c r="W388">
        <v>0</v>
      </c>
      <c r="X388">
        <v>0</v>
      </c>
      <c r="Y388">
        <v>0</v>
      </c>
      <c r="Z388">
        <v>19.989999999999998</v>
      </c>
      <c r="AA388" t="s">
        <v>44</v>
      </c>
      <c r="AB388" t="s">
        <v>45</v>
      </c>
      <c r="AC388" t="s">
        <v>46</v>
      </c>
      <c r="AD388" t="s">
        <v>37</v>
      </c>
      <c r="AE388" t="s">
        <v>37</v>
      </c>
      <c r="AF388" t="s">
        <v>1327</v>
      </c>
      <c r="AG388" t="s">
        <v>37</v>
      </c>
      <c r="AH388" t="s">
        <v>1328</v>
      </c>
      <c r="AI388" t="s">
        <v>37</v>
      </c>
    </row>
    <row r="389" spans="1:35" x14ac:dyDescent="0.25">
      <c r="A389" t="s">
        <v>1335</v>
      </c>
      <c r="B389" t="s">
        <v>34</v>
      </c>
      <c r="C389" t="s">
        <v>1336</v>
      </c>
      <c r="D389" t="s">
        <v>1337</v>
      </c>
      <c r="E389" t="s">
        <v>37</v>
      </c>
      <c r="F389" t="s">
        <v>1338</v>
      </c>
      <c r="G389" t="s">
        <v>39</v>
      </c>
      <c r="H389" t="s">
        <v>40</v>
      </c>
      <c r="I389" t="s">
        <v>41</v>
      </c>
      <c r="J389" t="s">
        <v>37</v>
      </c>
      <c r="K389" t="s">
        <v>37</v>
      </c>
      <c r="L389" t="s">
        <v>42</v>
      </c>
      <c r="M389" s="6">
        <v>45366.291666666664</v>
      </c>
      <c r="N389" t="s">
        <v>4268</v>
      </c>
      <c r="O389" s="1">
        <v>45366</v>
      </c>
      <c r="P389" s="1">
        <v>45365.723090277781</v>
      </c>
      <c r="Q389" t="s">
        <v>4268</v>
      </c>
      <c r="R389" s="6">
        <v>45366.416666666664</v>
      </c>
      <c r="S389" t="s">
        <v>43</v>
      </c>
      <c r="T389">
        <v>19.989999999999998</v>
      </c>
      <c r="U389">
        <v>0</v>
      </c>
      <c r="V389">
        <v>19.989999999999998</v>
      </c>
      <c r="W389">
        <v>0</v>
      </c>
      <c r="X389">
        <v>0</v>
      </c>
      <c r="Y389">
        <v>0</v>
      </c>
      <c r="Z389">
        <v>19.989999999999998</v>
      </c>
      <c r="AA389" t="s">
        <v>44</v>
      </c>
      <c r="AB389" t="s">
        <v>45</v>
      </c>
      <c r="AC389" t="s">
        <v>46</v>
      </c>
      <c r="AD389" t="s">
        <v>37</v>
      </c>
      <c r="AE389" t="s">
        <v>37</v>
      </c>
      <c r="AF389" t="s">
        <v>1339</v>
      </c>
      <c r="AG389" t="s">
        <v>37</v>
      </c>
      <c r="AH389" t="s">
        <v>1336</v>
      </c>
      <c r="AI389" t="s">
        <v>37</v>
      </c>
    </row>
    <row r="390" spans="1:35" x14ac:dyDescent="0.25">
      <c r="A390" t="s">
        <v>1301</v>
      </c>
      <c r="B390" t="s">
        <v>34</v>
      </c>
      <c r="C390" t="s">
        <v>1302</v>
      </c>
      <c r="D390" t="s">
        <v>1303</v>
      </c>
      <c r="E390" t="s">
        <v>37</v>
      </c>
      <c r="F390" t="s">
        <v>1304</v>
      </c>
      <c r="G390" t="s">
        <v>39</v>
      </c>
      <c r="H390" t="s">
        <v>40</v>
      </c>
      <c r="I390" t="s">
        <v>41</v>
      </c>
      <c r="J390" t="s">
        <v>37</v>
      </c>
      <c r="K390" t="s">
        <v>37</v>
      </c>
      <c r="L390" t="s">
        <v>42</v>
      </c>
      <c r="M390" s="6">
        <v>45367.291666666664</v>
      </c>
      <c r="N390" t="s">
        <v>4265</v>
      </c>
      <c r="O390" s="1">
        <v>45367</v>
      </c>
      <c r="P390" s="1">
        <v>45364.839548611111</v>
      </c>
      <c r="Q390" t="s">
        <v>4265</v>
      </c>
      <c r="R390" s="6">
        <v>45367.416666666664</v>
      </c>
      <c r="S390" t="s">
        <v>43</v>
      </c>
      <c r="T390">
        <v>24.99</v>
      </c>
      <c r="U390">
        <v>0</v>
      </c>
      <c r="V390">
        <v>24.99</v>
      </c>
      <c r="W390">
        <v>0</v>
      </c>
      <c r="X390">
        <v>0</v>
      </c>
      <c r="Y390">
        <v>0</v>
      </c>
      <c r="Z390">
        <v>24.99</v>
      </c>
      <c r="AA390" t="s">
        <v>44</v>
      </c>
      <c r="AB390" t="s">
        <v>45</v>
      </c>
      <c r="AC390" t="s">
        <v>46</v>
      </c>
      <c r="AD390" t="s">
        <v>37</v>
      </c>
      <c r="AE390" t="s">
        <v>37</v>
      </c>
      <c r="AF390" t="s">
        <v>1305</v>
      </c>
      <c r="AG390" t="s">
        <v>37</v>
      </c>
      <c r="AH390" t="s">
        <v>1306</v>
      </c>
      <c r="AI390" t="s">
        <v>37</v>
      </c>
    </row>
    <row r="391" spans="1:35" x14ac:dyDescent="0.25">
      <c r="A391" t="s">
        <v>1307</v>
      </c>
      <c r="B391" t="s">
        <v>34</v>
      </c>
      <c r="C391" t="s">
        <v>1302</v>
      </c>
      <c r="D391" t="s">
        <v>1303</v>
      </c>
      <c r="E391" t="s">
        <v>37</v>
      </c>
      <c r="F391" t="s">
        <v>1308</v>
      </c>
      <c r="G391" t="s">
        <v>39</v>
      </c>
      <c r="H391" t="s">
        <v>40</v>
      </c>
      <c r="I391" t="s">
        <v>41</v>
      </c>
      <c r="J391" t="s">
        <v>37</v>
      </c>
      <c r="K391" t="s">
        <v>37</v>
      </c>
      <c r="L391" t="s">
        <v>42</v>
      </c>
      <c r="M391" s="6">
        <v>45367.291666666664</v>
      </c>
      <c r="N391" t="s">
        <v>4265</v>
      </c>
      <c r="O391" s="1">
        <v>45367</v>
      </c>
      <c r="P391" s="1">
        <v>45364.839548611111</v>
      </c>
      <c r="Q391" t="s">
        <v>4265</v>
      </c>
      <c r="R391" s="6">
        <v>45367.416666666664</v>
      </c>
      <c r="S391" t="s">
        <v>43</v>
      </c>
      <c r="T391">
        <v>24.99</v>
      </c>
      <c r="U391">
        <v>0</v>
      </c>
      <c r="V391">
        <v>0</v>
      </c>
      <c r="W391">
        <v>0</v>
      </c>
      <c r="X391">
        <v>0</v>
      </c>
      <c r="Y391">
        <v>0</v>
      </c>
      <c r="Z391">
        <v>24.99</v>
      </c>
      <c r="AA391" t="s">
        <v>44</v>
      </c>
      <c r="AB391" t="s">
        <v>45</v>
      </c>
      <c r="AC391" t="s">
        <v>46</v>
      </c>
      <c r="AD391" t="s">
        <v>37</v>
      </c>
      <c r="AE391" t="s">
        <v>37</v>
      </c>
      <c r="AF391" t="s">
        <v>37</v>
      </c>
      <c r="AG391" t="s">
        <v>37</v>
      </c>
      <c r="AH391" t="s">
        <v>1306</v>
      </c>
      <c r="AI391" t="s">
        <v>37</v>
      </c>
    </row>
    <row r="392" spans="1:35" x14ac:dyDescent="0.25">
      <c r="A392" t="s">
        <v>1354</v>
      </c>
      <c r="B392" t="s">
        <v>34</v>
      </c>
      <c r="C392" t="s">
        <v>250</v>
      </c>
      <c r="D392" t="s">
        <v>251</v>
      </c>
      <c r="E392" t="s">
        <v>37</v>
      </c>
      <c r="F392" t="s">
        <v>252</v>
      </c>
      <c r="G392" t="s">
        <v>39</v>
      </c>
      <c r="H392" t="s">
        <v>40</v>
      </c>
      <c r="I392" t="s">
        <v>41</v>
      </c>
      <c r="J392" t="s">
        <v>37</v>
      </c>
      <c r="K392" t="s">
        <v>37</v>
      </c>
      <c r="L392" t="s">
        <v>42</v>
      </c>
      <c r="M392" s="6">
        <v>45367.291666666664</v>
      </c>
      <c r="N392" t="s">
        <v>4265</v>
      </c>
      <c r="O392" s="1">
        <v>45367</v>
      </c>
      <c r="P392" s="1">
        <v>45366.394583333335</v>
      </c>
      <c r="Q392" t="s">
        <v>4265</v>
      </c>
      <c r="R392" s="6">
        <v>45367.416666666664</v>
      </c>
      <c r="S392" t="s">
        <v>43</v>
      </c>
      <c r="T392">
        <v>24.99</v>
      </c>
      <c r="U392">
        <v>0</v>
      </c>
      <c r="V392">
        <v>24.99</v>
      </c>
      <c r="W392">
        <v>0</v>
      </c>
      <c r="X392">
        <v>0</v>
      </c>
      <c r="Y392">
        <v>0</v>
      </c>
      <c r="Z392">
        <v>24.99</v>
      </c>
      <c r="AA392" t="s">
        <v>44</v>
      </c>
      <c r="AB392" t="s">
        <v>45</v>
      </c>
      <c r="AC392" t="s">
        <v>46</v>
      </c>
      <c r="AD392" t="s">
        <v>37</v>
      </c>
      <c r="AE392" t="s">
        <v>37</v>
      </c>
      <c r="AF392" t="s">
        <v>1355</v>
      </c>
      <c r="AG392" t="s">
        <v>37</v>
      </c>
      <c r="AH392" t="s">
        <v>250</v>
      </c>
      <c r="AI392" t="s">
        <v>37</v>
      </c>
    </row>
    <row r="393" spans="1:35" x14ac:dyDescent="0.25">
      <c r="A393" t="s">
        <v>1356</v>
      </c>
      <c r="B393" t="s">
        <v>34</v>
      </c>
      <c r="C393" t="s">
        <v>658</v>
      </c>
      <c r="D393" t="s">
        <v>659</v>
      </c>
      <c r="E393" t="s">
        <v>37</v>
      </c>
      <c r="F393" t="s">
        <v>660</v>
      </c>
      <c r="G393" t="s">
        <v>39</v>
      </c>
      <c r="H393" t="s">
        <v>40</v>
      </c>
      <c r="I393" t="s">
        <v>41</v>
      </c>
      <c r="J393" t="s">
        <v>37</v>
      </c>
      <c r="K393" t="s">
        <v>37</v>
      </c>
      <c r="L393" t="s">
        <v>42</v>
      </c>
      <c r="M393" s="6">
        <v>45367.291666666664</v>
      </c>
      <c r="N393" t="s">
        <v>4265</v>
      </c>
      <c r="O393" s="1">
        <v>45367</v>
      </c>
      <c r="P393" s="1">
        <v>45367.351724537039</v>
      </c>
      <c r="Q393" t="s">
        <v>4265</v>
      </c>
      <c r="R393" s="6">
        <v>45367.416666666664</v>
      </c>
      <c r="S393" t="s">
        <v>43</v>
      </c>
      <c r="T393">
        <v>24.99</v>
      </c>
      <c r="U393">
        <v>0</v>
      </c>
      <c r="V393">
        <v>24.99</v>
      </c>
      <c r="W393">
        <v>0</v>
      </c>
      <c r="X393">
        <v>0</v>
      </c>
      <c r="Y393">
        <v>0</v>
      </c>
      <c r="Z393">
        <v>24.99</v>
      </c>
      <c r="AA393" t="s">
        <v>44</v>
      </c>
      <c r="AB393" t="s">
        <v>45</v>
      </c>
      <c r="AC393" t="s">
        <v>46</v>
      </c>
      <c r="AD393" t="s">
        <v>37</v>
      </c>
      <c r="AE393" t="s">
        <v>37</v>
      </c>
      <c r="AF393" t="s">
        <v>1357</v>
      </c>
      <c r="AG393" t="s">
        <v>37</v>
      </c>
      <c r="AH393" t="s">
        <v>658</v>
      </c>
      <c r="AI393" t="s">
        <v>37</v>
      </c>
    </row>
    <row r="394" spans="1:35" x14ac:dyDescent="0.25">
      <c r="A394" t="s">
        <v>1371</v>
      </c>
      <c r="B394" t="s">
        <v>34</v>
      </c>
      <c r="C394" t="s">
        <v>658</v>
      </c>
      <c r="D394" t="s">
        <v>659</v>
      </c>
      <c r="E394" t="s">
        <v>37</v>
      </c>
      <c r="F394" t="s">
        <v>1372</v>
      </c>
      <c r="G394" t="s">
        <v>39</v>
      </c>
      <c r="H394" t="s">
        <v>40</v>
      </c>
      <c r="I394" t="s">
        <v>41</v>
      </c>
      <c r="J394" t="s">
        <v>37</v>
      </c>
      <c r="K394" t="s">
        <v>37</v>
      </c>
      <c r="L394" t="s">
        <v>42</v>
      </c>
      <c r="M394" s="6">
        <v>45367.291666666664</v>
      </c>
      <c r="N394" t="s">
        <v>4265</v>
      </c>
      <c r="O394" s="1">
        <v>45367</v>
      </c>
      <c r="P394" s="1">
        <v>45367.381053240744</v>
      </c>
      <c r="Q394" t="s">
        <v>4265</v>
      </c>
      <c r="R394" s="6">
        <v>45367.416666666664</v>
      </c>
      <c r="S394" t="s">
        <v>43</v>
      </c>
      <c r="T394">
        <v>24.99</v>
      </c>
      <c r="U394">
        <v>0</v>
      </c>
      <c r="V394">
        <v>24.99</v>
      </c>
      <c r="W394">
        <v>0</v>
      </c>
      <c r="X394">
        <v>0</v>
      </c>
      <c r="Y394">
        <v>0</v>
      </c>
      <c r="Z394">
        <v>24.99</v>
      </c>
      <c r="AA394" t="s">
        <v>44</v>
      </c>
      <c r="AB394" t="s">
        <v>45</v>
      </c>
      <c r="AC394" t="s">
        <v>46</v>
      </c>
      <c r="AD394" t="s">
        <v>37</v>
      </c>
      <c r="AE394" t="s">
        <v>37</v>
      </c>
      <c r="AF394" t="s">
        <v>1373</v>
      </c>
      <c r="AG394" t="s">
        <v>37</v>
      </c>
      <c r="AH394" t="s">
        <v>658</v>
      </c>
      <c r="AI394" t="s">
        <v>37</v>
      </c>
    </row>
    <row r="395" spans="1:35" x14ac:dyDescent="0.25">
      <c r="A395" t="s">
        <v>1374</v>
      </c>
      <c r="B395" t="s">
        <v>34</v>
      </c>
      <c r="C395" t="s">
        <v>1375</v>
      </c>
      <c r="D395" t="s">
        <v>1376</v>
      </c>
      <c r="E395" t="s">
        <v>37</v>
      </c>
      <c r="F395" t="s">
        <v>1377</v>
      </c>
      <c r="G395" t="s">
        <v>39</v>
      </c>
      <c r="H395" t="s">
        <v>40</v>
      </c>
      <c r="I395" t="s">
        <v>41</v>
      </c>
      <c r="J395" t="s">
        <v>37</v>
      </c>
      <c r="K395" t="s">
        <v>37</v>
      </c>
      <c r="L395" t="s">
        <v>42</v>
      </c>
      <c r="M395" s="6">
        <v>45367.291666666664</v>
      </c>
      <c r="N395" t="s">
        <v>4265</v>
      </c>
      <c r="O395" s="1">
        <v>45367</v>
      </c>
      <c r="P395" s="1">
        <v>45367.385057870371</v>
      </c>
      <c r="Q395" t="s">
        <v>4265</v>
      </c>
      <c r="R395" s="6">
        <v>45367.416666666664</v>
      </c>
      <c r="S395" t="s">
        <v>43</v>
      </c>
      <c r="T395">
        <v>24.99</v>
      </c>
      <c r="U395">
        <v>0</v>
      </c>
      <c r="V395">
        <v>24.99</v>
      </c>
      <c r="W395">
        <v>0</v>
      </c>
      <c r="X395">
        <v>0</v>
      </c>
      <c r="Y395">
        <v>0</v>
      </c>
      <c r="Z395">
        <v>24.99</v>
      </c>
      <c r="AA395" t="s">
        <v>44</v>
      </c>
      <c r="AB395" t="s">
        <v>45</v>
      </c>
      <c r="AC395" t="s">
        <v>46</v>
      </c>
      <c r="AD395" t="s">
        <v>37</v>
      </c>
      <c r="AE395" t="s">
        <v>37</v>
      </c>
      <c r="AF395" t="s">
        <v>1378</v>
      </c>
      <c r="AG395" t="s">
        <v>37</v>
      </c>
      <c r="AH395" t="s">
        <v>1375</v>
      </c>
      <c r="AI395" t="s">
        <v>37</v>
      </c>
    </row>
    <row r="396" spans="1:35" x14ac:dyDescent="0.25">
      <c r="A396" t="s">
        <v>1379</v>
      </c>
      <c r="B396" t="s">
        <v>34</v>
      </c>
      <c r="C396" t="s">
        <v>1380</v>
      </c>
      <c r="D396" t="s">
        <v>1381</v>
      </c>
      <c r="E396" t="s">
        <v>37</v>
      </c>
      <c r="F396" t="s">
        <v>1382</v>
      </c>
      <c r="G396" t="s">
        <v>39</v>
      </c>
      <c r="H396" t="s">
        <v>40</v>
      </c>
      <c r="I396" t="s">
        <v>41</v>
      </c>
      <c r="J396" t="s">
        <v>37</v>
      </c>
      <c r="K396" t="s">
        <v>37</v>
      </c>
      <c r="L396" t="s">
        <v>42</v>
      </c>
      <c r="M396" s="6">
        <v>45367.291666666664</v>
      </c>
      <c r="N396" t="s">
        <v>4265</v>
      </c>
      <c r="O396" s="1">
        <v>45367</v>
      </c>
      <c r="P396" s="1">
        <v>45367.476921296293</v>
      </c>
      <c r="Q396" t="s">
        <v>4265</v>
      </c>
      <c r="R396" s="6">
        <v>45367.416666666664</v>
      </c>
      <c r="S396" t="s">
        <v>43</v>
      </c>
      <c r="T396">
        <v>24.99</v>
      </c>
      <c r="U396">
        <v>0</v>
      </c>
      <c r="V396">
        <v>24.99</v>
      </c>
      <c r="W396">
        <v>0</v>
      </c>
      <c r="X396">
        <v>0</v>
      </c>
      <c r="Y396">
        <v>0</v>
      </c>
      <c r="Z396">
        <v>24.99</v>
      </c>
      <c r="AA396" t="s">
        <v>44</v>
      </c>
      <c r="AB396" t="s">
        <v>45</v>
      </c>
      <c r="AC396" t="s">
        <v>46</v>
      </c>
      <c r="AD396" t="s">
        <v>37</v>
      </c>
      <c r="AE396" t="s">
        <v>37</v>
      </c>
      <c r="AF396" t="s">
        <v>1383</v>
      </c>
      <c r="AG396" t="s">
        <v>37</v>
      </c>
      <c r="AH396" t="s">
        <v>1380</v>
      </c>
      <c r="AI396" t="s">
        <v>37</v>
      </c>
    </row>
    <row r="397" spans="1:35" x14ac:dyDescent="0.25">
      <c r="A397" t="s">
        <v>1691</v>
      </c>
      <c r="B397" t="s">
        <v>34</v>
      </c>
      <c r="C397" t="s">
        <v>1525</v>
      </c>
      <c r="D397" t="s">
        <v>1526</v>
      </c>
      <c r="E397" t="s">
        <v>37</v>
      </c>
      <c r="F397" t="s">
        <v>1527</v>
      </c>
      <c r="G397" t="s">
        <v>39</v>
      </c>
      <c r="H397" t="s">
        <v>40</v>
      </c>
      <c r="I397" t="s">
        <v>41</v>
      </c>
      <c r="J397" t="s">
        <v>37</v>
      </c>
      <c r="K397" t="s">
        <v>37</v>
      </c>
      <c r="L397" t="s">
        <v>42</v>
      </c>
      <c r="M397" s="6">
        <v>45367.291666666664</v>
      </c>
      <c r="N397" t="s">
        <v>4265</v>
      </c>
      <c r="O397" s="1">
        <v>45367</v>
      </c>
      <c r="P397" s="1">
        <v>45360.88354166667</v>
      </c>
      <c r="Q397" t="s">
        <v>4265</v>
      </c>
      <c r="R397" s="6">
        <v>45367.416666666664</v>
      </c>
      <c r="S397" t="s">
        <v>43</v>
      </c>
      <c r="T397">
        <v>24.99</v>
      </c>
      <c r="U397">
        <v>0</v>
      </c>
      <c r="V397">
        <v>24.99</v>
      </c>
      <c r="W397">
        <v>0</v>
      </c>
      <c r="X397">
        <v>0</v>
      </c>
      <c r="Y397">
        <v>0</v>
      </c>
      <c r="Z397">
        <v>24.99</v>
      </c>
      <c r="AA397" t="s">
        <v>44</v>
      </c>
      <c r="AB397" t="s">
        <v>45</v>
      </c>
      <c r="AC397" t="s">
        <v>46</v>
      </c>
      <c r="AD397" t="s">
        <v>37</v>
      </c>
      <c r="AE397" t="s">
        <v>37</v>
      </c>
      <c r="AF397" t="s">
        <v>1692</v>
      </c>
      <c r="AG397" t="s">
        <v>37</v>
      </c>
      <c r="AH397" t="s">
        <v>1525</v>
      </c>
      <c r="AI397" t="s">
        <v>37</v>
      </c>
    </row>
    <row r="398" spans="1:35" x14ac:dyDescent="0.25">
      <c r="A398" t="s">
        <v>1720</v>
      </c>
      <c r="B398" t="s">
        <v>34</v>
      </c>
      <c r="C398" t="s">
        <v>1343</v>
      </c>
      <c r="D398" t="s">
        <v>1344</v>
      </c>
      <c r="E398" t="s">
        <v>37</v>
      </c>
      <c r="F398" t="s">
        <v>1345</v>
      </c>
      <c r="G398" t="s">
        <v>39</v>
      </c>
      <c r="H398" t="s">
        <v>40</v>
      </c>
      <c r="I398" t="s">
        <v>41</v>
      </c>
      <c r="J398" t="s">
        <v>37</v>
      </c>
      <c r="K398" t="s">
        <v>37</v>
      </c>
      <c r="L398" t="s">
        <v>42</v>
      </c>
      <c r="M398" s="6">
        <v>45367.291666666664</v>
      </c>
      <c r="N398" t="s">
        <v>4265</v>
      </c>
      <c r="O398" s="1">
        <v>45367</v>
      </c>
      <c r="P398" s="1">
        <v>45361.672349537039</v>
      </c>
      <c r="Q398" t="s">
        <v>4265</v>
      </c>
      <c r="R398" s="6">
        <v>45367.416666666664</v>
      </c>
      <c r="S398" t="s">
        <v>43</v>
      </c>
      <c r="T398">
        <v>24.99</v>
      </c>
      <c r="U398">
        <v>0</v>
      </c>
      <c r="V398">
        <v>24.99</v>
      </c>
      <c r="W398">
        <v>0</v>
      </c>
      <c r="X398">
        <v>0</v>
      </c>
      <c r="Y398">
        <v>0</v>
      </c>
      <c r="Z398">
        <v>24.99</v>
      </c>
      <c r="AA398" t="s">
        <v>44</v>
      </c>
      <c r="AB398" t="s">
        <v>45</v>
      </c>
      <c r="AC398" t="s">
        <v>46</v>
      </c>
      <c r="AD398" t="s">
        <v>37</v>
      </c>
      <c r="AE398" t="s">
        <v>37</v>
      </c>
      <c r="AF398" t="s">
        <v>1721</v>
      </c>
      <c r="AG398" t="s">
        <v>37</v>
      </c>
      <c r="AH398" t="s">
        <v>1343</v>
      </c>
      <c r="AI398" t="s">
        <v>37</v>
      </c>
    </row>
    <row r="399" spans="1:35" x14ac:dyDescent="0.25">
      <c r="A399" t="s">
        <v>1801</v>
      </c>
      <c r="B399" t="s">
        <v>34</v>
      </c>
      <c r="C399" t="s">
        <v>1802</v>
      </c>
      <c r="D399" t="s">
        <v>1803</v>
      </c>
      <c r="E399" t="s">
        <v>37</v>
      </c>
      <c r="F399" t="s">
        <v>1804</v>
      </c>
      <c r="G399" t="s">
        <v>39</v>
      </c>
      <c r="H399" t="s">
        <v>40</v>
      </c>
      <c r="I399" t="s">
        <v>41</v>
      </c>
      <c r="J399" t="s">
        <v>37</v>
      </c>
      <c r="K399" t="s">
        <v>37</v>
      </c>
      <c r="L399" t="s">
        <v>42</v>
      </c>
      <c r="M399" s="6">
        <v>45367.291666666664</v>
      </c>
      <c r="N399" t="s">
        <v>4265</v>
      </c>
      <c r="O399" s="1">
        <v>45367</v>
      </c>
      <c r="P399" s="1">
        <v>45353.656076388892</v>
      </c>
      <c r="Q399" t="s">
        <v>4265</v>
      </c>
      <c r="R399" s="6">
        <v>45367.416666666664</v>
      </c>
      <c r="S399" t="s">
        <v>43</v>
      </c>
      <c r="T399">
        <v>24.99</v>
      </c>
      <c r="U399">
        <v>0</v>
      </c>
      <c r="V399">
        <v>24.99</v>
      </c>
      <c r="W399">
        <v>0</v>
      </c>
      <c r="X399">
        <v>0</v>
      </c>
      <c r="Y399">
        <v>0</v>
      </c>
      <c r="Z399">
        <v>24.99</v>
      </c>
      <c r="AA399" t="s">
        <v>44</v>
      </c>
      <c r="AB399" t="s">
        <v>45</v>
      </c>
      <c r="AC399" t="s">
        <v>46</v>
      </c>
      <c r="AD399" t="s">
        <v>37</v>
      </c>
      <c r="AE399" t="s">
        <v>37</v>
      </c>
      <c r="AF399" t="s">
        <v>1805</v>
      </c>
      <c r="AG399" t="s">
        <v>37</v>
      </c>
      <c r="AH399" t="s">
        <v>1802</v>
      </c>
      <c r="AI399" t="s">
        <v>37</v>
      </c>
    </row>
    <row r="400" spans="1:35" x14ac:dyDescent="0.25">
      <c r="A400" t="s">
        <v>2004</v>
      </c>
      <c r="B400" t="s">
        <v>34</v>
      </c>
      <c r="C400" t="s">
        <v>2005</v>
      </c>
      <c r="D400" t="s">
        <v>2006</v>
      </c>
      <c r="E400" t="s">
        <v>37</v>
      </c>
      <c r="F400" t="s">
        <v>2007</v>
      </c>
      <c r="G400" t="s">
        <v>39</v>
      </c>
      <c r="H400" t="s">
        <v>40</v>
      </c>
      <c r="I400" t="s">
        <v>41</v>
      </c>
      <c r="J400" t="s">
        <v>37</v>
      </c>
      <c r="K400" t="s">
        <v>37</v>
      </c>
      <c r="L400" t="s">
        <v>42</v>
      </c>
      <c r="M400" s="6">
        <v>45367.291666666664</v>
      </c>
      <c r="N400" t="s">
        <v>4265</v>
      </c>
      <c r="O400" s="1">
        <v>45367</v>
      </c>
      <c r="P400" s="1">
        <v>45364.52952546296</v>
      </c>
      <c r="Q400" t="s">
        <v>4265</v>
      </c>
      <c r="R400" s="6">
        <v>45367.416666666664</v>
      </c>
      <c r="S400" t="s">
        <v>43</v>
      </c>
      <c r="T400">
        <v>24.99</v>
      </c>
      <c r="U400">
        <v>0</v>
      </c>
      <c r="V400">
        <v>24.99</v>
      </c>
      <c r="W400">
        <v>0</v>
      </c>
      <c r="X400">
        <v>0</v>
      </c>
      <c r="Y400">
        <v>0</v>
      </c>
      <c r="Z400">
        <v>24.99</v>
      </c>
      <c r="AA400" t="s">
        <v>44</v>
      </c>
      <c r="AB400" t="s">
        <v>45</v>
      </c>
      <c r="AC400" t="s">
        <v>46</v>
      </c>
      <c r="AD400" t="s">
        <v>37</v>
      </c>
      <c r="AE400" t="s">
        <v>37</v>
      </c>
      <c r="AF400" t="s">
        <v>2008</v>
      </c>
      <c r="AG400" t="s">
        <v>37</v>
      </c>
      <c r="AH400" t="s">
        <v>2005</v>
      </c>
      <c r="AI400" t="s">
        <v>37</v>
      </c>
    </row>
    <row r="401" spans="1:35" x14ac:dyDescent="0.25">
      <c r="A401" t="s">
        <v>1364</v>
      </c>
      <c r="B401" t="s">
        <v>34</v>
      </c>
      <c r="C401" t="s">
        <v>1336</v>
      </c>
      <c r="D401" t="s">
        <v>1337</v>
      </c>
      <c r="E401" t="s">
        <v>37</v>
      </c>
      <c r="F401" t="s">
        <v>1338</v>
      </c>
      <c r="G401" t="s">
        <v>39</v>
      </c>
      <c r="H401" t="s">
        <v>40</v>
      </c>
      <c r="I401" t="s">
        <v>41</v>
      </c>
      <c r="J401" t="s">
        <v>37</v>
      </c>
      <c r="K401" t="s">
        <v>37</v>
      </c>
      <c r="L401" t="s">
        <v>42</v>
      </c>
      <c r="M401" s="6">
        <v>45367.347546296296</v>
      </c>
      <c r="N401" t="s">
        <v>4265</v>
      </c>
      <c r="O401" s="1">
        <v>45367.055879629632</v>
      </c>
      <c r="P401" s="1">
        <v>45367.347592592596</v>
      </c>
      <c r="Q401" t="s">
        <v>4265</v>
      </c>
      <c r="R401" s="6">
        <v>45367.416666666664</v>
      </c>
      <c r="S401" t="s">
        <v>43</v>
      </c>
      <c r="T401">
        <v>24.99</v>
      </c>
      <c r="U401">
        <v>0</v>
      </c>
      <c r="V401">
        <v>24.99</v>
      </c>
      <c r="W401">
        <v>0</v>
      </c>
      <c r="X401">
        <v>0</v>
      </c>
      <c r="Y401">
        <v>0</v>
      </c>
      <c r="Z401">
        <v>24.99</v>
      </c>
      <c r="AA401" t="s">
        <v>44</v>
      </c>
      <c r="AB401" t="s">
        <v>45</v>
      </c>
      <c r="AC401" t="s">
        <v>46</v>
      </c>
      <c r="AD401" t="s">
        <v>37</v>
      </c>
      <c r="AE401" t="s">
        <v>37</v>
      </c>
      <c r="AF401" t="s">
        <v>1365</v>
      </c>
      <c r="AG401" t="s">
        <v>37</v>
      </c>
      <c r="AH401" t="s">
        <v>1336</v>
      </c>
      <c r="AI401" t="s">
        <v>37</v>
      </c>
    </row>
    <row r="402" spans="1:35" x14ac:dyDescent="0.25">
      <c r="A402" t="s">
        <v>1384</v>
      </c>
      <c r="B402" t="s">
        <v>34</v>
      </c>
      <c r="C402" t="s">
        <v>1385</v>
      </c>
      <c r="D402" t="s">
        <v>1386</v>
      </c>
      <c r="E402" t="s">
        <v>37</v>
      </c>
      <c r="F402" t="s">
        <v>1387</v>
      </c>
      <c r="G402" t="s">
        <v>39</v>
      </c>
      <c r="H402" t="s">
        <v>40</v>
      </c>
      <c r="I402" t="s">
        <v>41</v>
      </c>
      <c r="J402" t="s">
        <v>37</v>
      </c>
      <c r="K402" t="s">
        <v>37</v>
      </c>
      <c r="L402" t="s">
        <v>42</v>
      </c>
      <c r="M402" s="6">
        <v>45367.542349537034</v>
      </c>
      <c r="N402" t="s">
        <v>4265</v>
      </c>
      <c r="O402" s="1">
        <v>45367.25068287037</v>
      </c>
      <c r="P402" s="1">
        <v>45367.542395833334</v>
      </c>
      <c r="Q402" t="s">
        <v>4265</v>
      </c>
      <c r="R402" s="6">
        <v>45367.416666666664</v>
      </c>
      <c r="S402" t="s">
        <v>43</v>
      </c>
      <c r="T402">
        <v>24.99</v>
      </c>
      <c r="U402">
        <v>0</v>
      </c>
      <c r="V402">
        <v>24.99</v>
      </c>
      <c r="W402">
        <v>0</v>
      </c>
      <c r="X402">
        <v>0</v>
      </c>
      <c r="Y402">
        <v>0</v>
      </c>
      <c r="Z402">
        <v>24.99</v>
      </c>
      <c r="AA402" t="s">
        <v>44</v>
      </c>
      <c r="AB402" t="s">
        <v>45</v>
      </c>
      <c r="AC402" t="s">
        <v>46</v>
      </c>
      <c r="AD402" t="s">
        <v>37</v>
      </c>
      <c r="AE402" t="s">
        <v>37</v>
      </c>
      <c r="AF402" t="s">
        <v>1388</v>
      </c>
      <c r="AG402" t="s">
        <v>37</v>
      </c>
      <c r="AH402" t="s">
        <v>1385</v>
      </c>
      <c r="AI402" t="s">
        <v>37</v>
      </c>
    </row>
    <row r="403" spans="1:35" x14ac:dyDescent="0.25">
      <c r="A403" t="s">
        <v>1342</v>
      </c>
      <c r="B403" t="s">
        <v>34</v>
      </c>
      <c r="C403" t="s">
        <v>1343</v>
      </c>
      <c r="D403" t="s">
        <v>1344</v>
      </c>
      <c r="E403" t="s">
        <v>37</v>
      </c>
      <c r="F403" t="s">
        <v>1345</v>
      </c>
      <c r="G403" t="s">
        <v>39</v>
      </c>
      <c r="H403" t="s">
        <v>40</v>
      </c>
      <c r="I403" t="s">
        <v>41</v>
      </c>
      <c r="J403" t="s">
        <v>37</v>
      </c>
      <c r="K403" t="s">
        <v>37</v>
      </c>
      <c r="L403" t="s">
        <v>42</v>
      </c>
      <c r="M403" s="6">
        <v>45368.291666666664</v>
      </c>
      <c r="N403" t="s">
        <v>4266</v>
      </c>
      <c r="O403" s="1">
        <v>45368</v>
      </c>
      <c r="P403" s="1">
        <v>45365.809745370374</v>
      </c>
      <c r="Q403" t="s">
        <v>4266</v>
      </c>
      <c r="R403" s="6">
        <v>45368.416666666664</v>
      </c>
      <c r="S403" t="s">
        <v>43</v>
      </c>
      <c r="T403">
        <v>24.99</v>
      </c>
      <c r="U403">
        <v>0</v>
      </c>
      <c r="V403">
        <v>24.99</v>
      </c>
      <c r="W403">
        <v>0</v>
      </c>
      <c r="X403">
        <v>0</v>
      </c>
      <c r="Y403">
        <v>0</v>
      </c>
      <c r="Z403">
        <v>24.99</v>
      </c>
      <c r="AA403" t="s">
        <v>44</v>
      </c>
      <c r="AB403" t="s">
        <v>45</v>
      </c>
      <c r="AC403" t="s">
        <v>46</v>
      </c>
      <c r="AD403" t="s">
        <v>37</v>
      </c>
      <c r="AE403" t="s">
        <v>37</v>
      </c>
      <c r="AF403" t="s">
        <v>1346</v>
      </c>
      <c r="AG403" t="s">
        <v>37</v>
      </c>
      <c r="AH403" t="s">
        <v>1343</v>
      </c>
      <c r="AI403" t="s">
        <v>37</v>
      </c>
    </row>
    <row r="404" spans="1:35" x14ac:dyDescent="0.25">
      <c r="A404" t="s">
        <v>1727</v>
      </c>
      <c r="B404" t="s">
        <v>34</v>
      </c>
      <c r="C404" t="s">
        <v>1728</v>
      </c>
      <c r="D404" t="s">
        <v>1729</v>
      </c>
      <c r="E404" t="s">
        <v>37</v>
      </c>
      <c r="F404" t="s">
        <v>1730</v>
      </c>
      <c r="G404" t="s">
        <v>39</v>
      </c>
      <c r="H404" t="s">
        <v>40</v>
      </c>
      <c r="I404" t="s">
        <v>41</v>
      </c>
      <c r="J404" t="s">
        <v>37</v>
      </c>
      <c r="K404" t="s">
        <v>37</v>
      </c>
      <c r="L404" t="s">
        <v>42</v>
      </c>
      <c r="M404" s="6">
        <v>45368.291666666664</v>
      </c>
      <c r="N404" t="s">
        <v>4266</v>
      </c>
      <c r="O404" s="1">
        <v>45368</v>
      </c>
      <c r="P404" s="1">
        <v>45361.743750000001</v>
      </c>
      <c r="Q404" t="s">
        <v>4266</v>
      </c>
      <c r="R404" s="6">
        <v>45368.416666666664</v>
      </c>
      <c r="S404" t="s">
        <v>43</v>
      </c>
      <c r="T404">
        <v>24.99</v>
      </c>
      <c r="U404">
        <v>0</v>
      </c>
      <c r="V404">
        <v>24.99</v>
      </c>
      <c r="W404">
        <v>0</v>
      </c>
      <c r="X404">
        <v>0</v>
      </c>
      <c r="Y404">
        <v>0</v>
      </c>
      <c r="Z404">
        <v>24.99</v>
      </c>
      <c r="AA404" t="s">
        <v>44</v>
      </c>
      <c r="AB404" t="s">
        <v>45</v>
      </c>
      <c r="AC404" t="s">
        <v>46</v>
      </c>
      <c r="AD404" t="s">
        <v>37</v>
      </c>
      <c r="AE404" t="s">
        <v>37</v>
      </c>
      <c r="AF404" t="s">
        <v>1731</v>
      </c>
      <c r="AG404" t="s">
        <v>37</v>
      </c>
      <c r="AH404" t="s">
        <v>1728</v>
      </c>
      <c r="AI404" t="s">
        <v>37</v>
      </c>
    </row>
    <row r="405" spans="1:35" x14ac:dyDescent="0.25">
      <c r="A405" t="s">
        <v>1779</v>
      </c>
      <c r="B405" t="s">
        <v>34</v>
      </c>
      <c r="C405" t="s">
        <v>1359</v>
      </c>
      <c r="D405" t="s">
        <v>1360</v>
      </c>
      <c r="E405" t="s">
        <v>37</v>
      </c>
      <c r="F405" t="s">
        <v>1361</v>
      </c>
      <c r="G405" t="s">
        <v>39</v>
      </c>
      <c r="H405" t="s">
        <v>40</v>
      </c>
      <c r="I405" t="s">
        <v>41</v>
      </c>
      <c r="J405" t="s">
        <v>37</v>
      </c>
      <c r="K405" t="s">
        <v>37</v>
      </c>
      <c r="L405" t="s">
        <v>42</v>
      </c>
      <c r="M405" s="6">
        <v>45368.291666666664</v>
      </c>
      <c r="N405" t="s">
        <v>4266</v>
      </c>
      <c r="O405" s="1">
        <v>45368</v>
      </c>
      <c r="P405" s="1">
        <v>45362.781770833331</v>
      </c>
      <c r="Q405" t="s">
        <v>4266</v>
      </c>
      <c r="R405" s="6">
        <v>45368.416666666664</v>
      </c>
      <c r="S405" t="s">
        <v>43</v>
      </c>
      <c r="T405">
        <v>24.99</v>
      </c>
      <c r="U405">
        <v>0</v>
      </c>
      <c r="V405">
        <v>24.99</v>
      </c>
      <c r="W405">
        <v>0</v>
      </c>
      <c r="X405">
        <v>0</v>
      </c>
      <c r="Y405">
        <v>0</v>
      </c>
      <c r="Z405">
        <v>24.99</v>
      </c>
      <c r="AA405" t="s">
        <v>44</v>
      </c>
      <c r="AB405" t="s">
        <v>45</v>
      </c>
      <c r="AC405" t="s">
        <v>46</v>
      </c>
      <c r="AD405" t="s">
        <v>37</v>
      </c>
      <c r="AE405" t="s">
        <v>37</v>
      </c>
      <c r="AF405" t="s">
        <v>1780</v>
      </c>
      <c r="AG405" t="s">
        <v>37</v>
      </c>
      <c r="AH405" t="s">
        <v>1363</v>
      </c>
      <c r="AI405" t="s">
        <v>37</v>
      </c>
    </row>
    <row r="406" spans="1:35" x14ac:dyDescent="0.25">
      <c r="A406" t="s">
        <v>1358</v>
      </c>
      <c r="B406" t="s">
        <v>34</v>
      </c>
      <c r="C406" t="s">
        <v>1359</v>
      </c>
      <c r="D406" t="s">
        <v>1360</v>
      </c>
      <c r="E406" t="s">
        <v>37</v>
      </c>
      <c r="F406" t="s">
        <v>1361</v>
      </c>
      <c r="G406" t="s">
        <v>39</v>
      </c>
      <c r="H406" t="s">
        <v>40</v>
      </c>
      <c r="I406" t="s">
        <v>41</v>
      </c>
      <c r="J406" t="s">
        <v>37</v>
      </c>
      <c r="K406" t="s">
        <v>37</v>
      </c>
      <c r="L406" t="s">
        <v>42</v>
      </c>
      <c r="M406" s="6">
        <v>45369.291666666664</v>
      </c>
      <c r="N406" t="s">
        <v>4262</v>
      </c>
      <c r="O406" s="1">
        <v>45369</v>
      </c>
      <c r="P406" s="1">
        <v>45367.363402777781</v>
      </c>
      <c r="Q406" t="s">
        <v>4262</v>
      </c>
      <c r="R406" s="6">
        <v>45369.416666666664</v>
      </c>
      <c r="S406" t="s">
        <v>43</v>
      </c>
      <c r="T406">
        <v>19.989999999999998</v>
      </c>
      <c r="U406">
        <v>0</v>
      </c>
      <c r="V406">
        <v>19.989999999999998</v>
      </c>
      <c r="W406">
        <v>0</v>
      </c>
      <c r="X406">
        <v>0</v>
      </c>
      <c r="Y406">
        <v>0</v>
      </c>
      <c r="Z406">
        <v>19.989999999999998</v>
      </c>
      <c r="AA406" t="s">
        <v>44</v>
      </c>
      <c r="AB406" t="s">
        <v>45</v>
      </c>
      <c r="AC406" t="s">
        <v>46</v>
      </c>
      <c r="AD406" t="s">
        <v>37</v>
      </c>
      <c r="AE406" t="s">
        <v>37</v>
      </c>
      <c r="AF406" t="s">
        <v>1362</v>
      </c>
      <c r="AG406" t="s">
        <v>37</v>
      </c>
      <c r="AH406" t="s">
        <v>1363</v>
      </c>
      <c r="AI406" t="s">
        <v>37</v>
      </c>
    </row>
    <row r="407" spans="1:35" x14ac:dyDescent="0.25">
      <c r="A407" t="s">
        <v>1389</v>
      </c>
      <c r="B407" t="s">
        <v>34</v>
      </c>
      <c r="C407" t="s">
        <v>1390</v>
      </c>
      <c r="D407" t="s">
        <v>1391</v>
      </c>
      <c r="E407" t="s">
        <v>37</v>
      </c>
      <c r="F407" t="s">
        <v>1392</v>
      </c>
      <c r="G407" t="s">
        <v>39</v>
      </c>
      <c r="H407" t="s">
        <v>40</v>
      </c>
      <c r="I407" t="s">
        <v>41</v>
      </c>
      <c r="J407" t="s">
        <v>37</v>
      </c>
      <c r="K407" t="s">
        <v>37</v>
      </c>
      <c r="L407" t="s">
        <v>42</v>
      </c>
      <c r="M407" s="6">
        <v>45369.291666666664</v>
      </c>
      <c r="N407" t="s">
        <v>4262</v>
      </c>
      <c r="O407" s="1">
        <v>45369</v>
      </c>
      <c r="P407" s="1">
        <v>45367.700520833336</v>
      </c>
      <c r="Q407" t="s">
        <v>4262</v>
      </c>
      <c r="R407" s="6">
        <v>45369.416666666664</v>
      </c>
      <c r="S407" t="s">
        <v>43</v>
      </c>
      <c r="T407">
        <v>39.979999999999997</v>
      </c>
      <c r="U407">
        <v>0</v>
      </c>
      <c r="V407">
        <v>39.979999999999997</v>
      </c>
      <c r="W407">
        <v>0</v>
      </c>
      <c r="X407">
        <v>0</v>
      </c>
      <c r="Y407">
        <v>0</v>
      </c>
      <c r="Z407">
        <v>39.979999999999997</v>
      </c>
      <c r="AA407" t="s">
        <v>44</v>
      </c>
      <c r="AB407" t="s">
        <v>45</v>
      </c>
      <c r="AC407" t="s">
        <v>46</v>
      </c>
      <c r="AD407" t="s">
        <v>37</v>
      </c>
      <c r="AE407" t="s">
        <v>37</v>
      </c>
      <c r="AF407" t="s">
        <v>1393</v>
      </c>
      <c r="AG407" t="s">
        <v>37</v>
      </c>
      <c r="AH407" t="s">
        <v>1390</v>
      </c>
      <c r="AI407" t="s">
        <v>37</v>
      </c>
    </row>
    <row r="408" spans="1:35" x14ac:dyDescent="0.25">
      <c r="A408" t="s">
        <v>1409</v>
      </c>
      <c r="B408" t="s">
        <v>34</v>
      </c>
      <c r="C408" t="s">
        <v>1410</v>
      </c>
      <c r="D408" t="s">
        <v>1411</v>
      </c>
      <c r="E408" t="s">
        <v>37</v>
      </c>
      <c r="F408" t="s">
        <v>1412</v>
      </c>
      <c r="G408" t="s">
        <v>39</v>
      </c>
      <c r="H408" t="s">
        <v>40</v>
      </c>
      <c r="I408" t="s">
        <v>41</v>
      </c>
      <c r="J408" t="s">
        <v>37</v>
      </c>
      <c r="K408" t="s">
        <v>37</v>
      </c>
      <c r="L408" t="s">
        <v>42</v>
      </c>
      <c r="M408" s="6">
        <v>45369.291666666664</v>
      </c>
      <c r="N408" t="s">
        <v>4262</v>
      </c>
      <c r="O408" s="1">
        <v>45369</v>
      </c>
      <c r="P408" s="1">
        <v>45368.422650462962</v>
      </c>
      <c r="Q408" t="s">
        <v>4262</v>
      </c>
      <c r="R408" s="6">
        <v>45369.416666666664</v>
      </c>
      <c r="S408" t="s">
        <v>43</v>
      </c>
      <c r="T408">
        <v>79.959999999999994</v>
      </c>
      <c r="U408">
        <v>0</v>
      </c>
      <c r="V408">
        <v>79.959999999999994</v>
      </c>
      <c r="W408">
        <v>0</v>
      </c>
      <c r="X408">
        <v>0</v>
      </c>
      <c r="Y408">
        <v>0</v>
      </c>
      <c r="Z408">
        <v>79.959999999999994</v>
      </c>
      <c r="AA408" t="s">
        <v>44</v>
      </c>
      <c r="AB408" t="s">
        <v>45</v>
      </c>
      <c r="AC408" t="s">
        <v>46</v>
      </c>
      <c r="AD408" t="s">
        <v>37</v>
      </c>
      <c r="AE408" t="s">
        <v>37</v>
      </c>
      <c r="AF408" t="s">
        <v>1413</v>
      </c>
      <c r="AG408" t="s">
        <v>37</v>
      </c>
      <c r="AH408" t="s">
        <v>1410</v>
      </c>
      <c r="AI408" t="s">
        <v>37</v>
      </c>
    </row>
    <row r="409" spans="1:35" x14ac:dyDescent="0.25">
      <c r="A409" t="s">
        <v>1732</v>
      </c>
      <c r="B409" t="s">
        <v>34</v>
      </c>
      <c r="C409" t="s">
        <v>1728</v>
      </c>
      <c r="D409" t="s">
        <v>1729</v>
      </c>
      <c r="E409" t="s">
        <v>37</v>
      </c>
      <c r="F409" t="s">
        <v>1730</v>
      </c>
      <c r="G409" t="s">
        <v>39</v>
      </c>
      <c r="H409" t="s">
        <v>40</v>
      </c>
      <c r="I409" t="s">
        <v>41</v>
      </c>
      <c r="J409" t="s">
        <v>37</v>
      </c>
      <c r="K409" t="s">
        <v>37</v>
      </c>
      <c r="L409" t="s">
        <v>42</v>
      </c>
      <c r="M409" s="6">
        <v>45369.291666666664</v>
      </c>
      <c r="N409" t="s">
        <v>4262</v>
      </c>
      <c r="O409" s="1">
        <v>45369</v>
      </c>
      <c r="P409" s="1">
        <v>45361.745405092595</v>
      </c>
      <c r="Q409" t="s">
        <v>4262</v>
      </c>
      <c r="R409" s="6">
        <v>45369.416666666664</v>
      </c>
      <c r="S409" t="s">
        <v>43</v>
      </c>
      <c r="T409">
        <v>19.989999999999998</v>
      </c>
      <c r="U409">
        <v>0</v>
      </c>
      <c r="V409">
        <v>19.989999999999998</v>
      </c>
      <c r="W409">
        <v>0</v>
      </c>
      <c r="X409">
        <v>0</v>
      </c>
      <c r="Y409">
        <v>0</v>
      </c>
      <c r="Z409">
        <v>19.989999999999998</v>
      </c>
      <c r="AA409" t="s">
        <v>44</v>
      </c>
      <c r="AB409" t="s">
        <v>45</v>
      </c>
      <c r="AC409" t="s">
        <v>46</v>
      </c>
      <c r="AD409" t="s">
        <v>37</v>
      </c>
      <c r="AE409" t="s">
        <v>37</v>
      </c>
      <c r="AF409" t="s">
        <v>1733</v>
      </c>
      <c r="AG409" t="s">
        <v>37</v>
      </c>
      <c r="AH409" t="s">
        <v>1728</v>
      </c>
      <c r="AI409" t="s">
        <v>37</v>
      </c>
    </row>
    <row r="410" spans="1:35" x14ac:dyDescent="0.25">
      <c r="A410" t="s">
        <v>1922</v>
      </c>
      <c r="B410" t="s">
        <v>34</v>
      </c>
      <c r="C410" t="s">
        <v>605</v>
      </c>
      <c r="D410" t="s">
        <v>606</v>
      </c>
      <c r="E410" t="s">
        <v>37</v>
      </c>
      <c r="F410" t="s">
        <v>607</v>
      </c>
      <c r="G410" t="s">
        <v>39</v>
      </c>
      <c r="H410" t="s">
        <v>40</v>
      </c>
      <c r="I410" t="s">
        <v>41</v>
      </c>
      <c r="J410" t="s">
        <v>37</v>
      </c>
      <c r="K410" t="s">
        <v>37</v>
      </c>
      <c r="L410" t="s">
        <v>42</v>
      </c>
      <c r="M410" s="6">
        <v>45369.291666666664</v>
      </c>
      <c r="N410" t="s">
        <v>4262</v>
      </c>
      <c r="O410" s="1">
        <v>45369</v>
      </c>
      <c r="P410" s="1">
        <v>45353.686030092591</v>
      </c>
      <c r="Q410" t="s">
        <v>4262</v>
      </c>
      <c r="R410" s="6">
        <v>45369.416666666664</v>
      </c>
      <c r="S410" t="s">
        <v>43</v>
      </c>
      <c r="T410">
        <v>39.979999999999997</v>
      </c>
      <c r="U410">
        <v>0</v>
      </c>
      <c r="V410">
        <v>39.979999999999997</v>
      </c>
      <c r="W410">
        <v>0</v>
      </c>
      <c r="X410">
        <v>0</v>
      </c>
      <c r="Y410">
        <v>0</v>
      </c>
      <c r="Z410">
        <v>39.979999999999997</v>
      </c>
      <c r="AA410" t="s">
        <v>44</v>
      </c>
      <c r="AB410" t="s">
        <v>45</v>
      </c>
      <c r="AC410" t="s">
        <v>46</v>
      </c>
      <c r="AD410" t="s">
        <v>37</v>
      </c>
      <c r="AE410" t="s">
        <v>37</v>
      </c>
      <c r="AF410" t="s">
        <v>1921</v>
      </c>
      <c r="AG410" t="s">
        <v>37</v>
      </c>
      <c r="AH410" t="s">
        <v>609</v>
      </c>
      <c r="AI410" t="s">
        <v>37</v>
      </c>
    </row>
    <row r="411" spans="1:35" x14ac:dyDescent="0.25">
      <c r="A411" t="s">
        <v>1495</v>
      </c>
      <c r="B411" t="s">
        <v>34</v>
      </c>
      <c r="C411" t="s">
        <v>1496</v>
      </c>
      <c r="D411" t="s">
        <v>1497</v>
      </c>
      <c r="E411" t="s">
        <v>37</v>
      </c>
      <c r="F411" t="s">
        <v>1498</v>
      </c>
      <c r="G411" t="s">
        <v>39</v>
      </c>
      <c r="H411" t="s">
        <v>40</v>
      </c>
      <c r="I411" t="s">
        <v>41</v>
      </c>
      <c r="J411" t="s">
        <v>37</v>
      </c>
      <c r="K411" t="s">
        <v>37</v>
      </c>
      <c r="L411" t="s">
        <v>42</v>
      </c>
      <c r="M411" s="6">
        <v>45369.370057870372</v>
      </c>
      <c r="N411" t="s">
        <v>4262</v>
      </c>
      <c r="O411" s="1">
        <v>45369.0783912037</v>
      </c>
      <c r="P411" s="1">
        <v>45369.370115740741</v>
      </c>
      <c r="Q411" t="s">
        <v>4262</v>
      </c>
      <c r="R411" s="6">
        <v>45369.416666666664</v>
      </c>
      <c r="S411" t="s">
        <v>43</v>
      </c>
      <c r="T411">
        <v>19.989999999999998</v>
      </c>
      <c r="U411">
        <v>0</v>
      </c>
      <c r="V411">
        <v>19.989999999999998</v>
      </c>
      <c r="W411">
        <v>0</v>
      </c>
      <c r="X411">
        <v>0</v>
      </c>
      <c r="Y411">
        <v>0</v>
      </c>
      <c r="Z411">
        <v>19.989999999999998</v>
      </c>
      <c r="AA411" t="s">
        <v>44</v>
      </c>
      <c r="AB411" t="s">
        <v>45</v>
      </c>
      <c r="AC411" t="s">
        <v>46</v>
      </c>
      <c r="AD411" t="s">
        <v>37</v>
      </c>
      <c r="AE411" t="s">
        <v>37</v>
      </c>
      <c r="AF411" t="s">
        <v>1499</v>
      </c>
      <c r="AG411" t="s">
        <v>37</v>
      </c>
      <c r="AH411" t="s">
        <v>1496</v>
      </c>
      <c r="AI411" t="s">
        <v>37</v>
      </c>
    </row>
    <row r="412" spans="1:35" x14ac:dyDescent="0.25">
      <c r="A412" t="s">
        <v>1394</v>
      </c>
      <c r="B412" t="s">
        <v>34</v>
      </c>
      <c r="C412" t="s">
        <v>1390</v>
      </c>
      <c r="D412" t="s">
        <v>1391</v>
      </c>
      <c r="E412" t="s">
        <v>37</v>
      </c>
      <c r="F412" t="s">
        <v>1392</v>
      </c>
      <c r="G412" t="s">
        <v>39</v>
      </c>
      <c r="H412" t="s">
        <v>40</v>
      </c>
      <c r="I412" t="s">
        <v>41</v>
      </c>
      <c r="J412" t="s">
        <v>37</v>
      </c>
      <c r="K412" t="s">
        <v>37</v>
      </c>
      <c r="L412" t="s">
        <v>42</v>
      </c>
      <c r="M412" s="6">
        <v>45370.291666666664</v>
      </c>
      <c r="N412" t="s">
        <v>4267</v>
      </c>
      <c r="O412" s="1">
        <v>45370</v>
      </c>
      <c r="P412" s="1">
        <v>45367.700520833336</v>
      </c>
      <c r="Q412" t="s">
        <v>4267</v>
      </c>
      <c r="R412" s="6">
        <v>45370.416666666664</v>
      </c>
      <c r="S412" t="s">
        <v>43</v>
      </c>
      <c r="T412">
        <v>39.979999999999997</v>
      </c>
      <c r="U412">
        <v>0</v>
      </c>
      <c r="V412">
        <v>39.979999999999997</v>
      </c>
      <c r="W412">
        <v>0</v>
      </c>
      <c r="X412">
        <v>0</v>
      </c>
      <c r="Y412">
        <v>0</v>
      </c>
      <c r="Z412">
        <v>39.979999999999997</v>
      </c>
      <c r="AA412" t="s">
        <v>44</v>
      </c>
      <c r="AB412" t="s">
        <v>45</v>
      </c>
      <c r="AC412" t="s">
        <v>46</v>
      </c>
      <c r="AD412" t="s">
        <v>37</v>
      </c>
      <c r="AE412" t="s">
        <v>37</v>
      </c>
      <c r="AF412" t="s">
        <v>1393</v>
      </c>
      <c r="AG412" t="s">
        <v>37</v>
      </c>
      <c r="AH412" t="s">
        <v>1390</v>
      </c>
      <c r="AI412" t="s">
        <v>37</v>
      </c>
    </row>
    <row r="413" spans="1:35" x14ac:dyDescent="0.25">
      <c r="A413" t="s">
        <v>1414</v>
      </c>
      <c r="B413" t="s">
        <v>34</v>
      </c>
      <c r="C413" t="s">
        <v>1410</v>
      </c>
      <c r="D413" t="s">
        <v>1411</v>
      </c>
      <c r="E413" t="s">
        <v>37</v>
      </c>
      <c r="F413" t="s">
        <v>1412</v>
      </c>
      <c r="G413" t="s">
        <v>39</v>
      </c>
      <c r="H413" t="s">
        <v>40</v>
      </c>
      <c r="I413" t="s">
        <v>41</v>
      </c>
      <c r="J413" t="s">
        <v>37</v>
      </c>
      <c r="K413" t="s">
        <v>37</v>
      </c>
      <c r="L413" t="s">
        <v>42</v>
      </c>
      <c r="M413" s="6">
        <v>45370.291666666664</v>
      </c>
      <c r="N413" t="s">
        <v>4267</v>
      </c>
      <c r="O413" s="1">
        <v>45370</v>
      </c>
      <c r="P413" s="1">
        <v>45368.422650462962</v>
      </c>
      <c r="Q413" t="s">
        <v>4267</v>
      </c>
      <c r="R413" s="6">
        <v>45370.416666666664</v>
      </c>
      <c r="S413" t="s">
        <v>43</v>
      </c>
      <c r="T413">
        <v>79.959999999999994</v>
      </c>
      <c r="U413">
        <v>0</v>
      </c>
      <c r="V413">
        <v>79.959999999999994</v>
      </c>
      <c r="W413">
        <v>0</v>
      </c>
      <c r="X413">
        <v>0</v>
      </c>
      <c r="Y413">
        <v>0</v>
      </c>
      <c r="Z413">
        <v>79.959999999999994</v>
      </c>
      <c r="AA413" t="s">
        <v>44</v>
      </c>
      <c r="AB413" t="s">
        <v>45</v>
      </c>
      <c r="AC413" t="s">
        <v>46</v>
      </c>
      <c r="AD413" t="s">
        <v>37</v>
      </c>
      <c r="AE413" t="s">
        <v>37</v>
      </c>
      <c r="AF413" t="s">
        <v>1413</v>
      </c>
      <c r="AG413" t="s">
        <v>37</v>
      </c>
      <c r="AH413" t="s">
        <v>1410</v>
      </c>
      <c r="AI413" t="s">
        <v>37</v>
      </c>
    </row>
    <row r="414" spans="1:35" x14ac:dyDescent="0.25">
      <c r="A414" t="s">
        <v>1439</v>
      </c>
      <c r="B414" t="s">
        <v>34</v>
      </c>
      <c r="C414" t="s">
        <v>1440</v>
      </c>
      <c r="D414" t="s">
        <v>1441</v>
      </c>
      <c r="E414" t="s">
        <v>37</v>
      </c>
      <c r="F414" t="s">
        <v>1442</v>
      </c>
      <c r="G414" t="s">
        <v>39</v>
      </c>
      <c r="H414" t="s">
        <v>40</v>
      </c>
      <c r="I414" t="s">
        <v>41</v>
      </c>
      <c r="J414" t="s">
        <v>37</v>
      </c>
      <c r="K414" t="s">
        <v>37</v>
      </c>
      <c r="L414" t="s">
        <v>42</v>
      </c>
      <c r="M414" s="6">
        <v>45370.291666666664</v>
      </c>
      <c r="N414" t="s">
        <v>4267</v>
      </c>
      <c r="O414" s="1">
        <v>45370</v>
      </c>
      <c r="P414" s="1">
        <v>45368.749282407407</v>
      </c>
      <c r="Q414" t="s">
        <v>4267</v>
      </c>
      <c r="R414" s="6">
        <v>45370.416666666664</v>
      </c>
      <c r="S414" t="s">
        <v>43</v>
      </c>
      <c r="T414">
        <v>19.989999999999998</v>
      </c>
      <c r="U414">
        <v>0</v>
      </c>
      <c r="V414">
        <v>19.989999999999998</v>
      </c>
      <c r="W414">
        <v>0</v>
      </c>
      <c r="X414">
        <v>0</v>
      </c>
      <c r="Y414">
        <v>0</v>
      </c>
      <c r="Z414">
        <v>19.989999999999998</v>
      </c>
      <c r="AA414" t="s">
        <v>44</v>
      </c>
      <c r="AB414" t="s">
        <v>45</v>
      </c>
      <c r="AC414" t="s">
        <v>46</v>
      </c>
      <c r="AD414" t="s">
        <v>37</v>
      </c>
      <c r="AE414" t="s">
        <v>37</v>
      </c>
      <c r="AF414" t="s">
        <v>1443</v>
      </c>
      <c r="AG414" t="s">
        <v>37</v>
      </c>
      <c r="AH414" t="s">
        <v>1440</v>
      </c>
      <c r="AI414" t="s">
        <v>37</v>
      </c>
    </row>
    <row r="415" spans="1:35" x14ac:dyDescent="0.25">
      <c r="A415" t="s">
        <v>1557</v>
      </c>
      <c r="B415" t="s">
        <v>34</v>
      </c>
      <c r="C415" t="s">
        <v>1558</v>
      </c>
      <c r="D415" t="s">
        <v>1559</v>
      </c>
      <c r="E415" t="s">
        <v>37</v>
      </c>
      <c r="F415" t="s">
        <v>1560</v>
      </c>
      <c r="G415" t="s">
        <v>39</v>
      </c>
      <c r="H415" t="s">
        <v>40</v>
      </c>
      <c r="I415" t="s">
        <v>41</v>
      </c>
      <c r="J415" t="s">
        <v>37</v>
      </c>
      <c r="K415" t="s">
        <v>37</v>
      </c>
      <c r="L415" t="s">
        <v>42</v>
      </c>
      <c r="M415" s="6">
        <v>45370.291666666664</v>
      </c>
      <c r="N415" t="s">
        <v>4267</v>
      </c>
      <c r="O415" s="1">
        <v>45370</v>
      </c>
      <c r="P415" s="1">
        <v>45369.775092592594</v>
      </c>
      <c r="Q415" t="s">
        <v>4267</v>
      </c>
      <c r="R415" s="6">
        <v>45370.416666666664</v>
      </c>
      <c r="S415" t="s">
        <v>43</v>
      </c>
      <c r="T415">
        <v>19.989999999999998</v>
      </c>
      <c r="U415">
        <v>0</v>
      </c>
      <c r="V415">
        <v>19.989999999999998</v>
      </c>
      <c r="W415">
        <v>0</v>
      </c>
      <c r="X415">
        <v>0</v>
      </c>
      <c r="Y415">
        <v>0</v>
      </c>
      <c r="Z415">
        <v>19.989999999999998</v>
      </c>
      <c r="AA415" t="s">
        <v>44</v>
      </c>
      <c r="AB415" t="s">
        <v>45</v>
      </c>
      <c r="AC415" t="s">
        <v>46</v>
      </c>
      <c r="AD415" t="s">
        <v>37</v>
      </c>
      <c r="AE415" t="s">
        <v>37</v>
      </c>
      <c r="AF415" t="s">
        <v>1561</v>
      </c>
      <c r="AG415" t="s">
        <v>37</v>
      </c>
      <c r="AH415" t="s">
        <v>1558</v>
      </c>
      <c r="AI415" t="s">
        <v>37</v>
      </c>
    </row>
    <row r="416" spans="1:35" x14ac:dyDescent="0.25">
      <c r="A416" t="s">
        <v>1572</v>
      </c>
      <c r="B416" t="s">
        <v>34</v>
      </c>
      <c r="C416" t="s">
        <v>1573</v>
      </c>
      <c r="D416" t="s">
        <v>1574</v>
      </c>
      <c r="E416" t="s">
        <v>37</v>
      </c>
      <c r="F416" t="s">
        <v>1575</v>
      </c>
      <c r="G416" t="s">
        <v>39</v>
      </c>
      <c r="H416" t="s">
        <v>40</v>
      </c>
      <c r="I416" t="s">
        <v>41</v>
      </c>
      <c r="J416" t="s">
        <v>37</v>
      </c>
      <c r="K416" t="s">
        <v>37</v>
      </c>
      <c r="L416" t="s">
        <v>42</v>
      </c>
      <c r="M416" s="6">
        <v>45370.291666666664</v>
      </c>
      <c r="N416" t="s">
        <v>4267</v>
      </c>
      <c r="O416" s="1">
        <v>45370</v>
      </c>
      <c r="P416" s="1">
        <v>45369.878564814811</v>
      </c>
      <c r="Q416" t="s">
        <v>4267</v>
      </c>
      <c r="R416" s="6">
        <v>45370.416666666664</v>
      </c>
      <c r="S416" t="s">
        <v>43</v>
      </c>
      <c r="T416">
        <v>19.989999999999998</v>
      </c>
      <c r="U416">
        <v>0</v>
      </c>
      <c r="V416">
        <v>19.989999999999998</v>
      </c>
      <c r="W416">
        <v>0</v>
      </c>
      <c r="X416">
        <v>0</v>
      </c>
      <c r="Y416">
        <v>0</v>
      </c>
      <c r="Z416">
        <v>19.989999999999998</v>
      </c>
      <c r="AA416" t="s">
        <v>44</v>
      </c>
      <c r="AB416" t="s">
        <v>45</v>
      </c>
      <c r="AC416" t="s">
        <v>46</v>
      </c>
      <c r="AD416" t="s">
        <v>37</v>
      </c>
      <c r="AE416" t="s">
        <v>37</v>
      </c>
      <c r="AF416" t="s">
        <v>1576</v>
      </c>
      <c r="AG416" t="s">
        <v>37</v>
      </c>
      <c r="AH416" t="s">
        <v>1573</v>
      </c>
      <c r="AI416" t="s">
        <v>37</v>
      </c>
    </row>
    <row r="417" spans="1:35" x14ac:dyDescent="0.25">
      <c r="A417" t="s">
        <v>1920</v>
      </c>
      <c r="B417" t="s">
        <v>34</v>
      </c>
      <c r="C417" t="s">
        <v>605</v>
      </c>
      <c r="D417" t="s">
        <v>606</v>
      </c>
      <c r="E417" t="s">
        <v>37</v>
      </c>
      <c r="F417" t="s">
        <v>607</v>
      </c>
      <c r="G417" t="s">
        <v>39</v>
      </c>
      <c r="H417" t="s">
        <v>40</v>
      </c>
      <c r="I417" t="s">
        <v>41</v>
      </c>
      <c r="J417" t="s">
        <v>37</v>
      </c>
      <c r="K417" t="s">
        <v>37</v>
      </c>
      <c r="L417" t="s">
        <v>42</v>
      </c>
      <c r="M417" s="6">
        <v>45370.291666666664</v>
      </c>
      <c r="N417" t="s">
        <v>4267</v>
      </c>
      <c r="O417" s="1">
        <v>45370</v>
      </c>
      <c r="P417" s="1">
        <v>45353.686030092591</v>
      </c>
      <c r="Q417" t="s">
        <v>4267</v>
      </c>
      <c r="R417" s="6">
        <v>45370.416666666664</v>
      </c>
      <c r="S417" t="s">
        <v>43</v>
      </c>
      <c r="T417">
        <v>39.979999999999997</v>
      </c>
      <c r="U417">
        <v>0</v>
      </c>
      <c r="V417">
        <v>39.979999999999997</v>
      </c>
      <c r="W417">
        <v>0</v>
      </c>
      <c r="X417">
        <v>0</v>
      </c>
      <c r="Y417">
        <v>0</v>
      </c>
      <c r="Z417">
        <v>39.979999999999997</v>
      </c>
      <c r="AA417" t="s">
        <v>44</v>
      </c>
      <c r="AB417" t="s">
        <v>45</v>
      </c>
      <c r="AC417" t="s">
        <v>46</v>
      </c>
      <c r="AD417" t="s">
        <v>37</v>
      </c>
      <c r="AE417" t="s">
        <v>37</v>
      </c>
      <c r="AF417" t="s">
        <v>1921</v>
      </c>
      <c r="AG417" t="s">
        <v>37</v>
      </c>
      <c r="AH417" t="s">
        <v>609</v>
      </c>
      <c r="AI417" t="s">
        <v>37</v>
      </c>
    </row>
    <row r="418" spans="1:35" x14ac:dyDescent="0.25">
      <c r="A418" t="s">
        <v>1415</v>
      </c>
      <c r="B418" t="s">
        <v>34</v>
      </c>
      <c r="C418" t="s">
        <v>1410</v>
      </c>
      <c r="D418" t="s">
        <v>1411</v>
      </c>
      <c r="E418" t="s">
        <v>37</v>
      </c>
      <c r="F418" t="s">
        <v>1412</v>
      </c>
      <c r="G418" t="s">
        <v>39</v>
      </c>
      <c r="H418" t="s">
        <v>40</v>
      </c>
      <c r="I418" t="s">
        <v>41</v>
      </c>
      <c r="J418" t="s">
        <v>37</v>
      </c>
      <c r="K418" t="s">
        <v>37</v>
      </c>
      <c r="L418" t="s">
        <v>42</v>
      </c>
      <c r="M418" s="6">
        <v>45371.291666666664</v>
      </c>
      <c r="N418" t="s">
        <v>4263</v>
      </c>
      <c r="O418" s="1">
        <v>45371</v>
      </c>
      <c r="P418" s="1">
        <v>45368.422650462962</v>
      </c>
      <c r="Q418" t="s">
        <v>4263</v>
      </c>
      <c r="R418" s="6">
        <v>45371.416666666664</v>
      </c>
      <c r="S418" t="s">
        <v>43</v>
      </c>
      <c r="T418">
        <v>79.959999999999994</v>
      </c>
      <c r="U418">
        <v>0</v>
      </c>
      <c r="V418">
        <v>79.959999999999994</v>
      </c>
      <c r="W418">
        <v>0</v>
      </c>
      <c r="X418">
        <v>0</v>
      </c>
      <c r="Y418">
        <v>0</v>
      </c>
      <c r="Z418">
        <v>79.959999999999994</v>
      </c>
      <c r="AA418" t="s">
        <v>44</v>
      </c>
      <c r="AB418" t="s">
        <v>45</v>
      </c>
      <c r="AC418" t="s">
        <v>46</v>
      </c>
      <c r="AD418" t="s">
        <v>37</v>
      </c>
      <c r="AE418" t="s">
        <v>37</v>
      </c>
      <c r="AF418" t="s">
        <v>1413</v>
      </c>
      <c r="AG418" t="s">
        <v>37</v>
      </c>
      <c r="AH418" t="s">
        <v>1410</v>
      </c>
      <c r="AI418" t="s">
        <v>37</v>
      </c>
    </row>
    <row r="419" spans="1:35" x14ac:dyDescent="0.25">
      <c r="A419" t="s">
        <v>1734</v>
      </c>
      <c r="B419" t="s">
        <v>34</v>
      </c>
      <c r="C419" t="s">
        <v>1735</v>
      </c>
      <c r="D419" t="s">
        <v>1736</v>
      </c>
      <c r="E419" t="s">
        <v>37</v>
      </c>
      <c r="F419" t="s">
        <v>1737</v>
      </c>
      <c r="G419" t="s">
        <v>39</v>
      </c>
      <c r="H419" t="s">
        <v>40</v>
      </c>
      <c r="I419" t="s">
        <v>41</v>
      </c>
      <c r="J419" t="s">
        <v>37</v>
      </c>
      <c r="K419" t="s">
        <v>37</v>
      </c>
      <c r="L419" t="s">
        <v>42</v>
      </c>
      <c r="M419" s="6">
        <v>45371.291666666664</v>
      </c>
      <c r="N419" t="s">
        <v>4263</v>
      </c>
      <c r="O419" s="1">
        <v>45371</v>
      </c>
      <c r="P419" s="1">
        <v>45371.445787037039</v>
      </c>
      <c r="Q419" t="s">
        <v>4263</v>
      </c>
      <c r="R419" s="6">
        <v>45371.416666666664</v>
      </c>
      <c r="S419" t="s">
        <v>43</v>
      </c>
      <c r="T419">
        <v>19.989999999999998</v>
      </c>
      <c r="U419">
        <v>0</v>
      </c>
      <c r="V419">
        <v>19.989999999999998</v>
      </c>
      <c r="W419">
        <v>0</v>
      </c>
      <c r="X419">
        <v>0</v>
      </c>
      <c r="Y419">
        <v>0</v>
      </c>
      <c r="Z419">
        <v>19.989999999999998</v>
      </c>
      <c r="AA419" t="s">
        <v>44</v>
      </c>
      <c r="AB419" t="s">
        <v>45</v>
      </c>
      <c r="AC419" t="s">
        <v>46</v>
      </c>
      <c r="AD419" t="s">
        <v>37</v>
      </c>
      <c r="AE419" t="s">
        <v>37</v>
      </c>
      <c r="AF419" t="s">
        <v>1738</v>
      </c>
      <c r="AG419" t="s">
        <v>37</v>
      </c>
      <c r="AH419" t="s">
        <v>1739</v>
      </c>
      <c r="AI419" t="s">
        <v>37</v>
      </c>
    </row>
    <row r="420" spans="1:35" x14ac:dyDescent="0.25">
      <c r="A420" t="s">
        <v>1416</v>
      </c>
      <c r="B420" t="s">
        <v>34</v>
      </c>
      <c r="C420" t="s">
        <v>1410</v>
      </c>
      <c r="D420" t="s">
        <v>1411</v>
      </c>
      <c r="E420" t="s">
        <v>37</v>
      </c>
      <c r="F420" t="s">
        <v>1412</v>
      </c>
      <c r="G420" t="s">
        <v>39</v>
      </c>
      <c r="H420" t="s">
        <v>40</v>
      </c>
      <c r="I420" t="s">
        <v>41</v>
      </c>
      <c r="J420" t="s">
        <v>37</v>
      </c>
      <c r="K420" t="s">
        <v>37</v>
      </c>
      <c r="L420" t="s">
        <v>42</v>
      </c>
      <c r="M420" s="6">
        <v>45372.291666666664</v>
      </c>
      <c r="N420" t="s">
        <v>4264</v>
      </c>
      <c r="O420" s="1">
        <v>45372</v>
      </c>
      <c r="P420" s="1">
        <v>45368.422650462962</v>
      </c>
      <c r="Q420" t="s">
        <v>4264</v>
      </c>
      <c r="R420" s="6">
        <v>45372.416666666664</v>
      </c>
      <c r="S420" t="s">
        <v>43</v>
      </c>
      <c r="T420">
        <v>79.959999999999994</v>
      </c>
      <c r="U420">
        <v>0</v>
      </c>
      <c r="V420">
        <v>79.959999999999994</v>
      </c>
      <c r="W420">
        <v>0</v>
      </c>
      <c r="X420">
        <v>0</v>
      </c>
      <c r="Y420">
        <v>0</v>
      </c>
      <c r="Z420">
        <v>79.959999999999994</v>
      </c>
      <c r="AA420" t="s">
        <v>44</v>
      </c>
      <c r="AB420" t="s">
        <v>45</v>
      </c>
      <c r="AC420" t="s">
        <v>46</v>
      </c>
      <c r="AD420" t="s">
        <v>37</v>
      </c>
      <c r="AE420" t="s">
        <v>37</v>
      </c>
      <c r="AF420" t="s">
        <v>1413</v>
      </c>
      <c r="AG420" t="s">
        <v>37</v>
      </c>
      <c r="AH420" t="s">
        <v>1410</v>
      </c>
      <c r="AI420" t="s">
        <v>37</v>
      </c>
    </row>
    <row r="421" spans="1:35" x14ac:dyDescent="0.25">
      <c r="A421" t="s">
        <v>1747</v>
      </c>
      <c r="B421" t="s">
        <v>34</v>
      </c>
      <c r="C421" t="s">
        <v>1748</v>
      </c>
      <c r="D421" t="s">
        <v>1749</v>
      </c>
      <c r="E421" t="s">
        <v>37</v>
      </c>
      <c r="F421" t="s">
        <v>1750</v>
      </c>
      <c r="G421" t="s">
        <v>39</v>
      </c>
      <c r="H421" t="s">
        <v>40</v>
      </c>
      <c r="I421" t="s">
        <v>41</v>
      </c>
      <c r="J421" t="s">
        <v>37</v>
      </c>
      <c r="K421" t="s">
        <v>37</v>
      </c>
      <c r="L421" t="s">
        <v>42</v>
      </c>
      <c r="M421" s="6">
        <v>45372.291666666664</v>
      </c>
      <c r="N421" t="s">
        <v>4264</v>
      </c>
      <c r="O421" s="1">
        <v>45372</v>
      </c>
      <c r="P421" s="1">
        <v>45371.647222222222</v>
      </c>
      <c r="Q421" t="s">
        <v>4264</v>
      </c>
      <c r="R421" s="6">
        <v>45372.416666666664</v>
      </c>
      <c r="S421" t="s">
        <v>43</v>
      </c>
      <c r="T421">
        <v>19.989999999999998</v>
      </c>
      <c r="U421">
        <v>0</v>
      </c>
      <c r="V421">
        <v>19.989999999999998</v>
      </c>
      <c r="W421">
        <v>0</v>
      </c>
      <c r="X421">
        <v>0</v>
      </c>
      <c r="Y421">
        <v>0</v>
      </c>
      <c r="Z421">
        <v>19.989999999999998</v>
      </c>
      <c r="AA421" t="s">
        <v>44</v>
      </c>
      <c r="AB421" t="s">
        <v>45</v>
      </c>
      <c r="AC421" t="s">
        <v>46</v>
      </c>
      <c r="AD421" t="s">
        <v>37</v>
      </c>
      <c r="AE421" t="s">
        <v>37</v>
      </c>
      <c r="AF421" t="s">
        <v>1751</v>
      </c>
      <c r="AG421" t="s">
        <v>37</v>
      </c>
      <c r="AH421" t="s">
        <v>1748</v>
      </c>
      <c r="AI421" t="s">
        <v>37</v>
      </c>
    </row>
    <row r="422" spans="1:35" x14ac:dyDescent="0.25">
      <c r="A422" t="s">
        <v>1813</v>
      </c>
      <c r="B422" t="s">
        <v>34</v>
      </c>
      <c r="C422" t="s">
        <v>1573</v>
      </c>
      <c r="D422" t="s">
        <v>1574</v>
      </c>
      <c r="E422" t="s">
        <v>37</v>
      </c>
      <c r="F422" t="s">
        <v>1575</v>
      </c>
      <c r="G422" t="s">
        <v>39</v>
      </c>
      <c r="H422" t="s">
        <v>40</v>
      </c>
      <c r="I422" t="s">
        <v>41</v>
      </c>
      <c r="J422" t="s">
        <v>37</v>
      </c>
      <c r="K422" t="s">
        <v>37</v>
      </c>
      <c r="L422" t="s">
        <v>42</v>
      </c>
      <c r="M422" s="6">
        <v>45372.291666666664</v>
      </c>
      <c r="N422" t="s">
        <v>4264</v>
      </c>
      <c r="O422" s="1">
        <v>45372</v>
      </c>
      <c r="P422" s="1">
        <v>45372.326631944445</v>
      </c>
      <c r="Q422" t="s">
        <v>4264</v>
      </c>
      <c r="R422" s="6">
        <v>45372.416666666664</v>
      </c>
      <c r="S422" t="s">
        <v>43</v>
      </c>
      <c r="T422">
        <v>19.989999999999998</v>
      </c>
      <c r="U422">
        <v>0</v>
      </c>
      <c r="V422">
        <v>19.989999999999998</v>
      </c>
      <c r="W422">
        <v>0</v>
      </c>
      <c r="X422">
        <v>0</v>
      </c>
      <c r="Y422">
        <v>0</v>
      </c>
      <c r="Z422">
        <v>19.989999999999998</v>
      </c>
      <c r="AA422" t="s">
        <v>44</v>
      </c>
      <c r="AB422" t="s">
        <v>45</v>
      </c>
      <c r="AC422" t="s">
        <v>46</v>
      </c>
      <c r="AD422" t="s">
        <v>37</v>
      </c>
      <c r="AE422" t="s">
        <v>37</v>
      </c>
      <c r="AF422" t="s">
        <v>1814</v>
      </c>
      <c r="AG422" t="s">
        <v>37</v>
      </c>
      <c r="AH422" t="s">
        <v>1573</v>
      </c>
      <c r="AI422" t="s">
        <v>37</v>
      </c>
    </row>
    <row r="423" spans="1:35" x14ac:dyDescent="0.25">
      <c r="A423" t="s">
        <v>1826</v>
      </c>
      <c r="B423" t="s">
        <v>34</v>
      </c>
      <c r="C423" t="s">
        <v>1827</v>
      </c>
      <c r="D423" t="s">
        <v>1828</v>
      </c>
      <c r="E423" t="s">
        <v>37</v>
      </c>
      <c r="F423" t="s">
        <v>1829</v>
      </c>
      <c r="G423" t="s">
        <v>39</v>
      </c>
      <c r="H423" t="s">
        <v>40</v>
      </c>
      <c r="I423" t="s">
        <v>41</v>
      </c>
      <c r="J423" t="s">
        <v>37</v>
      </c>
      <c r="K423" t="s">
        <v>37</v>
      </c>
      <c r="L423" t="s">
        <v>42</v>
      </c>
      <c r="M423" s="6">
        <v>45372.411249999997</v>
      </c>
      <c r="N423" t="s">
        <v>4264</v>
      </c>
      <c r="O423" s="1">
        <v>45372.119583333333</v>
      </c>
      <c r="P423" s="1">
        <v>45372.411261574074</v>
      </c>
      <c r="Q423" t="s">
        <v>4264</v>
      </c>
      <c r="R423" s="6">
        <v>45372.416666666664</v>
      </c>
      <c r="S423" t="s">
        <v>43</v>
      </c>
      <c r="T423">
        <v>19.989999999999998</v>
      </c>
      <c r="U423">
        <v>0</v>
      </c>
      <c r="V423">
        <v>0</v>
      </c>
      <c r="W423">
        <v>0</v>
      </c>
      <c r="X423">
        <v>0</v>
      </c>
      <c r="Y423">
        <v>0</v>
      </c>
      <c r="Z423">
        <v>19.989999999999998</v>
      </c>
      <c r="AA423" t="s">
        <v>44</v>
      </c>
      <c r="AB423" t="s">
        <v>115</v>
      </c>
      <c r="AC423" t="s">
        <v>116</v>
      </c>
      <c r="AD423" t="s">
        <v>37</v>
      </c>
      <c r="AE423" t="s">
        <v>37</v>
      </c>
      <c r="AF423" t="s">
        <v>37</v>
      </c>
      <c r="AG423" t="s">
        <v>37</v>
      </c>
      <c r="AH423" t="s">
        <v>1827</v>
      </c>
      <c r="AI423" t="s">
        <v>37</v>
      </c>
    </row>
    <row r="424" spans="1:35" x14ac:dyDescent="0.25">
      <c r="A424" t="s">
        <v>1835</v>
      </c>
      <c r="B424" t="s">
        <v>34</v>
      </c>
      <c r="C424" t="s">
        <v>1827</v>
      </c>
      <c r="D424" t="s">
        <v>1828</v>
      </c>
      <c r="E424" t="s">
        <v>37</v>
      </c>
      <c r="F424" t="s">
        <v>1829</v>
      </c>
      <c r="G424" t="s">
        <v>39</v>
      </c>
      <c r="H424" t="s">
        <v>40</v>
      </c>
      <c r="I424" t="s">
        <v>41</v>
      </c>
      <c r="J424" t="s">
        <v>37</v>
      </c>
      <c r="K424" t="s">
        <v>37</v>
      </c>
      <c r="L424" t="s">
        <v>42</v>
      </c>
      <c r="M424" s="6">
        <v>45372.41165509259</v>
      </c>
      <c r="N424" t="s">
        <v>4264</v>
      </c>
      <c r="O424" s="1">
        <v>45372.119988425926</v>
      </c>
      <c r="P424" s="1">
        <v>45372.411712962959</v>
      </c>
      <c r="Q424" t="s">
        <v>4264</v>
      </c>
      <c r="R424" s="6">
        <v>45372.416666666664</v>
      </c>
      <c r="S424" t="s">
        <v>43</v>
      </c>
      <c r="T424">
        <v>19.989999999999998</v>
      </c>
      <c r="U424">
        <v>0</v>
      </c>
      <c r="V424">
        <v>19.989999999999998</v>
      </c>
      <c r="W424">
        <v>0</v>
      </c>
      <c r="X424">
        <v>0</v>
      </c>
      <c r="Y424">
        <v>0</v>
      </c>
      <c r="Z424">
        <v>19.989999999999998</v>
      </c>
      <c r="AA424" t="s">
        <v>44</v>
      </c>
      <c r="AB424" t="s">
        <v>45</v>
      </c>
      <c r="AC424" t="s">
        <v>46</v>
      </c>
      <c r="AD424" t="s">
        <v>37</v>
      </c>
      <c r="AE424" t="s">
        <v>37</v>
      </c>
      <c r="AF424" t="s">
        <v>1836</v>
      </c>
      <c r="AG424" t="s">
        <v>37</v>
      </c>
      <c r="AH424" t="s">
        <v>1827</v>
      </c>
      <c r="AI424" t="s">
        <v>37</v>
      </c>
    </row>
    <row r="425" spans="1:35" x14ac:dyDescent="0.25">
      <c r="A425" t="s">
        <v>1808</v>
      </c>
      <c r="B425" t="s">
        <v>34</v>
      </c>
      <c r="C425" t="s">
        <v>1809</v>
      </c>
      <c r="D425" t="s">
        <v>1810</v>
      </c>
      <c r="E425" t="s">
        <v>37</v>
      </c>
      <c r="F425" t="s">
        <v>1811</v>
      </c>
      <c r="G425" t="s">
        <v>39</v>
      </c>
      <c r="H425" t="s">
        <v>40</v>
      </c>
      <c r="I425" t="s">
        <v>41</v>
      </c>
      <c r="J425" t="s">
        <v>37</v>
      </c>
      <c r="K425" t="s">
        <v>37</v>
      </c>
      <c r="L425" t="s">
        <v>42</v>
      </c>
      <c r="M425" s="6">
        <v>45373.291666666664</v>
      </c>
      <c r="N425" t="s">
        <v>4268</v>
      </c>
      <c r="O425" s="1">
        <v>45373</v>
      </c>
      <c r="P425" s="1">
        <v>45372.326226851852</v>
      </c>
      <c r="Q425" t="s">
        <v>4268</v>
      </c>
      <c r="R425" s="6">
        <v>45373.416666666664</v>
      </c>
      <c r="S425" t="s">
        <v>43</v>
      </c>
      <c r="T425">
        <v>19.989999999999998</v>
      </c>
      <c r="U425">
        <v>0</v>
      </c>
      <c r="V425">
        <v>19.989999999999998</v>
      </c>
      <c r="W425">
        <v>0</v>
      </c>
      <c r="X425">
        <v>0</v>
      </c>
      <c r="Y425">
        <v>0</v>
      </c>
      <c r="Z425">
        <v>19.989999999999998</v>
      </c>
      <c r="AA425" t="s">
        <v>44</v>
      </c>
      <c r="AB425" t="s">
        <v>45</v>
      </c>
      <c r="AC425" t="s">
        <v>46</v>
      </c>
      <c r="AD425" t="s">
        <v>37</v>
      </c>
      <c r="AE425" t="s">
        <v>37</v>
      </c>
      <c r="AF425" t="s">
        <v>1812</v>
      </c>
      <c r="AG425" t="s">
        <v>37</v>
      </c>
      <c r="AH425" t="s">
        <v>1809</v>
      </c>
      <c r="AI425" t="s">
        <v>37</v>
      </c>
    </row>
    <row r="426" spans="1:35" x14ac:dyDescent="0.25">
      <c r="A426" t="s">
        <v>1955</v>
      </c>
      <c r="B426" t="s">
        <v>34</v>
      </c>
      <c r="C426" t="s">
        <v>1956</v>
      </c>
      <c r="D426" t="s">
        <v>1957</v>
      </c>
      <c r="E426" t="s">
        <v>37</v>
      </c>
      <c r="F426" t="s">
        <v>1958</v>
      </c>
      <c r="G426" t="s">
        <v>39</v>
      </c>
      <c r="H426" t="s">
        <v>40</v>
      </c>
      <c r="I426" t="s">
        <v>41</v>
      </c>
      <c r="J426" t="s">
        <v>37</v>
      </c>
      <c r="K426" t="s">
        <v>37</v>
      </c>
      <c r="L426" t="s">
        <v>42</v>
      </c>
      <c r="M426" s="6">
        <v>45373.291666666664</v>
      </c>
      <c r="N426" t="s">
        <v>4268</v>
      </c>
      <c r="O426" s="1">
        <v>45373</v>
      </c>
      <c r="P426" s="1">
        <v>45373.505254629628</v>
      </c>
      <c r="Q426" t="s">
        <v>4268</v>
      </c>
      <c r="R426" s="6">
        <v>45373.416666666664</v>
      </c>
      <c r="S426" t="s">
        <v>43</v>
      </c>
      <c r="T426">
        <v>19.989999999999998</v>
      </c>
      <c r="U426">
        <v>0</v>
      </c>
      <c r="V426">
        <v>19.989999999999998</v>
      </c>
      <c r="W426">
        <v>0</v>
      </c>
      <c r="X426">
        <v>0</v>
      </c>
      <c r="Y426">
        <v>0</v>
      </c>
      <c r="Z426">
        <v>19.989999999999998</v>
      </c>
      <c r="AA426" t="s">
        <v>44</v>
      </c>
      <c r="AB426" t="s">
        <v>45</v>
      </c>
      <c r="AC426" t="s">
        <v>46</v>
      </c>
      <c r="AD426" t="s">
        <v>37</v>
      </c>
      <c r="AE426" t="s">
        <v>37</v>
      </c>
      <c r="AF426" t="s">
        <v>1959</v>
      </c>
      <c r="AG426" t="s">
        <v>37</v>
      </c>
      <c r="AH426" t="s">
        <v>1956</v>
      </c>
      <c r="AI426" t="s">
        <v>37</v>
      </c>
    </row>
    <row r="427" spans="1:35" x14ac:dyDescent="0.25">
      <c r="A427" t="s">
        <v>1945</v>
      </c>
      <c r="B427" t="s">
        <v>34</v>
      </c>
      <c r="C427" t="s">
        <v>1946</v>
      </c>
      <c r="D427" t="s">
        <v>1947</v>
      </c>
      <c r="E427" t="s">
        <v>37</v>
      </c>
      <c r="F427" t="s">
        <v>1948</v>
      </c>
      <c r="G427" t="s">
        <v>39</v>
      </c>
      <c r="H427" t="s">
        <v>40</v>
      </c>
      <c r="I427" t="s">
        <v>41</v>
      </c>
      <c r="J427" t="s">
        <v>37</v>
      </c>
      <c r="K427" t="s">
        <v>37</v>
      </c>
      <c r="L427" t="s">
        <v>42</v>
      </c>
      <c r="M427" s="6">
        <v>45373.326550925929</v>
      </c>
      <c r="N427" t="s">
        <v>4268</v>
      </c>
      <c r="O427" s="1">
        <v>45373.034884259258</v>
      </c>
      <c r="P427" s="1">
        <v>45373.326608796298</v>
      </c>
      <c r="Q427" t="s">
        <v>4268</v>
      </c>
      <c r="R427" s="6">
        <v>45373.416666666664</v>
      </c>
      <c r="S427" t="s">
        <v>43</v>
      </c>
      <c r="T427">
        <v>19.989999999999998</v>
      </c>
      <c r="U427">
        <v>0</v>
      </c>
      <c r="V427">
        <v>19.989999999999998</v>
      </c>
      <c r="W427">
        <v>0</v>
      </c>
      <c r="X427">
        <v>0</v>
      </c>
      <c r="Y427">
        <v>0</v>
      </c>
      <c r="Z427">
        <v>19.989999999999998</v>
      </c>
      <c r="AA427" t="s">
        <v>44</v>
      </c>
      <c r="AB427" t="s">
        <v>45</v>
      </c>
      <c r="AC427" t="s">
        <v>46</v>
      </c>
      <c r="AD427" t="s">
        <v>37</v>
      </c>
      <c r="AE427" t="s">
        <v>37</v>
      </c>
      <c r="AF427" t="s">
        <v>1949</v>
      </c>
      <c r="AG427" t="s">
        <v>37</v>
      </c>
      <c r="AH427" t="s">
        <v>1946</v>
      </c>
      <c r="AI427" t="s">
        <v>37</v>
      </c>
    </row>
    <row r="428" spans="1:35" x14ac:dyDescent="0.25">
      <c r="A428" t="s">
        <v>1950</v>
      </c>
      <c r="B428" t="s">
        <v>34</v>
      </c>
      <c r="C428" t="s">
        <v>1951</v>
      </c>
      <c r="D428" t="s">
        <v>1952</v>
      </c>
      <c r="E428" t="s">
        <v>37</v>
      </c>
      <c r="F428" t="s">
        <v>1953</v>
      </c>
      <c r="G428" t="s">
        <v>39</v>
      </c>
      <c r="H428" t="s">
        <v>40</v>
      </c>
      <c r="I428" t="s">
        <v>41</v>
      </c>
      <c r="J428" t="s">
        <v>37</v>
      </c>
      <c r="K428" t="s">
        <v>37</v>
      </c>
      <c r="L428" t="s">
        <v>42</v>
      </c>
      <c r="M428" s="6">
        <v>45373.355023148149</v>
      </c>
      <c r="N428" t="s">
        <v>4268</v>
      </c>
      <c r="O428" s="1">
        <v>45373.063356481478</v>
      </c>
      <c r="P428" s="1">
        <v>45373.355069444442</v>
      </c>
      <c r="Q428" t="s">
        <v>4268</v>
      </c>
      <c r="R428" s="6">
        <v>45373.416666666664</v>
      </c>
      <c r="S428" t="s">
        <v>43</v>
      </c>
      <c r="T428">
        <v>19.989999999999998</v>
      </c>
      <c r="U428">
        <v>0</v>
      </c>
      <c r="V428">
        <v>19.989999999999998</v>
      </c>
      <c r="W428">
        <v>0</v>
      </c>
      <c r="X428">
        <v>0</v>
      </c>
      <c r="Y428">
        <v>0</v>
      </c>
      <c r="Z428">
        <v>19.989999999999998</v>
      </c>
      <c r="AA428" t="s">
        <v>44</v>
      </c>
      <c r="AB428" t="s">
        <v>45</v>
      </c>
      <c r="AC428" t="s">
        <v>46</v>
      </c>
      <c r="AD428" t="s">
        <v>37</v>
      </c>
      <c r="AE428" t="s">
        <v>37</v>
      </c>
      <c r="AF428" t="s">
        <v>1954</v>
      </c>
      <c r="AG428" t="s">
        <v>37</v>
      </c>
      <c r="AH428" t="s">
        <v>1951</v>
      </c>
      <c r="AI428" t="s">
        <v>37</v>
      </c>
    </row>
    <row r="429" spans="1:35" x14ac:dyDescent="0.25">
      <c r="A429" t="s">
        <v>1395</v>
      </c>
      <c r="B429" t="s">
        <v>34</v>
      </c>
      <c r="C429" t="s">
        <v>1396</v>
      </c>
      <c r="D429" t="s">
        <v>1397</v>
      </c>
      <c r="E429" t="s">
        <v>37</v>
      </c>
      <c r="F429" t="s">
        <v>1398</v>
      </c>
      <c r="G429" t="s">
        <v>39</v>
      </c>
      <c r="H429" t="s">
        <v>40</v>
      </c>
      <c r="I429" t="s">
        <v>41</v>
      </c>
      <c r="J429" t="s">
        <v>37</v>
      </c>
      <c r="K429" t="s">
        <v>37</v>
      </c>
      <c r="L429" t="s">
        <v>42</v>
      </c>
      <c r="M429" s="6">
        <v>45374.291666666664</v>
      </c>
      <c r="N429" t="s">
        <v>4265</v>
      </c>
      <c r="O429" s="1">
        <v>45374</v>
      </c>
      <c r="P429" s="1">
        <v>45367.812835648147</v>
      </c>
      <c r="Q429" t="s">
        <v>4265</v>
      </c>
      <c r="R429" s="6">
        <v>45374.416666666664</v>
      </c>
      <c r="S429" t="s">
        <v>43</v>
      </c>
      <c r="T429">
        <v>24.99</v>
      </c>
      <c r="U429">
        <v>0</v>
      </c>
      <c r="V429">
        <v>24.99</v>
      </c>
      <c r="W429">
        <v>0</v>
      </c>
      <c r="X429">
        <v>0</v>
      </c>
      <c r="Y429">
        <v>0</v>
      </c>
      <c r="Z429">
        <v>24.99</v>
      </c>
      <c r="AA429" t="s">
        <v>44</v>
      </c>
      <c r="AB429" t="s">
        <v>45</v>
      </c>
      <c r="AC429" t="s">
        <v>46</v>
      </c>
      <c r="AD429" t="s">
        <v>37</v>
      </c>
      <c r="AE429" t="s">
        <v>37</v>
      </c>
      <c r="AF429" t="s">
        <v>1399</v>
      </c>
      <c r="AG429" t="s">
        <v>37</v>
      </c>
      <c r="AH429" t="s">
        <v>1396</v>
      </c>
      <c r="AI429" t="s">
        <v>37</v>
      </c>
    </row>
    <row r="430" spans="1:35" x14ac:dyDescent="0.25">
      <c r="A430" t="s">
        <v>1552</v>
      </c>
      <c r="B430" t="s">
        <v>34</v>
      </c>
      <c r="C430" t="s">
        <v>1553</v>
      </c>
      <c r="D430" t="s">
        <v>1554</v>
      </c>
      <c r="E430" t="s">
        <v>37</v>
      </c>
      <c r="F430" t="s">
        <v>1555</v>
      </c>
      <c r="G430" t="s">
        <v>39</v>
      </c>
      <c r="H430" t="s">
        <v>40</v>
      </c>
      <c r="I430" t="s">
        <v>41</v>
      </c>
      <c r="J430" t="s">
        <v>37</v>
      </c>
      <c r="K430" t="s">
        <v>37</v>
      </c>
      <c r="L430" t="s">
        <v>42</v>
      </c>
      <c r="M430" s="6">
        <v>45374.291666666664</v>
      </c>
      <c r="N430" t="s">
        <v>4265</v>
      </c>
      <c r="O430" s="1">
        <v>45374</v>
      </c>
      <c r="P430" s="1">
        <v>45369.757696759261</v>
      </c>
      <c r="Q430" t="s">
        <v>4265</v>
      </c>
      <c r="R430" s="6">
        <v>45374.416666666664</v>
      </c>
      <c r="S430" t="s">
        <v>43</v>
      </c>
      <c r="T430">
        <v>24.99</v>
      </c>
      <c r="U430">
        <v>0</v>
      </c>
      <c r="V430">
        <v>24.99</v>
      </c>
      <c r="W430">
        <v>0</v>
      </c>
      <c r="X430">
        <v>0</v>
      </c>
      <c r="Y430">
        <v>0</v>
      </c>
      <c r="Z430">
        <v>24.99</v>
      </c>
      <c r="AA430" t="s">
        <v>44</v>
      </c>
      <c r="AB430" t="s">
        <v>45</v>
      </c>
      <c r="AC430" t="s">
        <v>46</v>
      </c>
      <c r="AD430" t="s">
        <v>37</v>
      </c>
      <c r="AE430" t="s">
        <v>37</v>
      </c>
      <c r="AF430" t="s">
        <v>1556</v>
      </c>
      <c r="AG430" t="s">
        <v>37</v>
      </c>
      <c r="AH430" t="s">
        <v>1553</v>
      </c>
      <c r="AI430" t="s">
        <v>37</v>
      </c>
    </row>
    <row r="431" spans="1:35" x14ac:dyDescent="0.25">
      <c r="A431" t="s">
        <v>1612</v>
      </c>
      <c r="B431" t="s">
        <v>34</v>
      </c>
      <c r="C431" t="s">
        <v>1613</v>
      </c>
      <c r="D431" t="s">
        <v>1614</v>
      </c>
      <c r="E431" t="s">
        <v>37</v>
      </c>
      <c r="F431" t="s">
        <v>1615</v>
      </c>
      <c r="G431" t="s">
        <v>39</v>
      </c>
      <c r="H431" t="s">
        <v>40</v>
      </c>
      <c r="I431" t="s">
        <v>41</v>
      </c>
      <c r="J431" t="s">
        <v>37</v>
      </c>
      <c r="K431" t="s">
        <v>37</v>
      </c>
      <c r="L431" t="s">
        <v>42</v>
      </c>
      <c r="M431" s="6">
        <v>45374.291666666664</v>
      </c>
      <c r="N431" t="s">
        <v>4265</v>
      </c>
      <c r="O431" s="1">
        <v>45374</v>
      </c>
      <c r="P431" s="1">
        <v>45370.01289351852</v>
      </c>
      <c r="Q431" t="s">
        <v>4265</v>
      </c>
      <c r="R431" s="6">
        <v>45374.416666666664</v>
      </c>
      <c r="S431" t="s">
        <v>43</v>
      </c>
      <c r="T431">
        <v>24.99</v>
      </c>
      <c r="U431">
        <v>0</v>
      </c>
      <c r="V431">
        <v>24.99</v>
      </c>
      <c r="W431">
        <v>0</v>
      </c>
      <c r="X431">
        <v>0</v>
      </c>
      <c r="Y431">
        <v>0</v>
      </c>
      <c r="Z431">
        <v>24.99</v>
      </c>
      <c r="AA431" t="s">
        <v>44</v>
      </c>
      <c r="AB431" t="s">
        <v>45</v>
      </c>
      <c r="AC431" t="s">
        <v>46</v>
      </c>
      <c r="AD431" t="s">
        <v>37</v>
      </c>
      <c r="AE431" t="s">
        <v>37</v>
      </c>
      <c r="AF431" t="s">
        <v>1616</v>
      </c>
      <c r="AG431" t="s">
        <v>37</v>
      </c>
      <c r="AH431" t="s">
        <v>1613</v>
      </c>
      <c r="AI431" t="s">
        <v>37</v>
      </c>
    </row>
    <row r="432" spans="1:35" x14ac:dyDescent="0.25">
      <c r="A432" t="s">
        <v>1960</v>
      </c>
      <c r="B432" t="s">
        <v>34</v>
      </c>
      <c r="C432" t="s">
        <v>215</v>
      </c>
      <c r="D432" t="s">
        <v>216</v>
      </c>
      <c r="E432" t="s">
        <v>37</v>
      </c>
      <c r="F432" t="s">
        <v>217</v>
      </c>
      <c r="G432" t="s">
        <v>39</v>
      </c>
      <c r="H432" t="s">
        <v>40</v>
      </c>
      <c r="I432" t="s">
        <v>41</v>
      </c>
      <c r="J432" t="s">
        <v>37</v>
      </c>
      <c r="K432" t="s">
        <v>37</v>
      </c>
      <c r="L432" t="s">
        <v>42</v>
      </c>
      <c r="M432" s="6">
        <v>45374.291666666664</v>
      </c>
      <c r="N432" t="s">
        <v>4265</v>
      </c>
      <c r="O432" s="1">
        <v>45374</v>
      </c>
      <c r="P432" s="1">
        <v>45373.679571759261</v>
      </c>
      <c r="Q432" t="s">
        <v>4265</v>
      </c>
      <c r="R432" s="6">
        <v>45374.416666666664</v>
      </c>
      <c r="S432" t="s">
        <v>43</v>
      </c>
      <c r="T432">
        <v>24.99</v>
      </c>
      <c r="U432">
        <v>0</v>
      </c>
      <c r="V432">
        <v>24.99</v>
      </c>
      <c r="W432">
        <v>0</v>
      </c>
      <c r="X432">
        <v>0</v>
      </c>
      <c r="Y432">
        <v>0</v>
      </c>
      <c r="Z432">
        <v>24.99</v>
      </c>
      <c r="AA432" t="s">
        <v>44</v>
      </c>
      <c r="AB432" t="s">
        <v>45</v>
      </c>
      <c r="AC432" t="s">
        <v>46</v>
      </c>
      <c r="AD432" t="s">
        <v>37</v>
      </c>
      <c r="AE432" t="s">
        <v>37</v>
      </c>
      <c r="AF432" t="s">
        <v>1961</v>
      </c>
      <c r="AG432" t="s">
        <v>37</v>
      </c>
      <c r="AH432" t="s">
        <v>219</v>
      </c>
      <c r="AI432" t="s">
        <v>37</v>
      </c>
    </row>
    <row r="433" spans="1:35" x14ac:dyDescent="0.25">
      <c r="A433" t="s">
        <v>1967</v>
      </c>
      <c r="B433" t="s">
        <v>34</v>
      </c>
      <c r="C433" t="s">
        <v>1968</v>
      </c>
      <c r="D433" t="s">
        <v>1969</v>
      </c>
      <c r="E433" t="s">
        <v>37</v>
      </c>
      <c r="F433" t="s">
        <v>1970</v>
      </c>
      <c r="G433" t="s">
        <v>39</v>
      </c>
      <c r="H433" t="s">
        <v>40</v>
      </c>
      <c r="I433" t="s">
        <v>41</v>
      </c>
      <c r="J433" t="s">
        <v>37</v>
      </c>
      <c r="K433" t="s">
        <v>37</v>
      </c>
      <c r="L433" t="s">
        <v>42</v>
      </c>
      <c r="M433" s="6">
        <v>45374.291666666664</v>
      </c>
      <c r="N433" t="s">
        <v>4265</v>
      </c>
      <c r="O433" s="1">
        <v>45374</v>
      </c>
      <c r="P433" s="1">
        <v>45373.809814814813</v>
      </c>
      <c r="Q433" t="s">
        <v>4265</v>
      </c>
      <c r="R433" s="6">
        <v>45374.416666666664</v>
      </c>
      <c r="S433" t="s">
        <v>43</v>
      </c>
      <c r="T433">
        <v>49.98</v>
      </c>
      <c r="U433">
        <v>0</v>
      </c>
      <c r="V433">
        <v>49.98</v>
      </c>
      <c r="W433">
        <v>0</v>
      </c>
      <c r="X433">
        <v>0</v>
      </c>
      <c r="Y433">
        <v>0</v>
      </c>
      <c r="Z433">
        <v>49.98</v>
      </c>
      <c r="AA433" t="s">
        <v>44</v>
      </c>
      <c r="AB433" t="s">
        <v>45</v>
      </c>
      <c r="AC433" t="s">
        <v>46</v>
      </c>
      <c r="AD433" t="s">
        <v>37</v>
      </c>
      <c r="AE433" t="s">
        <v>37</v>
      </c>
      <c r="AF433" t="s">
        <v>1971</v>
      </c>
      <c r="AG433" t="s">
        <v>37</v>
      </c>
      <c r="AH433" t="s">
        <v>1968</v>
      </c>
      <c r="AI433" t="s">
        <v>37</v>
      </c>
    </row>
    <row r="434" spans="1:35" x14ac:dyDescent="0.25">
      <c r="A434" t="s">
        <v>1978</v>
      </c>
      <c r="B434" t="s">
        <v>34</v>
      </c>
      <c r="C434" t="s">
        <v>1979</v>
      </c>
      <c r="D434" t="s">
        <v>1980</v>
      </c>
      <c r="E434" t="s">
        <v>37</v>
      </c>
      <c r="F434" t="s">
        <v>1981</v>
      </c>
      <c r="G434" t="s">
        <v>39</v>
      </c>
      <c r="H434" t="s">
        <v>40</v>
      </c>
      <c r="I434" t="s">
        <v>41</v>
      </c>
      <c r="J434" t="s">
        <v>37</v>
      </c>
      <c r="K434" t="s">
        <v>37</v>
      </c>
      <c r="L434" t="s">
        <v>42</v>
      </c>
      <c r="M434" s="6">
        <v>45374.291666666664</v>
      </c>
      <c r="N434" t="s">
        <v>4265</v>
      </c>
      <c r="O434" s="1">
        <v>45374</v>
      </c>
      <c r="P434" s="1">
        <v>45374.459756944445</v>
      </c>
      <c r="Q434" t="s">
        <v>4265</v>
      </c>
      <c r="R434" s="6">
        <v>45374.416666666664</v>
      </c>
      <c r="S434" t="s">
        <v>43</v>
      </c>
      <c r="T434">
        <v>24.99</v>
      </c>
      <c r="U434">
        <v>0</v>
      </c>
      <c r="V434">
        <v>24.99</v>
      </c>
      <c r="W434">
        <v>0</v>
      </c>
      <c r="X434">
        <v>0</v>
      </c>
      <c r="Y434">
        <v>0</v>
      </c>
      <c r="Z434">
        <v>24.99</v>
      </c>
      <c r="AA434" t="s">
        <v>44</v>
      </c>
      <c r="AB434" t="s">
        <v>45</v>
      </c>
      <c r="AC434" t="s">
        <v>46</v>
      </c>
      <c r="AD434" t="s">
        <v>37</v>
      </c>
      <c r="AE434" t="s">
        <v>37</v>
      </c>
      <c r="AF434" t="s">
        <v>1982</v>
      </c>
      <c r="AG434" t="s">
        <v>37</v>
      </c>
      <c r="AH434" t="s">
        <v>1979</v>
      </c>
      <c r="AI434" t="s">
        <v>37</v>
      </c>
    </row>
    <row r="435" spans="1:35" x14ac:dyDescent="0.25">
      <c r="A435" t="s">
        <v>1285</v>
      </c>
      <c r="B435" t="s">
        <v>34</v>
      </c>
      <c r="C435" t="s">
        <v>1286</v>
      </c>
      <c r="D435" t="s">
        <v>1287</v>
      </c>
      <c r="E435" t="s">
        <v>37</v>
      </c>
      <c r="F435" t="s">
        <v>1288</v>
      </c>
      <c r="G435" t="s">
        <v>39</v>
      </c>
      <c r="H435" t="s">
        <v>40</v>
      </c>
      <c r="I435" t="s">
        <v>41</v>
      </c>
      <c r="J435" t="s">
        <v>37</v>
      </c>
      <c r="K435" t="s">
        <v>37</v>
      </c>
      <c r="L435" t="s">
        <v>42</v>
      </c>
      <c r="M435" s="6">
        <v>45375.291666666664</v>
      </c>
      <c r="N435" t="s">
        <v>4266</v>
      </c>
      <c r="O435" s="1">
        <v>45375</v>
      </c>
      <c r="P435" s="1">
        <v>45375.398738425924</v>
      </c>
      <c r="Q435" t="s">
        <v>4266</v>
      </c>
      <c r="R435" s="6">
        <v>45375.416666666664</v>
      </c>
      <c r="S435" t="s">
        <v>43</v>
      </c>
      <c r="T435">
        <v>24.99</v>
      </c>
      <c r="U435">
        <v>0</v>
      </c>
      <c r="V435">
        <v>24.99</v>
      </c>
      <c r="W435">
        <v>0</v>
      </c>
      <c r="X435">
        <v>0</v>
      </c>
      <c r="Y435">
        <v>0</v>
      </c>
      <c r="Z435">
        <v>24.99</v>
      </c>
      <c r="AA435" t="s">
        <v>44</v>
      </c>
      <c r="AB435" t="s">
        <v>45</v>
      </c>
      <c r="AC435" t="s">
        <v>46</v>
      </c>
      <c r="AD435" t="s">
        <v>37</v>
      </c>
      <c r="AE435" t="s">
        <v>37</v>
      </c>
      <c r="AF435" t="s">
        <v>1289</v>
      </c>
      <c r="AG435" t="s">
        <v>37</v>
      </c>
      <c r="AH435" t="s">
        <v>1286</v>
      </c>
      <c r="AI435" t="s">
        <v>37</v>
      </c>
    </row>
    <row r="436" spans="1:35" x14ac:dyDescent="0.25">
      <c r="A436" t="s">
        <v>1290</v>
      </c>
      <c r="B436" t="s">
        <v>34</v>
      </c>
      <c r="C436" t="s">
        <v>1291</v>
      </c>
      <c r="D436" t="s">
        <v>1292</v>
      </c>
      <c r="E436" t="s">
        <v>37</v>
      </c>
      <c r="F436" t="s">
        <v>1293</v>
      </c>
      <c r="G436" t="s">
        <v>39</v>
      </c>
      <c r="H436" t="s">
        <v>40</v>
      </c>
      <c r="I436" t="s">
        <v>41</v>
      </c>
      <c r="J436" t="s">
        <v>37</v>
      </c>
      <c r="K436" t="s">
        <v>37</v>
      </c>
      <c r="L436" t="s">
        <v>42</v>
      </c>
      <c r="M436" s="6">
        <v>45375.291666666664</v>
      </c>
      <c r="N436" t="s">
        <v>4266</v>
      </c>
      <c r="O436" s="1">
        <v>45375</v>
      </c>
      <c r="P436" s="1">
        <v>45375.400659722225</v>
      </c>
      <c r="Q436" t="s">
        <v>4266</v>
      </c>
      <c r="R436" s="6">
        <v>45375.416666666664</v>
      </c>
      <c r="S436" t="s">
        <v>43</v>
      </c>
      <c r="T436">
        <v>24.99</v>
      </c>
      <c r="U436">
        <v>0</v>
      </c>
      <c r="V436">
        <v>24.99</v>
      </c>
      <c r="W436">
        <v>0</v>
      </c>
      <c r="X436">
        <v>0</v>
      </c>
      <c r="Y436">
        <v>0</v>
      </c>
      <c r="Z436">
        <v>24.99</v>
      </c>
      <c r="AA436" t="s">
        <v>44</v>
      </c>
      <c r="AB436" t="s">
        <v>45</v>
      </c>
      <c r="AC436" t="s">
        <v>46</v>
      </c>
      <c r="AD436" t="s">
        <v>37</v>
      </c>
      <c r="AE436" t="s">
        <v>37</v>
      </c>
      <c r="AF436" t="s">
        <v>1294</v>
      </c>
      <c r="AG436" t="s">
        <v>37</v>
      </c>
      <c r="AH436" t="s">
        <v>1291</v>
      </c>
      <c r="AI436" t="s">
        <v>37</v>
      </c>
    </row>
    <row r="437" spans="1:35" x14ac:dyDescent="0.25">
      <c r="A437" t="s">
        <v>1848</v>
      </c>
      <c r="B437" t="s">
        <v>34</v>
      </c>
      <c r="C437" t="s">
        <v>1849</v>
      </c>
      <c r="D437" t="s">
        <v>1850</v>
      </c>
      <c r="E437" t="s">
        <v>37</v>
      </c>
      <c r="F437" t="s">
        <v>1851</v>
      </c>
      <c r="G437" t="s">
        <v>39</v>
      </c>
      <c r="H437" t="s">
        <v>40</v>
      </c>
      <c r="I437" t="s">
        <v>41</v>
      </c>
      <c r="J437" t="s">
        <v>37</v>
      </c>
      <c r="K437" t="s">
        <v>37</v>
      </c>
      <c r="L437" t="s">
        <v>42</v>
      </c>
      <c r="M437" s="6">
        <v>45375.291666666664</v>
      </c>
      <c r="N437" t="s">
        <v>4266</v>
      </c>
      <c r="O437" s="1">
        <v>45375</v>
      </c>
      <c r="P437" s="1">
        <v>45372.469166666669</v>
      </c>
      <c r="Q437" t="s">
        <v>4266</v>
      </c>
      <c r="R437" s="6">
        <v>45375.416666666664</v>
      </c>
      <c r="S437" t="s">
        <v>43</v>
      </c>
      <c r="T437">
        <v>24.99</v>
      </c>
      <c r="U437">
        <v>0</v>
      </c>
      <c r="V437">
        <v>24.99</v>
      </c>
      <c r="W437">
        <v>0</v>
      </c>
      <c r="X437">
        <v>0</v>
      </c>
      <c r="Y437">
        <v>0</v>
      </c>
      <c r="Z437">
        <v>24.99</v>
      </c>
      <c r="AA437" t="s">
        <v>44</v>
      </c>
      <c r="AB437" t="s">
        <v>45</v>
      </c>
      <c r="AC437" t="s">
        <v>46</v>
      </c>
      <c r="AD437" t="s">
        <v>37</v>
      </c>
      <c r="AE437" t="s">
        <v>37</v>
      </c>
      <c r="AF437" t="s">
        <v>1852</v>
      </c>
      <c r="AG437" t="s">
        <v>37</v>
      </c>
      <c r="AH437" t="s">
        <v>1849</v>
      </c>
      <c r="AI437" t="s">
        <v>37</v>
      </c>
    </row>
    <row r="438" spans="1:35" x14ac:dyDescent="0.25">
      <c r="A438" t="s">
        <v>1972</v>
      </c>
      <c r="B438" t="s">
        <v>34</v>
      </c>
      <c r="C438" t="s">
        <v>1968</v>
      </c>
      <c r="D438" t="s">
        <v>1969</v>
      </c>
      <c r="E438" t="s">
        <v>37</v>
      </c>
      <c r="F438" t="s">
        <v>1970</v>
      </c>
      <c r="G438" t="s">
        <v>39</v>
      </c>
      <c r="H438" t="s">
        <v>40</v>
      </c>
      <c r="I438" t="s">
        <v>41</v>
      </c>
      <c r="J438" t="s">
        <v>37</v>
      </c>
      <c r="K438" t="s">
        <v>37</v>
      </c>
      <c r="L438" t="s">
        <v>42</v>
      </c>
      <c r="M438" s="6">
        <v>45375.291666666664</v>
      </c>
      <c r="N438" t="s">
        <v>4266</v>
      </c>
      <c r="O438" s="1">
        <v>45375</v>
      </c>
      <c r="P438" s="1">
        <v>45373.809814814813</v>
      </c>
      <c r="Q438" t="s">
        <v>4266</v>
      </c>
      <c r="R438" s="6">
        <v>45375.416666666664</v>
      </c>
      <c r="S438" t="s">
        <v>43</v>
      </c>
      <c r="T438">
        <v>49.98</v>
      </c>
      <c r="U438">
        <v>0</v>
      </c>
      <c r="V438">
        <v>49.98</v>
      </c>
      <c r="W438">
        <v>0</v>
      </c>
      <c r="X438">
        <v>0</v>
      </c>
      <c r="Y438">
        <v>0</v>
      </c>
      <c r="Z438">
        <v>49.98</v>
      </c>
      <c r="AA438" t="s">
        <v>44</v>
      </c>
      <c r="AB438" t="s">
        <v>45</v>
      </c>
      <c r="AC438" t="s">
        <v>46</v>
      </c>
      <c r="AD438" t="s">
        <v>37</v>
      </c>
      <c r="AE438" t="s">
        <v>37</v>
      </c>
      <c r="AF438" t="s">
        <v>1971</v>
      </c>
      <c r="AG438" t="s">
        <v>37</v>
      </c>
      <c r="AH438" t="s">
        <v>1968</v>
      </c>
      <c r="AI438" t="s">
        <v>37</v>
      </c>
    </row>
    <row r="439" spans="1:35" x14ac:dyDescent="0.25">
      <c r="A439" t="s">
        <v>1993</v>
      </c>
      <c r="B439" t="s">
        <v>34</v>
      </c>
      <c r="C439" t="s">
        <v>1994</v>
      </c>
      <c r="D439" t="s">
        <v>1995</v>
      </c>
      <c r="E439" t="s">
        <v>37</v>
      </c>
      <c r="F439" t="s">
        <v>1996</v>
      </c>
      <c r="G439" t="s">
        <v>39</v>
      </c>
      <c r="H439" t="s">
        <v>40</v>
      </c>
      <c r="I439" t="s">
        <v>41</v>
      </c>
      <c r="J439" t="s">
        <v>37</v>
      </c>
      <c r="K439" t="s">
        <v>37</v>
      </c>
      <c r="L439" t="s">
        <v>42</v>
      </c>
      <c r="M439" s="6">
        <v>45375.291666666664</v>
      </c>
      <c r="N439" t="s">
        <v>4266</v>
      </c>
      <c r="O439" s="1">
        <v>45375</v>
      </c>
      <c r="P439" s="1">
        <v>45374.860254629632</v>
      </c>
      <c r="Q439" t="s">
        <v>4266</v>
      </c>
      <c r="R439" s="6">
        <v>45375.416666666664</v>
      </c>
      <c r="S439" t="s">
        <v>43</v>
      </c>
      <c r="T439">
        <v>24.99</v>
      </c>
      <c r="U439">
        <v>0</v>
      </c>
      <c r="V439">
        <v>24.99</v>
      </c>
      <c r="W439">
        <v>0</v>
      </c>
      <c r="X439">
        <v>0</v>
      </c>
      <c r="Y439">
        <v>0</v>
      </c>
      <c r="Z439">
        <v>24.99</v>
      </c>
      <c r="AA439" t="s">
        <v>44</v>
      </c>
      <c r="AB439" t="s">
        <v>45</v>
      </c>
      <c r="AC439" t="s">
        <v>46</v>
      </c>
      <c r="AD439" t="s">
        <v>37</v>
      </c>
      <c r="AE439" t="s">
        <v>37</v>
      </c>
      <c r="AF439" t="s">
        <v>1997</v>
      </c>
      <c r="AG439" t="s">
        <v>37</v>
      </c>
      <c r="AH439" t="s">
        <v>1994</v>
      </c>
      <c r="AI439" t="s">
        <v>37</v>
      </c>
    </row>
    <row r="440" spans="1:35" x14ac:dyDescent="0.25">
      <c r="A440" t="s">
        <v>1998</v>
      </c>
      <c r="B440" t="s">
        <v>34</v>
      </c>
      <c r="C440" t="s">
        <v>1999</v>
      </c>
      <c r="D440" t="s">
        <v>2000</v>
      </c>
      <c r="E440" t="s">
        <v>37</v>
      </c>
      <c r="F440" t="s">
        <v>2001</v>
      </c>
      <c r="G440" t="s">
        <v>39</v>
      </c>
      <c r="H440" t="s">
        <v>40</v>
      </c>
      <c r="I440" t="s">
        <v>41</v>
      </c>
      <c r="J440" t="s">
        <v>37</v>
      </c>
      <c r="K440" t="s">
        <v>37</v>
      </c>
      <c r="L440" t="s">
        <v>42</v>
      </c>
      <c r="M440" s="6">
        <v>45375.291666666664</v>
      </c>
      <c r="N440" t="s">
        <v>4266</v>
      </c>
      <c r="O440" s="1">
        <v>45375</v>
      </c>
      <c r="P440" s="1">
        <v>45374.934930555559</v>
      </c>
      <c r="Q440" t="s">
        <v>4266</v>
      </c>
      <c r="R440" s="6">
        <v>45375.416666666664</v>
      </c>
      <c r="S440" t="s">
        <v>43</v>
      </c>
      <c r="T440">
        <v>24.99</v>
      </c>
      <c r="U440">
        <v>0</v>
      </c>
      <c r="V440">
        <v>24.99</v>
      </c>
      <c r="W440">
        <v>0</v>
      </c>
      <c r="X440">
        <v>0</v>
      </c>
      <c r="Y440">
        <v>0</v>
      </c>
      <c r="Z440">
        <v>24.99</v>
      </c>
      <c r="AA440" t="s">
        <v>44</v>
      </c>
      <c r="AB440" t="s">
        <v>45</v>
      </c>
      <c r="AC440" t="s">
        <v>46</v>
      </c>
      <c r="AD440" t="s">
        <v>37</v>
      </c>
      <c r="AE440" t="s">
        <v>37</v>
      </c>
      <c r="AF440" t="s">
        <v>2002</v>
      </c>
      <c r="AG440" t="s">
        <v>37</v>
      </c>
      <c r="AH440" t="s">
        <v>2003</v>
      </c>
      <c r="AI440" t="s">
        <v>37</v>
      </c>
    </row>
    <row r="441" spans="1:35" x14ac:dyDescent="0.25">
      <c r="A441" t="s">
        <v>1280</v>
      </c>
      <c r="B441" t="s">
        <v>34</v>
      </c>
      <c r="C441" t="s">
        <v>1281</v>
      </c>
      <c r="D441" t="s">
        <v>1282</v>
      </c>
      <c r="E441" t="s">
        <v>37</v>
      </c>
      <c r="F441" t="s">
        <v>1283</v>
      </c>
      <c r="G441" t="s">
        <v>39</v>
      </c>
      <c r="H441" t="s">
        <v>40</v>
      </c>
      <c r="I441" t="s">
        <v>41</v>
      </c>
      <c r="J441" t="s">
        <v>37</v>
      </c>
      <c r="K441" t="s">
        <v>37</v>
      </c>
      <c r="L441" t="s">
        <v>42</v>
      </c>
      <c r="M441" s="6">
        <v>45375.337037037039</v>
      </c>
      <c r="N441" t="s">
        <v>4266</v>
      </c>
      <c r="O441" s="1">
        <v>45375.045370370368</v>
      </c>
      <c r="P441" s="1">
        <v>45375.337094907409</v>
      </c>
      <c r="Q441" t="s">
        <v>4266</v>
      </c>
      <c r="R441" s="6">
        <v>45375.416666666664</v>
      </c>
      <c r="S441" t="s">
        <v>43</v>
      </c>
      <c r="T441">
        <v>24.99</v>
      </c>
      <c r="U441">
        <v>0</v>
      </c>
      <c r="V441">
        <v>24.99</v>
      </c>
      <c r="W441">
        <v>0</v>
      </c>
      <c r="X441">
        <v>0</v>
      </c>
      <c r="Y441">
        <v>0</v>
      </c>
      <c r="Z441">
        <v>24.99</v>
      </c>
      <c r="AA441" t="s">
        <v>44</v>
      </c>
      <c r="AB441" t="s">
        <v>45</v>
      </c>
      <c r="AC441" t="s">
        <v>46</v>
      </c>
      <c r="AD441" t="s">
        <v>37</v>
      </c>
      <c r="AE441" t="s">
        <v>37</v>
      </c>
      <c r="AF441" t="s">
        <v>1284</v>
      </c>
      <c r="AG441" t="s">
        <v>37</v>
      </c>
      <c r="AH441" t="s">
        <v>1281</v>
      </c>
      <c r="AI441" t="s">
        <v>37</v>
      </c>
    </row>
    <row r="442" spans="1:35" x14ac:dyDescent="0.25">
      <c r="A442" t="s">
        <v>1267</v>
      </c>
      <c r="B442" t="s">
        <v>34</v>
      </c>
      <c r="C442" t="s">
        <v>1263</v>
      </c>
      <c r="D442" t="s">
        <v>1264</v>
      </c>
      <c r="E442" t="s">
        <v>37</v>
      </c>
      <c r="F442" t="s">
        <v>1265</v>
      </c>
      <c r="G442" t="s">
        <v>39</v>
      </c>
      <c r="H442" t="s">
        <v>40</v>
      </c>
      <c r="I442" t="s">
        <v>41</v>
      </c>
      <c r="J442" t="s">
        <v>37</v>
      </c>
      <c r="K442" t="s">
        <v>37</v>
      </c>
      <c r="L442" t="s">
        <v>42</v>
      </c>
      <c r="M442" s="6">
        <v>45376.291666666664</v>
      </c>
      <c r="N442" t="s">
        <v>4262</v>
      </c>
      <c r="O442" s="1">
        <v>45376</v>
      </c>
      <c r="P442" s="1">
        <v>45305.892638888887</v>
      </c>
      <c r="Q442" t="s">
        <v>4262</v>
      </c>
      <c r="R442" s="6">
        <v>45376.416666666664</v>
      </c>
      <c r="S442" t="s">
        <v>43</v>
      </c>
      <c r="T442">
        <v>95.19</v>
      </c>
      <c r="U442">
        <v>0</v>
      </c>
      <c r="V442">
        <v>95.19</v>
      </c>
      <c r="W442">
        <v>4.76</v>
      </c>
      <c r="X442">
        <v>0</v>
      </c>
      <c r="Y442">
        <v>0</v>
      </c>
      <c r="Z442">
        <v>99.95</v>
      </c>
      <c r="AA442" t="s">
        <v>44</v>
      </c>
      <c r="AB442" t="s">
        <v>45</v>
      </c>
      <c r="AC442" t="s">
        <v>46</v>
      </c>
      <c r="AD442" t="s">
        <v>37</v>
      </c>
      <c r="AE442" t="s">
        <v>37</v>
      </c>
      <c r="AF442" t="s">
        <v>1266</v>
      </c>
      <c r="AG442" t="s">
        <v>37</v>
      </c>
      <c r="AH442" t="s">
        <v>1263</v>
      </c>
      <c r="AI442" t="s">
        <v>37</v>
      </c>
    </row>
    <row r="443" spans="1:35" x14ac:dyDescent="0.25">
      <c r="A443" t="s">
        <v>1309</v>
      </c>
      <c r="B443" t="s">
        <v>34</v>
      </c>
      <c r="C443" t="s">
        <v>1310</v>
      </c>
      <c r="D443" t="s">
        <v>1311</v>
      </c>
      <c r="E443" t="s">
        <v>37</v>
      </c>
      <c r="F443" t="s">
        <v>1312</v>
      </c>
      <c r="G443" t="s">
        <v>39</v>
      </c>
      <c r="H443" t="s">
        <v>40</v>
      </c>
      <c r="I443" t="s">
        <v>41</v>
      </c>
      <c r="J443" t="s">
        <v>37</v>
      </c>
      <c r="K443" t="s">
        <v>37</v>
      </c>
      <c r="L443" t="s">
        <v>42</v>
      </c>
      <c r="M443" s="6">
        <v>45376.291666666664</v>
      </c>
      <c r="N443" t="s">
        <v>4262</v>
      </c>
      <c r="O443" s="1">
        <v>45376</v>
      </c>
      <c r="P443" s="1">
        <v>45375.799027777779</v>
      </c>
      <c r="Q443" t="s">
        <v>4262</v>
      </c>
      <c r="R443" s="6">
        <v>45376.416666666664</v>
      </c>
      <c r="S443" t="s">
        <v>43</v>
      </c>
      <c r="T443">
        <v>19.989999999999998</v>
      </c>
      <c r="U443">
        <v>0</v>
      </c>
      <c r="V443">
        <v>19.989999999999998</v>
      </c>
      <c r="W443">
        <v>0</v>
      </c>
      <c r="X443">
        <v>0</v>
      </c>
      <c r="Y443">
        <v>0</v>
      </c>
      <c r="Z443">
        <v>19.989999999999998</v>
      </c>
      <c r="AA443" t="s">
        <v>44</v>
      </c>
      <c r="AB443" t="s">
        <v>45</v>
      </c>
      <c r="AC443" t="s">
        <v>46</v>
      </c>
      <c r="AD443" t="s">
        <v>37</v>
      </c>
      <c r="AE443" t="s">
        <v>37</v>
      </c>
      <c r="AF443" t="s">
        <v>1313</v>
      </c>
      <c r="AG443" t="s">
        <v>37</v>
      </c>
      <c r="AH443" t="s">
        <v>1310</v>
      </c>
      <c r="AI443" t="s">
        <v>37</v>
      </c>
    </row>
    <row r="444" spans="1:35" x14ac:dyDescent="0.25">
      <c r="A444" t="s">
        <v>1352</v>
      </c>
      <c r="B444" t="s">
        <v>34</v>
      </c>
      <c r="C444" t="s">
        <v>726</v>
      </c>
      <c r="D444" t="s">
        <v>727</v>
      </c>
      <c r="E444" t="s">
        <v>37</v>
      </c>
      <c r="F444" t="s">
        <v>728</v>
      </c>
      <c r="G444" t="s">
        <v>39</v>
      </c>
      <c r="H444" t="s">
        <v>40</v>
      </c>
      <c r="I444" t="s">
        <v>41</v>
      </c>
      <c r="J444" t="s">
        <v>37</v>
      </c>
      <c r="K444" t="s">
        <v>37</v>
      </c>
      <c r="L444" t="s">
        <v>42</v>
      </c>
      <c r="M444" s="6">
        <v>45376.291666666664</v>
      </c>
      <c r="N444" t="s">
        <v>4262</v>
      </c>
      <c r="O444" s="1">
        <v>45376</v>
      </c>
      <c r="P444" s="1">
        <v>45366.34002314815</v>
      </c>
      <c r="Q444" t="s">
        <v>4262</v>
      </c>
      <c r="R444" s="6">
        <v>45376.416666666664</v>
      </c>
      <c r="S444" t="s">
        <v>43</v>
      </c>
      <c r="T444">
        <v>19.989999999999998</v>
      </c>
      <c r="U444">
        <v>0</v>
      </c>
      <c r="V444">
        <v>19.989999999999998</v>
      </c>
      <c r="W444">
        <v>0</v>
      </c>
      <c r="X444">
        <v>0</v>
      </c>
      <c r="Y444">
        <v>0</v>
      </c>
      <c r="Z444">
        <v>19.989999999999998</v>
      </c>
      <c r="AA444" t="s">
        <v>44</v>
      </c>
      <c r="AB444" t="s">
        <v>45</v>
      </c>
      <c r="AC444" t="s">
        <v>46</v>
      </c>
      <c r="AD444" t="s">
        <v>37</v>
      </c>
      <c r="AE444" t="s">
        <v>37</v>
      </c>
      <c r="AF444" t="s">
        <v>1353</v>
      </c>
      <c r="AG444" t="s">
        <v>37</v>
      </c>
      <c r="AH444" t="s">
        <v>726</v>
      </c>
      <c r="AI444" t="s">
        <v>37</v>
      </c>
    </row>
    <row r="445" spans="1:35" x14ac:dyDescent="0.25">
      <c r="A445" t="s">
        <v>1594</v>
      </c>
      <c r="B445" t="s">
        <v>34</v>
      </c>
      <c r="C445" t="s">
        <v>346</v>
      </c>
      <c r="D445" t="s">
        <v>347</v>
      </c>
      <c r="E445" t="s">
        <v>37</v>
      </c>
      <c r="F445" t="s">
        <v>348</v>
      </c>
      <c r="G445" t="s">
        <v>39</v>
      </c>
      <c r="H445" t="s">
        <v>40</v>
      </c>
      <c r="I445" t="s">
        <v>41</v>
      </c>
      <c r="J445" t="s">
        <v>37</v>
      </c>
      <c r="K445" t="s">
        <v>37</v>
      </c>
      <c r="L445" t="s">
        <v>42</v>
      </c>
      <c r="M445" s="6">
        <v>45376.291666666664</v>
      </c>
      <c r="N445" t="s">
        <v>4262</v>
      </c>
      <c r="O445" s="1">
        <v>45376</v>
      </c>
      <c r="P445" s="1">
        <v>45359.355868055558</v>
      </c>
      <c r="Q445" t="s">
        <v>4262</v>
      </c>
      <c r="R445" s="6">
        <v>45376.416666666664</v>
      </c>
      <c r="S445" t="s">
        <v>43</v>
      </c>
      <c r="T445">
        <v>19.989999999999998</v>
      </c>
      <c r="U445">
        <v>0</v>
      </c>
      <c r="V445">
        <v>19.989999999999998</v>
      </c>
      <c r="W445">
        <v>0</v>
      </c>
      <c r="X445">
        <v>0</v>
      </c>
      <c r="Y445">
        <v>0</v>
      </c>
      <c r="Z445">
        <v>19.989999999999998</v>
      </c>
      <c r="AA445" t="s">
        <v>44</v>
      </c>
      <c r="AB445" t="s">
        <v>45</v>
      </c>
      <c r="AC445" t="s">
        <v>46</v>
      </c>
      <c r="AD445" t="s">
        <v>37</v>
      </c>
      <c r="AE445" t="s">
        <v>37</v>
      </c>
      <c r="AF445" t="s">
        <v>1595</v>
      </c>
      <c r="AG445" t="s">
        <v>37</v>
      </c>
      <c r="AH445" t="s">
        <v>346</v>
      </c>
      <c r="AI445" t="s">
        <v>37</v>
      </c>
    </row>
    <row r="446" spans="1:35" x14ac:dyDescent="0.25">
      <c r="A446" t="s">
        <v>1988</v>
      </c>
      <c r="B446" t="s">
        <v>34</v>
      </c>
      <c r="C446" t="s">
        <v>1989</v>
      </c>
      <c r="D446" t="s">
        <v>1990</v>
      </c>
      <c r="E446" t="s">
        <v>37</v>
      </c>
      <c r="F446" t="s">
        <v>1991</v>
      </c>
      <c r="G446" t="s">
        <v>39</v>
      </c>
      <c r="H446" t="s">
        <v>40</v>
      </c>
      <c r="I446" t="s">
        <v>41</v>
      </c>
      <c r="J446" t="s">
        <v>37</v>
      </c>
      <c r="K446" t="s">
        <v>37</v>
      </c>
      <c r="L446" t="s">
        <v>42</v>
      </c>
      <c r="M446" s="6">
        <v>45376.291666666664</v>
      </c>
      <c r="N446" t="s">
        <v>4262</v>
      </c>
      <c r="O446" s="1">
        <v>45376</v>
      </c>
      <c r="P446" s="1">
        <v>45374.709502314814</v>
      </c>
      <c r="Q446" t="s">
        <v>4262</v>
      </c>
      <c r="R446" s="6">
        <v>45376.416666666664</v>
      </c>
      <c r="S446" t="s">
        <v>43</v>
      </c>
      <c r="T446">
        <v>19.989999999999998</v>
      </c>
      <c r="U446">
        <v>0</v>
      </c>
      <c r="V446">
        <v>19.989999999999998</v>
      </c>
      <c r="W446">
        <v>0</v>
      </c>
      <c r="X446">
        <v>0</v>
      </c>
      <c r="Y446">
        <v>0</v>
      </c>
      <c r="Z446">
        <v>19.989999999999998</v>
      </c>
      <c r="AA446" t="s">
        <v>44</v>
      </c>
      <c r="AB446" t="s">
        <v>45</v>
      </c>
      <c r="AC446" t="s">
        <v>46</v>
      </c>
      <c r="AD446" t="s">
        <v>37</v>
      </c>
      <c r="AE446" t="s">
        <v>37</v>
      </c>
      <c r="AF446" t="s">
        <v>1992</v>
      </c>
      <c r="AG446" t="s">
        <v>37</v>
      </c>
      <c r="AH446" t="s">
        <v>1989</v>
      </c>
      <c r="AI446" t="s">
        <v>37</v>
      </c>
    </row>
    <row r="447" spans="1:35" x14ac:dyDescent="0.25">
      <c r="A447" t="s">
        <v>1262</v>
      </c>
      <c r="B447" t="s">
        <v>34</v>
      </c>
      <c r="C447" t="s">
        <v>1263</v>
      </c>
      <c r="D447" t="s">
        <v>1264</v>
      </c>
      <c r="E447" t="s">
        <v>37</v>
      </c>
      <c r="F447" t="s">
        <v>1265</v>
      </c>
      <c r="G447" t="s">
        <v>39</v>
      </c>
      <c r="H447" t="s">
        <v>40</v>
      </c>
      <c r="I447" t="s">
        <v>41</v>
      </c>
      <c r="J447" t="s">
        <v>37</v>
      </c>
      <c r="K447" t="s">
        <v>37</v>
      </c>
      <c r="L447" t="s">
        <v>42</v>
      </c>
      <c r="M447" s="6">
        <v>45377.291666666664</v>
      </c>
      <c r="N447" t="s">
        <v>4267</v>
      </c>
      <c r="O447" s="1">
        <v>45377</v>
      </c>
      <c r="P447" s="1">
        <v>45305.892638888887</v>
      </c>
      <c r="Q447" t="s">
        <v>4267</v>
      </c>
      <c r="R447" s="6">
        <v>45377.416666666664</v>
      </c>
      <c r="S447" t="s">
        <v>43</v>
      </c>
      <c r="T447">
        <v>95.19</v>
      </c>
      <c r="U447">
        <v>0</v>
      </c>
      <c r="V447">
        <v>95.19</v>
      </c>
      <c r="W447">
        <v>4.76</v>
      </c>
      <c r="X447">
        <v>0</v>
      </c>
      <c r="Y447">
        <v>0</v>
      </c>
      <c r="Z447">
        <v>99.95</v>
      </c>
      <c r="AA447" t="s">
        <v>44</v>
      </c>
      <c r="AB447" t="s">
        <v>45</v>
      </c>
      <c r="AC447" t="s">
        <v>46</v>
      </c>
      <c r="AD447" t="s">
        <v>37</v>
      </c>
      <c r="AE447" t="s">
        <v>37</v>
      </c>
      <c r="AF447" t="s">
        <v>1266</v>
      </c>
      <c r="AG447" t="s">
        <v>37</v>
      </c>
      <c r="AH447" t="s">
        <v>1263</v>
      </c>
      <c r="AI447" t="s">
        <v>37</v>
      </c>
    </row>
    <row r="448" spans="1:35" x14ac:dyDescent="0.25">
      <c r="A448" t="s">
        <v>1314</v>
      </c>
      <c r="B448" t="s">
        <v>34</v>
      </c>
      <c r="C448" t="s">
        <v>1315</v>
      </c>
      <c r="D448" t="s">
        <v>1316</v>
      </c>
      <c r="E448" t="s">
        <v>37</v>
      </c>
      <c r="F448" t="s">
        <v>1317</v>
      </c>
      <c r="G448" t="s">
        <v>39</v>
      </c>
      <c r="H448" t="s">
        <v>40</v>
      </c>
      <c r="I448" t="s">
        <v>41</v>
      </c>
      <c r="J448" t="s">
        <v>37</v>
      </c>
      <c r="K448" t="s">
        <v>37</v>
      </c>
      <c r="L448" t="s">
        <v>42</v>
      </c>
      <c r="M448" s="6">
        <v>45377.291666666664</v>
      </c>
      <c r="N448" t="s">
        <v>4267</v>
      </c>
      <c r="O448" s="1">
        <v>45377</v>
      </c>
      <c r="P448" s="1">
        <v>45375.916296296295</v>
      </c>
      <c r="Q448" t="s">
        <v>4267</v>
      </c>
      <c r="R448" s="6">
        <v>45377.416666666664</v>
      </c>
      <c r="S448" t="s">
        <v>43</v>
      </c>
      <c r="T448">
        <v>19.989999999999998</v>
      </c>
      <c r="U448">
        <v>0</v>
      </c>
      <c r="V448">
        <v>19.989999999999998</v>
      </c>
      <c r="W448">
        <v>0</v>
      </c>
      <c r="X448">
        <v>0</v>
      </c>
      <c r="Y448">
        <v>0</v>
      </c>
      <c r="Z448">
        <v>19.989999999999998</v>
      </c>
      <c r="AA448" t="s">
        <v>44</v>
      </c>
      <c r="AB448" t="s">
        <v>45</v>
      </c>
      <c r="AC448" t="s">
        <v>46</v>
      </c>
      <c r="AD448" t="s">
        <v>37</v>
      </c>
      <c r="AE448" t="s">
        <v>37</v>
      </c>
      <c r="AF448" t="s">
        <v>1318</v>
      </c>
      <c r="AG448" t="s">
        <v>37</v>
      </c>
      <c r="AH448" t="s">
        <v>1315</v>
      </c>
      <c r="AI448" t="s">
        <v>37</v>
      </c>
    </row>
    <row r="449" spans="1:35" x14ac:dyDescent="0.25">
      <c r="A449" t="s">
        <v>1402</v>
      </c>
      <c r="B449" t="s">
        <v>34</v>
      </c>
      <c r="C449" t="s">
        <v>1310</v>
      </c>
      <c r="D449" t="s">
        <v>1311</v>
      </c>
      <c r="E449" t="s">
        <v>37</v>
      </c>
      <c r="F449" t="s">
        <v>1312</v>
      </c>
      <c r="G449" t="s">
        <v>39</v>
      </c>
      <c r="H449" t="s">
        <v>40</v>
      </c>
      <c r="I449" t="s">
        <v>41</v>
      </c>
      <c r="J449" t="s">
        <v>37</v>
      </c>
      <c r="K449" t="s">
        <v>37</v>
      </c>
      <c r="L449" t="s">
        <v>42</v>
      </c>
      <c r="M449" s="6">
        <v>45377.291666666664</v>
      </c>
      <c r="N449" t="s">
        <v>4267</v>
      </c>
      <c r="O449" s="1">
        <v>45377</v>
      </c>
      <c r="P449" s="1">
        <v>45377.433055555557</v>
      </c>
      <c r="Q449" t="s">
        <v>4267</v>
      </c>
      <c r="R449" s="6">
        <v>45377.416666666664</v>
      </c>
      <c r="S449" t="s">
        <v>43</v>
      </c>
      <c r="T449">
        <v>19.989999999999998</v>
      </c>
      <c r="U449">
        <v>0</v>
      </c>
      <c r="V449">
        <v>19.989999999999998</v>
      </c>
      <c r="W449">
        <v>0</v>
      </c>
      <c r="X449">
        <v>0</v>
      </c>
      <c r="Y449">
        <v>0</v>
      </c>
      <c r="Z449">
        <v>19.989999999999998</v>
      </c>
      <c r="AA449" t="s">
        <v>44</v>
      </c>
      <c r="AB449" t="s">
        <v>45</v>
      </c>
      <c r="AC449" t="s">
        <v>46</v>
      </c>
      <c r="AD449" t="s">
        <v>37</v>
      </c>
      <c r="AE449" t="s">
        <v>37</v>
      </c>
      <c r="AF449" t="s">
        <v>1403</v>
      </c>
      <c r="AG449" t="s">
        <v>37</v>
      </c>
      <c r="AH449" t="s">
        <v>1310</v>
      </c>
      <c r="AI449" t="s">
        <v>37</v>
      </c>
    </row>
    <row r="450" spans="1:35" x14ac:dyDescent="0.25">
      <c r="A450" t="s">
        <v>1596</v>
      </c>
      <c r="B450" t="s">
        <v>34</v>
      </c>
      <c r="C450" t="s">
        <v>613</v>
      </c>
      <c r="D450" t="s">
        <v>614</v>
      </c>
      <c r="E450" t="s">
        <v>37</v>
      </c>
      <c r="F450" t="s">
        <v>615</v>
      </c>
      <c r="G450" t="s">
        <v>39</v>
      </c>
      <c r="H450" t="s">
        <v>40</v>
      </c>
      <c r="I450" t="s">
        <v>41</v>
      </c>
      <c r="J450" t="s">
        <v>37</v>
      </c>
      <c r="K450" t="s">
        <v>37</v>
      </c>
      <c r="L450" t="s">
        <v>42</v>
      </c>
      <c r="M450" s="6">
        <v>45377.291666666664</v>
      </c>
      <c r="N450" t="s">
        <v>4267</v>
      </c>
      <c r="O450" s="1">
        <v>45377</v>
      </c>
      <c r="P450" s="1">
        <v>45359.365543981483</v>
      </c>
      <c r="Q450" t="s">
        <v>4267</v>
      </c>
      <c r="R450" s="6">
        <v>45377.416666666664</v>
      </c>
      <c r="S450" t="s">
        <v>43</v>
      </c>
      <c r="T450">
        <v>39.979999999999997</v>
      </c>
      <c r="U450">
        <v>0</v>
      </c>
      <c r="V450">
        <v>39.979999999999997</v>
      </c>
      <c r="W450">
        <v>0</v>
      </c>
      <c r="X450">
        <v>0</v>
      </c>
      <c r="Y450">
        <v>0</v>
      </c>
      <c r="Z450">
        <v>39.979999999999997</v>
      </c>
      <c r="AA450" t="s">
        <v>44</v>
      </c>
      <c r="AB450" t="s">
        <v>45</v>
      </c>
      <c r="AC450" t="s">
        <v>46</v>
      </c>
      <c r="AD450" t="s">
        <v>37</v>
      </c>
      <c r="AE450" t="s">
        <v>37</v>
      </c>
      <c r="AF450" t="s">
        <v>1597</v>
      </c>
      <c r="AG450" t="s">
        <v>37</v>
      </c>
      <c r="AH450" t="s">
        <v>613</v>
      </c>
      <c r="AI450" t="s">
        <v>37</v>
      </c>
    </row>
    <row r="451" spans="1:35" x14ac:dyDescent="0.25">
      <c r="A451" t="s">
        <v>1931</v>
      </c>
      <c r="B451" t="s">
        <v>34</v>
      </c>
      <c r="C451" t="s">
        <v>576</v>
      </c>
      <c r="D451" t="s">
        <v>577</v>
      </c>
      <c r="E451" t="s">
        <v>37</v>
      </c>
      <c r="F451" t="s">
        <v>578</v>
      </c>
      <c r="G451" t="s">
        <v>39</v>
      </c>
      <c r="H451" t="s">
        <v>40</v>
      </c>
      <c r="I451" t="s">
        <v>41</v>
      </c>
      <c r="J451" t="s">
        <v>37</v>
      </c>
      <c r="K451" t="s">
        <v>37</v>
      </c>
      <c r="L451" t="s">
        <v>42</v>
      </c>
      <c r="M451" s="6">
        <v>45377.291666666664</v>
      </c>
      <c r="N451" t="s">
        <v>4267</v>
      </c>
      <c r="O451" s="1">
        <v>45377</v>
      </c>
      <c r="P451" s="1">
        <v>45372.763599537036</v>
      </c>
      <c r="Q451" t="s">
        <v>4267</v>
      </c>
      <c r="R451" s="6">
        <v>45377.416666666664</v>
      </c>
      <c r="S451" t="s">
        <v>43</v>
      </c>
      <c r="T451">
        <v>39.979999999999997</v>
      </c>
      <c r="U451">
        <v>0</v>
      </c>
      <c r="V451">
        <v>39.979999999999997</v>
      </c>
      <c r="W451">
        <v>0</v>
      </c>
      <c r="X451">
        <v>0</v>
      </c>
      <c r="Y451">
        <v>0</v>
      </c>
      <c r="Z451">
        <v>39.979999999999997</v>
      </c>
      <c r="AA451" t="s">
        <v>44</v>
      </c>
      <c r="AB451" t="s">
        <v>45</v>
      </c>
      <c r="AC451" t="s">
        <v>46</v>
      </c>
      <c r="AD451" t="s">
        <v>37</v>
      </c>
      <c r="AE451" t="s">
        <v>37</v>
      </c>
      <c r="AF451" t="s">
        <v>1932</v>
      </c>
      <c r="AG451" t="s">
        <v>37</v>
      </c>
      <c r="AH451" t="s">
        <v>576</v>
      </c>
      <c r="AI451" t="s">
        <v>37</v>
      </c>
    </row>
    <row r="452" spans="1:35" x14ac:dyDescent="0.25">
      <c r="A452" t="s">
        <v>1962</v>
      </c>
      <c r="B452" t="s">
        <v>34</v>
      </c>
      <c r="C452" t="s">
        <v>1963</v>
      </c>
      <c r="D452" t="s">
        <v>1964</v>
      </c>
      <c r="E452" t="s">
        <v>37</v>
      </c>
      <c r="F452" t="s">
        <v>1965</v>
      </c>
      <c r="G452" t="s">
        <v>39</v>
      </c>
      <c r="H452" t="s">
        <v>40</v>
      </c>
      <c r="I452" t="s">
        <v>41</v>
      </c>
      <c r="J452" t="s">
        <v>37</v>
      </c>
      <c r="K452" t="s">
        <v>37</v>
      </c>
      <c r="L452" t="s">
        <v>42</v>
      </c>
      <c r="M452" s="6">
        <v>45377.291666666664</v>
      </c>
      <c r="N452" t="s">
        <v>4267</v>
      </c>
      <c r="O452" s="1">
        <v>45377</v>
      </c>
      <c r="P452" s="1">
        <v>45373.746307870373</v>
      </c>
      <c r="Q452" t="s">
        <v>4267</v>
      </c>
      <c r="R452" s="6">
        <v>45377.416666666664</v>
      </c>
      <c r="S452" t="s">
        <v>43</v>
      </c>
      <c r="T452">
        <v>19.989999999999998</v>
      </c>
      <c r="U452">
        <v>0</v>
      </c>
      <c r="V452">
        <v>19.989999999999998</v>
      </c>
      <c r="W452">
        <v>0</v>
      </c>
      <c r="X452">
        <v>0</v>
      </c>
      <c r="Y452">
        <v>0</v>
      </c>
      <c r="Z452">
        <v>19.989999999999998</v>
      </c>
      <c r="AA452" t="s">
        <v>44</v>
      </c>
      <c r="AB452" t="s">
        <v>45</v>
      </c>
      <c r="AC452" t="s">
        <v>46</v>
      </c>
      <c r="AD452" t="s">
        <v>37</v>
      </c>
      <c r="AE452" t="s">
        <v>37</v>
      </c>
      <c r="AF452" t="s">
        <v>1966</v>
      </c>
      <c r="AG452" t="s">
        <v>37</v>
      </c>
      <c r="AH452" t="s">
        <v>1963</v>
      </c>
      <c r="AI452" t="s">
        <v>37</v>
      </c>
    </row>
    <row r="453" spans="1:35" x14ac:dyDescent="0.25">
      <c r="A453" t="s">
        <v>1366</v>
      </c>
      <c r="B453" t="s">
        <v>34</v>
      </c>
      <c r="C453" t="s">
        <v>1367</v>
      </c>
      <c r="D453" t="s">
        <v>1368</v>
      </c>
      <c r="E453" t="s">
        <v>37</v>
      </c>
      <c r="F453" t="s">
        <v>1369</v>
      </c>
      <c r="G453" t="s">
        <v>39</v>
      </c>
      <c r="H453" t="s">
        <v>40</v>
      </c>
      <c r="I453" t="s">
        <v>41</v>
      </c>
      <c r="J453" t="s">
        <v>37</v>
      </c>
      <c r="K453" t="s">
        <v>37</v>
      </c>
      <c r="L453" t="s">
        <v>42</v>
      </c>
      <c r="M453" s="6">
        <v>45377.332268518519</v>
      </c>
      <c r="N453" t="s">
        <v>4267</v>
      </c>
      <c r="O453" s="1">
        <v>45377.040601851855</v>
      </c>
      <c r="P453" s="1">
        <v>45377.332326388889</v>
      </c>
      <c r="Q453" t="s">
        <v>4267</v>
      </c>
      <c r="R453" s="6">
        <v>45377.416666666664</v>
      </c>
      <c r="S453" t="s">
        <v>43</v>
      </c>
      <c r="T453">
        <v>19.989999999999998</v>
      </c>
      <c r="U453">
        <v>0</v>
      </c>
      <c r="V453">
        <v>19.989999999999998</v>
      </c>
      <c r="W453">
        <v>0</v>
      </c>
      <c r="X453">
        <v>0</v>
      </c>
      <c r="Y453">
        <v>0</v>
      </c>
      <c r="Z453">
        <v>19.989999999999998</v>
      </c>
      <c r="AA453" t="s">
        <v>44</v>
      </c>
      <c r="AB453" t="s">
        <v>45</v>
      </c>
      <c r="AC453" t="s">
        <v>46</v>
      </c>
      <c r="AD453" t="s">
        <v>37</v>
      </c>
      <c r="AE453" t="s">
        <v>37</v>
      </c>
      <c r="AF453" t="s">
        <v>1370</v>
      </c>
      <c r="AG453" t="s">
        <v>37</v>
      </c>
      <c r="AH453" t="s">
        <v>1367</v>
      </c>
      <c r="AI453" t="s">
        <v>37</v>
      </c>
    </row>
    <row r="454" spans="1:35" x14ac:dyDescent="0.25">
      <c r="A454" t="s">
        <v>1400</v>
      </c>
      <c r="B454" t="s">
        <v>34</v>
      </c>
      <c r="C454" t="s">
        <v>1177</v>
      </c>
      <c r="D454" t="s">
        <v>1178</v>
      </c>
      <c r="E454" t="s">
        <v>37</v>
      </c>
      <c r="F454" t="s">
        <v>1179</v>
      </c>
      <c r="G454" t="s">
        <v>39</v>
      </c>
      <c r="H454" t="s">
        <v>40</v>
      </c>
      <c r="I454" t="s">
        <v>41</v>
      </c>
      <c r="J454" t="s">
        <v>37</v>
      </c>
      <c r="K454" t="s">
        <v>37</v>
      </c>
      <c r="L454" t="s">
        <v>42</v>
      </c>
      <c r="M454" s="6">
        <v>45377.368738425925</v>
      </c>
      <c r="N454" t="s">
        <v>4267</v>
      </c>
      <c r="O454" s="1">
        <v>45377.07707175926</v>
      </c>
      <c r="P454" s="1">
        <v>45377.368784722225</v>
      </c>
      <c r="Q454" t="s">
        <v>4267</v>
      </c>
      <c r="R454" s="6">
        <v>45377.416666666664</v>
      </c>
      <c r="S454" t="s">
        <v>43</v>
      </c>
      <c r="T454">
        <v>19.989999999999998</v>
      </c>
      <c r="U454">
        <v>0</v>
      </c>
      <c r="V454">
        <v>19.989999999999998</v>
      </c>
      <c r="W454">
        <v>0</v>
      </c>
      <c r="X454">
        <v>0</v>
      </c>
      <c r="Y454">
        <v>0</v>
      </c>
      <c r="Z454">
        <v>19.989999999999998</v>
      </c>
      <c r="AA454" t="s">
        <v>44</v>
      </c>
      <c r="AB454" t="s">
        <v>45</v>
      </c>
      <c r="AC454" t="s">
        <v>46</v>
      </c>
      <c r="AD454" t="s">
        <v>37</v>
      </c>
      <c r="AE454" t="s">
        <v>37</v>
      </c>
      <c r="AF454" t="s">
        <v>1401</v>
      </c>
      <c r="AG454" t="s">
        <v>37</v>
      </c>
      <c r="AH454" t="s">
        <v>1177</v>
      </c>
      <c r="AI454" t="s">
        <v>37</v>
      </c>
    </row>
    <row r="455" spans="1:35" x14ac:dyDescent="0.25">
      <c r="A455" t="s">
        <v>1268</v>
      </c>
      <c r="B455" t="s">
        <v>34</v>
      </c>
      <c r="C455" t="s">
        <v>1263</v>
      </c>
      <c r="D455" t="s">
        <v>1264</v>
      </c>
      <c r="E455" t="s">
        <v>37</v>
      </c>
      <c r="F455" t="s">
        <v>1265</v>
      </c>
      <c r="G455" t="s">
        <v>39</v>
      </c>
      <c r="H455" t="s">
        <v>40</v>
      </c>
      <c r="I455" t="s">
        <v>41</v>
      </c>
      <c r="J455" t="s">
        <v>37</v>
      </c>
      <c r="K455" t="s">
        <v>37</v>
      </c>
      <c r="L455" t="s">
        <v>42</v>
      </c>
      <c r="M455" s="6">
        <v>45378.291666666664</v>
      </c>
      <c r="N455" t="s">
        <v>4263</v>
      </c>
      <c r="O455" s="1">
        <v>45378</v>
      </c>
      <c r="P455" s="1">
        <v>45305.892638888887</v>
      </c>
      <c r="Q455" t="s">
        <v>4263</v>
      </c>
      <c r="R455" s="6">
        <v>45378.416666666664</v>
      </c>
      <c r="S455" t="s">
        <v>43</v>
      </c>
      <c r="T455">
        <v>95.19</v>
      </c>
      <c r="U455">
        <v>0</v>
      </c>
      <c r="V455">
        <v>95.19</v>
      </c>
      <c r="W455">
        <v>4.76</v>
      </c>
      <c r="X455">
        <v>0</v>
      </c>
      <c r="Y455">
        <v>0</v>
      </c>
      <c r="Z455">
        <v>99.95</v>
      </c>
      <c r="AA455" t="s">
        <v>44</v>
      </c>
      <c r="AB455" t="s">
        <v>45</v>
      </c>
      <c r="AC455" t="s">
        <v>46</v>
      </c>
      <c r="AD455" t="s">
        <v>37</v>
      </c>
      <c r="AE455" t="s">
        <v>37</v>
      </c>
      <c r="AF455" t="s">
        <v>1266</v>
      </c>
      <c r="AG455" t="s">
        <v>37</v>
      </c>
      <c r="AH455" t="s">
        <v>1263</v>
      </c>
      <c r="AI455" t="s">
        <v>37</v>
      </c>
    </row>
    <row r="456" spans="1:35" x14ac:dyDescent="0.25">
      <c r="A456" t="s">
        <v>1422</v>
      </c>
      <c r="B456" t="s">
        <v>34</v>
      </c>
      <c r="C456" t="s">
        <v>1423</v>
      </c>
      <c r="D456" t="s">
        <v>1424</v>
      </c>
      <c r="E456" t="s">
        <v>37</v>
      </c>
      <c r="F456" t="s">
        <v>1425</v>
      </c>
      <c r="G456" t="s">
        <v>39</v>
      </c>
      <c r="H456" t="s">
        <v>40</v>
      </c>
      <c r="I456" t="s">
        <v>41</v>
      </c>
      <c r="J456" t="s">
        <v>37</v>
      </c>
      <c r="K456" t="s">
        <v>37</v>
      </c>
      <c r="L456" t="s">
        <v>42</v>
      </c>
      <c r="M456" s="6">
        <v>45378.291666666664</v>
      </c>
      <c r="N456" t="s">
        <v>4263</v>
      </c>
      <c r="O456" s="1">
        <v>45378</v>
      </c>
      <c r="P456" s="1">
        <v>45377.738854166666</v>
      </c>
      <c r="Q456" t="s">
        <v>4263</v>
      </c>
      <c r="R456" s="6">
        <v>45378.416666666664</v>
      </c>
      <c r="S456" t="s">
        <v>43</v>
      </c>
      <c r="T456">
        <v>19.989999999999998</v>
      </c>
      <c r="U456">
        <v>0</v>
      </c>
      <c r="V456">
        <v>19.989999999999998</v>
      </c>
      <c r="W456">
        <v>0</v>
      </c>
      <c r="X456">
        <v>0</v>
      </c>
      <c r="Y456">
        <v>0</v>
      </c>
      <c r="Z456">
        <v>19.989999999999998</v>
      </c>
      <c r="AA456" t="s">
        <v>44</v>
      </c>
      <c r="AB456" t="s">
        <v>45</v>
      </c>
      <c r="AC456" t="s">
        <v>46</v>
      </c>
      <c r="AD456" t="s">
        <v>37</v>
      </c>
      <c r="AE456" t="s">
        <v>37</v>
      </c>
      <c r="AF456" t="s">
        <v>1426</v>
      </c>
      <c r="AG456" t="s">
        <v>37</v>
      </c>
      <c r="AH456" t="s">
        <v>1427</v>
      </c>
      <c r="AI456" t="s">
        <v>37</v>
      </c>
    </row>
    <row r="457" spans="1:35" x14ac:dyDescent="0.25">
      <c r="A457" t="s">
        <v>1428</v>
      </c>
      <c r="B457" t="s">
        <v>34</v>
      </c>
      <c r="C457" t="s">
        <v>1429</v>
      </c>
      <c r="D457" t="s">
        <v>1430</v>
      </c>
      <c r="E457" t="s">
        <v>37</v>
      </c>
      <c r="F457" t="s">
        <v>1431</v>
      </c>
      <c r="G457" t="s">
        <v>39</v>
      </c>
      <c r="H457" t="s">
        <v>40</v>
      </c>
      <c r="I457" t="s">
        <v>41</v>
      </c>
      <c r="J457" t="s">
        <v>37</v>
      </c>
      <c r="K457" t="s">
        <v>37</v>
      </c>
      <c r="L457" t="s">
        <v>42</v>
      </c>
      <c r="M457" s="6">
        <v>45378.291666666664</v>
      </c>
      <c r="N457" t="s">
        <v>4263</v>
      </c>
      <c r="O457" s="1">
        <v>45378</v>
      </c>
      <c r="P457" s="1">
        <v>45377.755972222221</v>
      </c>
      <c r="Q457" t="s">
        <v>4263</v>
      </c>
      <c r="R457" s="6">
        <v>45378.416666666664</v>
      </c>
      <c r="S457" t="s">
        <v>43</v>
      </c>
      <c r="T457">
        <v>39.979999999999997</v>
      </c>
      <c r="U457">
        <v>0</v>
      </c>
      <c r="V457">
        <v>39.979999999999997</v>
      </c>
      <c r="W457">
        <v>0</v>
      </c>
      <c r="X457">
        <v>0</v>
      </c>
      <c r="Y457">
        <v>0</v>
      </c>
      <c r="Z457">
        <v>39.979999999999997</v>
      </c>
      <c r="AA457" t="s">
        <v>44</v>
      </c>
      <c r="AB457" t="s">
        <v>45</v>
      </c>
      <c r="AC457" t="s">
        <v>46</v>
      </c>
      <c r="AD457" t="s">
        <v>37</v>
      </c>
      <c r="AE457" t="s">
        <v>37</v>
      </c>
      <c r="AF457" t="s">
        <v>1432</v>
      </c>
      <c r="AG457" t="s">
        <v>37</v>
      </c>
      <c r="AH457" t="s">
        <v>1429</v>
      </c>
      <c r="AI457" t="s">
        <v>37</v>
      </c>
    </row>
    <row r="458" spans="1:35" x14ac:dyDescent="0.25">
      <c r="A458" t="s">
        <v>1484</v>
      </c>
      <c r="B458" t="s">
        <v>34</v>
      </c>
      <c r="C458" t="s">
        <v>1485</v>
      </c>
      <c r="D458" t="s">
        <v>1486</v>
      </c>
      <c r="E458" t="s">
        <v>37</v>
      </c>
      <c r="F458" t="s">
        <v>1487</v>
      </c>
      <c r="G458" t="s">
        <v>39</v>
      </c>
      <c r="H458" t="s">
        <v>40</v>
      </c>
      <c r="I458" t="s">
        <v>41</v>
      </c>
      <c r="J458" t="s">
        <v>37</v>
      </c>
      <c r="K458" t="s">
        <v>37</v>
      </c>
      <c r="L458" t="s">
        <v>42</v>
      </c>
      <c r="M458" s="6">
        <v>45378.291666666664</v>
      </c>
      <c r="N458" t="s">
        <v>4263</v>
      </c>
      <c r="O458" s="1">
        <v>45378</v>
      </c>
      <c r="P458" s="1">
        <v>45378.552152777775</v>
      </c>
      <c r="Q458" t="s">
        <v>4263</v>
      </c>
      <c r="R458" s="6">
        <v>45378.416666666664</v>
      </c>
      <c r="S458" t="s">
        <v>43</v>
      </c>
      <c r="T458">
        <v>19.989999999999998</v>
      </c>
      <c r="U458">
        <v>0</v>
      </c>
      <c r="V458">
        <v>19.989999999999998</v>
      </c>
      <c r="W458">
        <v>0</v>
      </c>
      <c r="X458">
        <v>0</v>
      </c>
      <c r="Y458">
        <v>0</v>
      </c>
      <c r="Z458">
        <v>19.989999999999998</v>
      </c>
      <c r="AA458" t="s">
        <v>44</v>
      </c>
      <c r="AB458" t="s">
        <v>45</v>
      </c>
      <c r="AC458" t="s">
        <v>46</v>
      </c>
      <c r="AD458" t="s">
        <v>37</v>
      </c>
      <c r="AE458" t="s">
        <v>37</v>
      </c>
      <c r="AF458" t="s">
        <v>1488</v>
      </c>
      <c r="AG458" t="s">
        <v>37</v>
      </c>
      <c r="AH458" t="s">
        <v>1489</v>
      </c>
      <c r="AI458" t="s">
        <v>37</v>
      </c>
    </row>
    <row r="459" spans="1:35" x14ac:dyDescent="0.25">
      <c r="A459" t="s">
        <v>1598</v>
      </c>
      <c r="B459" t="s">
        <v>34</v>
      </c>
      <c r="C459" t="s">
        <v>613</v>
      </c>
      <c r="D459" t="s">
        <v>614</v>
      </c>
      <c r="E459" t="s">
        <v>37</v>
      </c>
      <c r="F459" t="s">
        <v>615</v>
      </c>
      <c r="G459" t="s">
        <v>39</v>
      </c>
      <c r="H459" t="s">
        <v>40</v>
      </c>
      <c r="I459" t="s">
        <v>41</v>
      </c>
      <c r="J459" t="s">
        <v>37</v>
      </c>
      <c r="K459" t="s">
        <v>37</v>
      </c>
      <c r="L459" t="s">
        <v>42</v>
      </c>
      <c r="M459" s="6">
        <v>45378.291666666664</v>
      </c>
      <c r="N459" t="s">
        <v>4263</v>
      </c>
      <c r="O459" s="1">
        <v>45378</v>
      </c>
      <c r="P459" s="1">
        <v>45359.365543981483</v>
      </c>
      <c r="Q459" t="s">
        <v>4263</v>
      </c>
      <c r="R459" s="6">
        <v>45378.416666666664</v>
      </c>
      <c r="S459" t="s">
        <v>43</v>
      </c>
      <c r="T459">
        <v>39.979999999999997</v>
      </c>
      <c r="U459">
        <v>0</v>
      </c>
      <c r="V459">
        <v>39.979999999999997</v>
      </c>
      <c r="W459">
        <v>0</v>
      </c>
      <c r="X459">
        <v>0</v>
      </c>
      <c r="Y459">
        <v>0</v>
      </c>
      <c r="Z459">
        <v>39.979999999999997</v>
      </c>
      <c r="AA459" t="s">
        <v>44</v>
      </c>
      <c r="AB459" t="s">
        <v>45</v>
      </c>
      <c r="AC459" t="s">
        <v>46</v>
      </c>
      <c r="AD459" t="s">
        <v>37</v>
      </c>
      <c r="AE459" t="s">
        <v>37</v>
      </c>
      <c r="AF459" t="s">
        <v>1597</v>
      </c>
      <c r="AG459" t="s">
        <v>37</v>
      </c>
      <c r="AH459" t="s">
        <v>613</v>
      </c>
      <c r="AI459" t="s">
        <v>37</v>
      </c>
    </row>
    <row r="460" spans="1:35" x14ac:dyDescent="0.25">
      <c r="A460" t="s">
        <v>1796</v>
      </c>
      <c r="B460" t="s">
        <v>34</v>
      </c>
      <c r="C460" t="s">
        <v>1797</v>
      </c>
      <c r="D460" t="s">
        <v>1798</v>
      </c>
      <c r="E460" t="s">
        <v>37</v>
      </c>
      <c r="F460" t="s">
        <v>1799</v>
      </c>
      <c r="G460" t="s">
        <v>39</v>
      </c>
      <c r="H460" t="s">
        <v>40</v>
      </c>
      <c r="I460" t="s">
        <v>41</v>
      </c>
      <c r="J460" t="s">
        <v>37</v>
      </c>
      <c r="K460" t="s">
        <v>37</v>
      </c>
      <c r="L460" t="s">
        <v>42</v>
      </c>
      <c r="M460" s="6">
        <v>45378.291666666664</v>
      </c>
      <c r="N460" t="s">
        <v>4263</v>
      </c>
      <c r="O460" s="1">
        <v>45378</v>
      </c>
      <c r="P460" s="1">
        <v>45372.535914351851</v>
      </c>
      <c r="Q460" t="s">
        <v>4263</v>
      </c>
      <c r="R460" s="6">
        <v>45378.416666666664</v>
      </c>
      <c r="S460" t="s">
        <v>43</v>
      </c>
      <c r="T460">
        <v>39.979999999999997</v>
      </c>
      <c r="U460">
        <v>0</v>
      </c>
      <c r="V460">
        <v>39.979999999999997</v>
      </c>
      <c r="W460">
        <v>0</v>
      </c>
      <c r="X460">
        <v>0</v>
      </c>
      <c r="Y460">
        <v>0</v>
      </c>
      <c r="Z460">
        <v>39.979999999999997</v>
      </c>
      <c r="AA460" t="s">
        <v>44</v>
      </c>
      <c r="AB460" t="s">
        <v>45</v>
      </c>
      <c r="AC460" t="s">
        <v>46</v>
      </c>
      <c r="AD460" t="s">
        <v>37</v>
      </c>
      <c r="AE460" t="s">
        <v>37</v>
      </c>
      <c r="AF460" t="s">
        <v>1800</v>
      </c>
      <c r="AG460" t="s">
        <v>37</v>
      </c>
      <c r="AH460" t="s">
        <v>1797</v>
      </c>
      <c r="AI460" t="s">
        <v>37</v>
      </c>
    </row>
    <row r="461" spans="1:35" x14ac:dyDescent="0.25">
      <c r="A461" t="s">
        <v>1933</v>
      </c>
      <c r="B461" t="s">
        <v>34</v>
      </c>
      <c r="C461" t="s">
        <v>576</v>
      </c>
      <c r="D461" t="s">
        <v>577</v>
      </c>
      <c r="E461" t="s">
        <v>37</v>
      </c>
      <c r="F461" t="s">
        <v>578</v>
      </c>
      <c r="G461" t="s">
        <v>39</v>
      </c>
      <c r="H461" t="s">
        <v>40</v>
      </c>
      <c r="I461" t="s">
        <v>41</v>
      </c>
      <c r="J461" t="s">
        <v>37</v>
      </c>
      <c r="K461" t="s">
        <v>37</v>
      </c>
      <c r="L461" t="s">
        <v>42</v>
      </c>
      <c r="M461" s="6">
        <v>45378.291666666664</v>
      </c>
      <c r="N461" t="s">
        <v>4263</v>
      </c>
      <c r="O461" s="1">
        <v>45378</v>
      </c>
      <c r="P461" s="1">
        <v>45372.763599537036</v>
      </c>
      <c r="Q461" t="s">
        <v>4263</v>
      </c>
      <c r="R461" s="6">
        <v>45378.416666666664</v>
      </c>
      <c r="S461" t="s">
        <v>43</v>
      </c>
      <c r="T461">
        <v>39.979999999999997</v>
      </c>
      <c r="U461">
        <v>0</v>
      </c>
      <c r="V461">
        <v>39.979999999999997</v>
      </c>
      <c r="W461">
        <v>0</v>
      </c>
      <c r="X461">
        <v>0</v>
      </c>
      <c r="Y461">
        <v>0</v>
      </c>
      <c r="Z461">
        <v>39.979999999999997</v>
      </c>
      <c r="AA461" t="s">
        <v>44</v>
      </c>
      <c r="AB461" t="s">
        <v>45</v>
      </c>
      <c r="AC461" t="s">
        <v>46</v>
      </c>
      <c r="AD461" t="s">
        <v>37</v>
      </c>
      <c r="AE461" t="s">
        <v>37</v>
      </c>
      <c r="AF461" t="s">
        <v>1932</v>
      </c>
      <c r="AG461" t="s">
        <v>37</v>
      </c>
      <c r="AH461" t="s">
        <v>576</v>
      </c>
      <c r="AI461" t="s">
        <v>37</v>
      </c>
    </row>
    <row r="462" spans="1:35" x14ac:dyDescent="0.25">
      <c r="A462" t="s">
        <v>1973</v>
      </c>
      <c r="B462" t="s">
        <v>34</v>
      </c>
      <c r="C462" t="s">
        <v>1974</v>
      </c>
      <c r="D462" t="s">
        <v>1975</v>
      </c>
      <c r="E462" t="s">
        <v>37</v>
      </c>
      <c r="F462" t="s">
        <v>1976</v>
      </c>
      <c r="G462" t="s">
        <v>39</v>
      </c>
      <c r="H462" t="s">
        <v>40</v>
      </c>
      <c r="I462" t="s">
        <v>41</v>
      </c>
      <c r="J462" t="s">
        <v>37</v>
      </c>
      <c r="K462" t="s">
        <v>37</v>
      </c>
      <c r="L462" t="s">
        <v>42</v>
      </c>
      <c r="M462" s="6">
        <v>45378.291666666664</v>
      </c>
      <c r="N462" t="s">
        <v>4263</v>
      </c>
      <c r="O462" s="1">
        <v>45378</v>
      </c>
      <c r="P462" s="1">
        <v>45374.436597222222</v>
      </c>
      <c r="Q462" t="s">
        <v>4263</v>
      </c>
      <c r="R462" s="6">
        <v>45378.416666666664</v>
      </c>
      <c r="S462" t="s">
        <v>43</v>
      </c>
      <c r="T462">
        <v>19.989999999999998</v>
      </c>
      <c r="U462">
        <v>0</v>
      </c>
      <c r="V462">
        <v>19.989999999999998</v>
      </c>
      <c r="W462">
        <v>0</v>
      </c>
      <c r="X462">
        <v>0</v>
      </c>
      <c r="Y462">
        <v>0</v>
      </c>
      <c r="Z462">
        <v>19.989999999999998</v>
      </c>
      <c r="AA462" t="s">
        <v>44</v>
      </c>
      <c r="AB462" t="s">
        <v>45</v>
      </c>
      <c r="AC462" t="s">
        <v>46</v>
      </c>
      <c r="AD462" t="s">
        <v>37</v>
      </c>
      <c r="AE462" t="s">
        <v>37</v>
      </c>
      <c r="AF462" t="s">
        <v>1977</v>
      </c>
      <c r="AG462" t="s">
        <v>37</v>
      </c>
      <c r="AH462" t="s">
        <v>1974</v>
      </c>
      <c r="AI462" t="s">
        <v>37</v>
      </c>
    </row>
    <row r="463" spans="1:35" x14ac:dyDescent="0.25">
      <c r="A463" t="s">
        <v>1983</v>
      </c>
      <c r="B463" t="s">
        <v>34</v>
      </c>
      <c r="C463" t="s">
        <v>1984</v>
      </c>
      <c r="D463" t="s">
        <v>1985</v>
      </c>
      <c r="E463" t="s">
        <v>37</v>
      </c>
      <c r="F463" t="s">
        <v>1986</v>
      </c>
      <c r="G463" t="s">
        <v>39</v>
      </c>
      <c r="H463" t="s">
        <v>40</v>
      </c>
      <c r="I463" t="s">
        <v>41</v>
      </c>
      <c r="J463" t="s">
        <v>37</v>
      </c>
      <c r="K463" t="s">
        <v>37</v>
      </c>
      <c r="L463" t="s">
        <v>42</v>
      </c>
      <c r="M463" s="6">
        <v>45378.291666666664</v>
      </c>
      <c r="N463" t="s">
        <v>4263</v>
      </c>
      <c r="O463" s="1">
        <v>45378</v>
      </c>
      <c r="P463" s="1">
        <v>45374.600810185184</v>
      </c>
      <c r="Q463" t="s">
        <v>4263</v>
      </c>
      <c r="R463" s="6">
        <v>45378.416666666664</v>
      </c>
      <c r="S463" t="s">
        <v>43</v>
      </c>
      <c r="T463">
        <v>19.989999999999998</v>
      </c>
      <c r="U463">
        <v>0</v>
      </c>
      <c r="V463">
        <v>19.989999999999998</v>
      </c>
      <c r="W463">
        <v>0</v>
      </c>
      <c r="X463">
        <v>0</v>
      </c>
      <c r="Y463">
        <v>0</v>
      </c>
      <c r="Z463">
        <v>19.989999999999998</v>
      </c>
      <c r="AA463" t="s">
        <v>44</v>
      </c>
      <c r="AB463" t="s">
        <v>45</v>
      </c>
      <c r="AC463" t="s">
        <v>46</v>
      </c>
      <c r="AD463" t="s">
        <v>37</v>
      </c>
      <c r="AE463" t="s">
        <v>37</v>
      </c>
      <c r="AF463" t="s">
        <v>1987</v>
      </c>
      <c r="AG463" t="s">
        <v>37</v>
      </c>
      <c r="AH463" t="s">
        <v>1984</v>
      </c>
      <c r="AI463" t="s">
        <v>37</v>
      </c>
    </row>
    <row r="464" spans="1:35" x14ac:dyDescent="0.25">
      <c r="A464" t="s">
        <v>1477</v>
      </c>
      <c r="B464" t="s">
        <v>34</v>
      </c>
      <c r="C464" t="s">
        <v>1177</v>
      </c>
      <c r="D464" t="s">
        <v>1178</v>
      </c>
      <c r="E464" t="s">
        <v>37</v>
      </c>
      <c r="F464" t="s">
        <v>1179</v>
      </c>
      <c r="G464" t="s">
        <v>39</v>
      </c>
      <c r="H464" t="s">
        <v>40</v>
      </c>
      <c r="I464" t="s">
        <v>41</v>
      </c>
      <c r="J464" t="s">
        <v>37</v>
      </c>
      <c r="K464" t="s">
        <v>37</v>
      </c>
      <c r="L464" t="s">
        <v>42</v>
      </c>
      <c r="M464" s="6">
        <v>45378.369444444441</v>
      </c>
      <c r="N464" t="s">
        <v>4263</v>
      </c>
      <c r="O464" s="1">
        <v>45378.077777777777</v>
      </c>
      <c r="P464" s="1">
        <v>45378.369490740741</v>
      </c>
      <c r="Q464" t="s">
        <v>4263</v>
      </c>
      <c r="R464" s="6">
        <v>45378.416666666664</v>
      </c>
      <c r="S464" t="s">
        <v>43</v>
      </c>
      <c r="T464">
        <v>19.989999999999998</v>
      </c>
      <c r="U464">
        <v>0</v>
      </c>
      <c r="V464">
        <v>19.989999999999998</v>
      </c>
      <c r="W464">
        <v>0</v>
      </c>
      <c r="X464">
        <v>0</v>
      </c>
      <c r="Y464">
        <v>0</v>
      </c>
      <c r="Z464">
        <v>19.989999999999998</v>
      </c>
      <c r="AA464" t="s">
        <v>44</v>
      </c>
      <c r="AB464" t="s">
        <v>45</v>
      </c>
      <c r="AC464" t="s">
        <v>46</v>
      </c>
      <c r="AD464" t="s">
        <v>37</v>
      </c>
      <c r="AE464" t="s">
        <v>37</v>
      </c>
      <c r="AF464" t="s">
        <v>1478</v>
      </c>
      <c r="AG464" t="s">
        <v>37</v>
      </c>
      <c r="AH464" t="s">
        <v>1177</v>
      </c>
      <c r="AI464" t="s">
        <v>37</v>
      </c>
    </row>
    <row r="465" spans="1:35" x14ac:dyDescent="0.25">
      <c r="A465" t="s">
        <v>1479</v>
      </c>
      <c r="B465" t="s">
        <v>34</v>
      </c>
      <c r="C465" t="s">
        <v>1480</v>
      </c>
      <c r="D465" t="s">
        <v>1481</v>
      </c>
      <c r="E465" t="s">
        <v>37</v>
      </c>
      <c r="F465" t="s">
        <v>1482</v>
      </c>
      <c r="G465" t="s">
        <v>39</v>
      </c>
      <c r="H465" t="s">
        <v>40</v>
      </c>
      <c r="I465" t="s">
        <v>41</v>
      </c>
      <c r="J465" t="s">
        <v>37</v>
      </c>
      <c r="K465" t="s">
        <v>37</v>
      </c>
      <c r="L465" t="s">
        <v>42</v>
      </c>
      <c r="M465" s="6">
        <v>45378.384594907409</v>
      </c>
      <c r="N465" t="s">
        <v>4263</v>
      </c>
      <c r="O465" s="1">
        <v>45378.092928240738</v>
      </c>
      <c r="P465" s="1">
        <v>45378.384652777779</v>
      </c>
      <c r="Q465" t="s">
        <v>4263</v>
      </c>
      <c r="R465" s="6">
        <v>45378.416666666664</v>
      </c>
      <c r="S465" t="s">
        <v>43</v>
      </c>
      <c r="T465">
        <v>19.989999999999998</v>
      </c>
      <c r="U465">
        <v>0</v>
      </c>
      <c r="V465">
        <v>19.989999999999998</v>
      </c>
      <c r="W465">
        <v>0</v>
      </c>
      <c r="X465">
        <v>0</v>
      </c>
      <c r="Y465">
        <v>0</v>
      </c>
      <c r="Z465">
        <v>19.989999999999998</v>
      </c>
      <c r="AA465" t="s">
        <v>44</v>
      </c>
      <c r="AB465" t="s">
        <v>45</v>
      </c>
      <c r="AC465" t="s">
        <v>46</v>
      </c>
      <c r="AD465" t="s">
        <v>37</v>
      </c>
      <c r="AE465" t="s">
        <v>37</v>
      </c>
      <c r="AF465" t="s">
        <v>1483</v>
      </c>
      <c r="AG465" t="s">
        <v>37</v>
      </c>
      <c r="AH465" t="s">
        <v>1480</v>
      </c>
      <c r="AI465" t="s">
        <v>37</v>
      </c>
    </row>
    <row r="466" spans="1:35" x14ac:dyDescent="0.25">
      <c r="A466" t="s">
        <v>1269</v>
      </c>
      <c r="B466" t="s">
        <v>34</v>
      </c>
      <c r="C466" t="s">
        <v>1263</v>
      </c>
      <c r="D466" t="s">
        <v>1264</v>
      </c>
      <c r="E466" t="s">
        <v>37</v>
      </c>
      <c r="F466" t="s">
        <v>1265</v>
      </c>
      <c r="G466" t="s">
        <v>39</v>
      </c>
      <c r="H466" t="s">
        <v>40</v>
      </c>
      <c r="I466" t="s">
        <v>41</v>
      </c>
      <c r="J466" t="s">
        <v>37</v>
      </c>
      <c r="K466" t="s">
        <v>37</v>
      </c>
      <c r="L466" t="s">
        <v>42</v>
      </c>
      <c r="M466" s="6">
        <v>45379.291666666664</v>
      </c>
      <c r="N466" t="s">
        <v>4264</v>
      </c>
      <c r="O466" s="1">
        <v>45379</v>
      </c>
      <c r="P466" s="1">
        <v>45305.892638888887</v>
      </c>
      <c r="Q466" t="s">
        <v>4264</v>
      </c>
      <c r="R466" s="6">
        <v>45379.416666666664</v>
      </c>
      <c r="S466" t="s">
        <v>43</v>
      </c>
      <c r="T466">
        <v>95.19</v>
      </c>
      <c r="U466">
        <v>0</v>
      </c>
      <c r="V466">
        <v>95.19</v>
      </c>
      <c r="W466">
        <v>4.76</v>
      </c>
      <c r="X466">
        <v>0</v>
      </c>
      <c r="Y466">
        <v>0</v>
      </c>
      <c r="Z466">
        <v>99.95</v>
      </c>
      <c r="AA466" t="s">
        <v>44</v>
      </c>
      <c r="AB466" t="s">
        <v>45</v>
      </c>
      <c r="AC466" t="s">
        <v>46</v>
      </c>
      <c r="AD466" t="s">
        <v>37</v>
      </c>
      <c r="AE466" t="s">
        <v>37</v>
      </c>
      <c r="AF466" t="s">
        <v>1266</v>
      </c>
      <c r="AG466" t="s">
        <v>37</v>
      </c>
      <c r="AH466" t="s">
        <v>1263</v>
      </c>
      <c r="AI466" t="s">
        <v>37</v>
      </c>
    </row>
    <row r="467" spans="1:35" x14ac:dyDescent="0.25">
      <c r="A467" t="s">
        <v>1433</v>
      </c>
      <c r="B467" t="s">
        <v>34</v>
      </c>
      <c r="C467" t="s">
        <v>1429</v>
      </c>
      <c r="D467" t="s">
        <v>1430</v>
      </c>
      <c r="E467" t="s">
        <v>37</v>
      </c>
      <c r="F467" t="s">
        <v>1431</v>
      </c>
      <c r="G467" t="s">
        <v>39</v>
      </c>
      <c r="H467" t="s">
        <v>40</v>
      </c>
      <c r="I467" t="s">
        <v>41</v>
      </c>
      <c r="J467" t="s">
        <v>37</v>
      </c>
      <c r="K467" t="s">
        <v>37</v>
      </c>
      <c r="L467" t="s">
        <v>42</v>
      </c>
      <c r="M467" s="6">
        <v>45379.291666666664</v>
      </c>
      <c r="N467" t="s">
        <v>4264</v>
      </c>
      <c r="O467" s="1">
        <v>45379</v>
      </c>
      <c r="P467" s="1">
        <v>45377.755972222221</v>
      </c>
      <c r="Q467" t="s">
        <v>4264</v>
      </c>
      <c r="R467" s="6">
        <v>45379.416666666664</v>
      </c>
      <c r="S467" t="s">
        <v>43</v>
      </c>
      <c r="T467">
        <v>39.979999999999997</v>
      </c>
      <c r="U467">
        <v>0</v>
      </c>
      <c r="V467">
        <v>39.979999999999997</v>
      </c>
      <c r="W467">
        <v>0</v>
      </c>
      <c r="X467">
        <v>0</v>
      </c>
      <c r="Y467">
        <v>0</v>
      </c>
      <c r="Z467">
        <v>39.979999999999997</v>
      </c>
      <c r="AA467" t="s">
        <v>44</v>
      </c>
      <c r="AB467" t="s">
        <v>45</v>
      </c>
      <c r="AC467" t="s">
        <v>46</v>
      </c>
      <c r="AD467" t="s">
        <v>37</v>
      </c>
      <c r="AE467" t="s">
        <v>37</v>
      </c>
      <c r="AF467" t="s">
        <v>1432</v>
      </c>
      <c r="AG467" t="s">
        <v>37</v>
      </c>
      <c r="AH467" t="s">
        <v>1429</v>
      </c>
      <c r="AI467" t="s">
        <v>37</v>
      </c>
    </row>
    <row r="468" spans="1:35" x14ac:dyDescent="0.25">
      <c r="A468" t="s">
        <v>1454</v>
      </c>
      <c r="B468" t="s">
        <v>34</v>
      </c>
      <c r="C468" t="s">
        <v>1455</v>
      </c>
      <c r="D468" t="s">
        <v>1456</v>
      </c>
      <c r="E468" t="s">
        <v>37</v>
      </c>
      <c r="F468" t="s">
        <v>1457</v>
      </c>
      <c r="G468" t="s">
        <v>39</v>
      </c>
      <c r="H468" t="s">
        <v>40</v>
      </c>
      <c r="I468" t="s">
        <v>41</v>
      </c>
      <c r="J468" t="s">
        <v>37</v>
      </c>
      <c r="K468" t="s">
        <v>37</v>
      </c>
      <c r="L468" t="s">
        <v>42</v>
      </c>
      <c r="M468" s="6">
        <v>45379.291666666664</v>
      </c>
      <c r="N468" t="s">
        <v>4264</v>
      </c>
      <c r="O468" s="1">
        <v>45379</v>
      </c>
      <c r="P468" s="1">
        <v>45377.955335648148</v>
      </c>
      <c r="Q468" t="s">
        <v>4264</v>
      </c>
      <c r="R468" s="6">
        <v>45379.416666666664</v>
      </c>
      <c r="S468" t="s">
        <v>43</v>
      </c>
      <c r="T468">
        <v>19.989999999999998</v>
      </c>
      <c r="U468">
        <v>0</v>
      </c>
      <c r="V468">
        <v>19.989999999999998</v>
      </c>
      <c r="W468">
        <v>0</v>
      </c>
      <c r="X468">
        <v>0</v>
      </c>
      <c r="Y468">
        <v>0</v>
      </c>
      <c r="Z468">
        <v>19.989999999999998</v>
      </c>
      <c r="AA468" t="s">
        <v>44</v>
      </c>
      <c r="AB468" t="s">
        <v>45</v>
      </c>
      <c r="AC468" t="s">
        <v>46</v>
      </c>
      <c r="AD468" t="s">
        <v>37</v>
      </c>
      <c r="AE468" t="s">
        <v>37</v>
      </c>
      <c r="AF468" t="s">
        <v>1458</v>
      </c>
      <c r="AG468" t="s">
        <v>37</v>
      </c>
      <c r="AH468" t="s">
        <v>1455</v>
      </c>
      <c r="AI468" t="s">
        <v>37</v>
      </c>
    </row>
    <row r="469" spans="1:35" x14ac:dyDescent="0.25">
      <c r="A469" t="s">
        <v>1490</v>
      </c>
      <c r="B469" t="s">
        <v>34</v>
      </c>
      <c r="C469" t="s">
        <v>1491</v>
      </c>
      <c r="D469" t="s">
        <v>1492</v>
      </c>
      <c r="E469" t="s">
        <v>37</v>
      </c>
      <c r="F469" t="s">
        <v>1493</v>
      </c>
      <c r="G469" t="s">
        <v>39</v>
      </c>
      <c r="H469" t="s">
        <v>40</v>
      </c>
      <c r="I469" t="s">
        <v>41</v>
      </c>
      <c r="J469" t="s">
        <v>37</v>
      </c>
      <c r="K469" t="s">
        <v>37</v>
      </c>
      <c r="L469" t="s">
        <v>42</v>
      </c>
      <c r="M469" s="6">
        <v>45379.291666666664</v>
      </c>
      <c r="N469" t="s">
        <v>4264</v>
      </c>
      <c r="O469" s="1">
        <v>45379</v>
      </c>
      <c r="P469" s="1">
        <v>45378.596956018519</v>
      </c>
      <c r="Q469" t="s">
        <v>4264</v>
      </c>
      <c r="R469" s="6">
        <v>45379.416666666664</v>
      </c>
      <c r="S469" t="s">
        <v>43</v>
      </c>
      <c r="T469">
        <v>19.989999999999998</v>
      </c>
      <c r="U469">
        <v>0</v>
      </c>
      <c r="V469">
        <v>19.989999999999998</v>
      </c>
      <c r="W469">
        <v>0</v>
      </c>
      <c r="X469">
        <v>0</v>
      </c>
      <c r="Y469">
        <v>0</v>
      </c>
      <c r="Z469">
        <v>19.989999999999998</v>
      </c>
      <c r="AA469" t="s">
        <v>44</v>
      </c>
      <c r="AB469" t="s">
        <v>45</v>
      </c>
      <c r="AC469" t="s">
        <v>46</v>
      </c>
      <c r="AD469" t="s">
        <v>37</v>
      </c>
      <c r="AE469" t="s">
        <v>37</v>
      </c>
      <c r="AF469" t="s">
        <v>1494</v>
      </c>
      <c r="AG469" t="s">
        <v>37</v>
      </c>
      <c r="AH469" t="s">
        <v>1491</v>
      </c>
      <c r="AI469" t="s">
        <v>37</v>
      </c>
    </row>
    <row r="470" spans="1:35" x14ac:dyDescent="0.25">
      <c r="A470" t="s">
        <v>1500</v>
      </c>
      <c r="B470" t="s">
        <v>34</v>
      </c>
      <c r="C470" t="s">
        <v>1501</v>
      </c>
      <c r="D470" t="s">
        <v>1502</v>
      </c>
      <c r="E470" t="s">
        <v>37</v>
      </c>
      <c r="F470" t="s">
        <v>1503</v>
      </c>
      <c r="G470" t="s">
        <v>39</v>
      </c>
      <c r="H470" t="s">
        <v>40</v>
      </c>
      <c r="I470" t="s">
        <v>41</v>
      </c>
      <c r="J470" t="s">
        <v>37</v>
      </c>
      <c r="K470" t="s">
        <v>37</v>
      </c>
      <c r="L470" t="s">
        <v>42</v>
      </c>
      <c r="M470" s="6">
        <v>45379.291666666664</v>
      </c>
      <c r="N470" t="s">
        <v>4264</v>
      </c>
      <c r="O470" s="1">
        <v>45379</v>
      </c>
      <c r="P470" s="1">
        <v>45369.45989583333</v>
      </c>
      <c r="Q470" t="s">
        <v>4264</v>
      </c>
      <c r="R470" s="6">
        <v>45379.416666666664</v>
      </c>
      <c r="S470" t="s">
        <v>43</v>
      </c>
      <c r="T470">
        <v>19.989999999999998</v>
      </c>
      <c r="U470">
        <v>0</v>
      </c>
      <c r="V470">
        <v>19.989999999999998</v>
      </c>
      <c r="W470">
        <v>0</v>
      </c>
      <c r="X470">
        <v>0</v>
      </c>
      <c r="Y470">
        <v>0</v>
      </c>
      <c r="Z470">
        <v>19.989999999999998</v>
      </c>
      <c r="AA470" t="s">
        <v>44</v>
      </c>
      <c r="AB470" t="s">
        <v>45</v>
      </c>
      <c r="AC470" t="s">
        <v>46</v>
      </c>
      <c r="AD470" t="s">
        <v>37</v>
      </c>
      <c r="AE470" t="s">
        <v>37</v>
      </c>
      <c r="AF470" t="s">
        <v>1504</v>
      </c>
      <c r="AG470" t="s">
        <v>37</v>
      </c>
      <c r="AH470" t="s">
        <v>1501</v>
      </c>
      <c r="AI470" t="s">
        <v>37</v>
      </c>
    </row>
    <row r="471" spans="1:35" x14ac:dyDescent="0.25">
      <c r="A471" t="s">
        <v>1511</v>
      </c>
      <c r="B471" t="s">
        <v>34</v>
      </c>
      <c r="C471" t="s">
        <v>1512</v>
      </c>
      <c r="D471" t="s">
        <v>1513</v>
      </c>
      <c r="E471" t="s">
        <v>37</v>
      </c>
      <c r="F471" t="s">
        <v>1514</v>
      </c>
      <c r="G471" t="s">
        <v>39</v>
      </c>
      <c r="H471" t="s">
        <v>40</v>
      </c>
      <c r="I471" t="s">
        <v>41</v>
      </c>
      <c r="J471" t="s">
        <v>37</v>
      </c>
      <c r="K471" t="s">
        <v>37</v>
      </c>
      <c r="L471" t="s">
        <v>42</v>
      </c>
      <c r="M471" s="6">
        <v>45379.291666666664</v>
      </c>
      <c r="N471" t="s">
        <v>4264</v>
      </c>
      <c r="O471" s="1">
        <v>45379</v>
      </c>
      <c r="P471" s="1">
        <v>45378.759594907409</v>
      </c>
      <c r="Q471" t="s">
        <v>4264</v>
      </c>
      <c r="R471" s="6">
        <v>45379.416666666664</v>
      </c>
      <c r="S471" t="s">
        <v>43</v>
      </c>
      <c r="T471">
        <v>19.989999999999998</v>
      </c>
      <c r="U471">
        <v>0</v>
      </c>
      <c r="V471">
        <v>19.989999999999998</v>
      </c>
      <c r="W471">
        <v>0</v>
      </c>
      <c r="X471">
        <v>0</v>
      </c>
      <c r="Y471">
        <v>0</v>
      </c>
      <c r="Z471">
        <v>19.989999999999998</v>
      </c>
      <c r="AA471" t="s">
        <v>44</v>
      </c>
      <c r="AB471" t="s">
        <v>45</v>
      </c>
      <c r="AC471" t="s">
        <v>46</v>
      </c>
      <c r="AD471" t="s">
        <v>37</v>
      </c>
      <c r="AE471" t="s">
        <v>37</v>
      </c>
      <c r="AF471" t="s">
        <v>1515</v>
      </c>
      <c r="AG471" t="s">
        <v>37</v>
      </c>
      <c r="AH471" t="s">
        <v>1512</v>
      </c>
      <c r="AI471" t="s">
        <v>37</v>
      </c>
    </row>
    <row r="472" spans="1:35" x14ac:dyDescent="0.25">
      <c r="A472" t="s">
        <v>1516</v>
      </c>
      <c r="B472" t="s">
        <v>34</v>
      </c>
      <c r="C472" t="s">
        <v>1517</v>
      </c>
      <c r="D472" t="s">
        <v>1518</v>
      </c>
      <c r="E472" t="s">
        <v>37</v>
      </c>
      <c r="F472" t="s">
        <v>1519</v>
      </c>
      <c r="G472" t="s">
        <v>39</v>
      </c>
      <c r="H472" t="s">
        <v>40</v>
      </c>
      <c r="I472" t="s">
        <v>41</v>
      </c>
      <c r="J472" t="s">
        <v>37</v>
      </c>
      <c r="K472" t="s">
        <v>37</v>
      </c>
      <c r="L472" t="s">
        <v>42</v>
      </c>
      <c r="M472" s="6">
        <v>45379.291666666664</v>
      </c>
      <c r="N472" t="s">
        <v>4264</v>
      </c>
      <c r="O472" s="1">
        <v>45379</v>
      </c>
      <c r="P472" s="1">
        <v>45378.827060185184</v>
      </c>
      <c r="Q472" t="s">
        <v>4264</v>
      </c>
      <c r="R472" s="6">
        <v>45379.416666666664</v>
      </c>
      <c r="S472" t="s">
        <v>43</v>
      </c>
      <c r="T472">
        <v>39.979999999999997</v>
      </c>
      <c r="U472">
        <v>0</v>
      </c>
      <c r="V472">
        <v>39.979999999999997</v>
      </c>
      <c r="W472">
        <v>0</v>
      </c>
      <c r="X472">
        <v>0</v>
      </c>
      <c r="Y472">
        <v>0</v>
      </c>
      <c r="Z472">
        <v>39.979999999999997</v>
      </c>
      <c r="AA472" t="s">
        <v>44</v>
      </c>
      <c r="AB472" t="s">
        <v>45</v>
      </c>
      <c r="AC472" t="s">
        <v>46</v>
      </c>
      <c r="AD472" t="s">
        <v>37</v>
      </c>
      <c r="AE472" t="s">
        <v>37</v>
      </c>
      <c r="AF472" t="s">
        <v>1520</v>
      </c>
      <c r="AG472" t="s">
        <v>37</v>
      </c>
      <c r="AH472" t="s">
        <v>1517</v>
      </c>
      <c r="AI472" t="s">
        <v>37</v>
      </c>
    </row>
    <row r="473" spans="1:35" x14ac:dyDescent="0.25">
      <c r="A473" t="s">
        <v>1529</v>
      </c>
      <c r="B473" t="s">
        <v>34</v>
      </c>
      <c r="C473" t="s">
        <v>1530</v>
      </c>
      <c r="D473" t="s">
        <v>1531</v>
      </c>
      <c r="E473" t="s">
        <v>37</v>
      </c>
      <c r="F473" t="s">
        <v>1532</v>
      </c>
      <c r="G473" t="s">
        <v>39</v>
      </c>
      <c r="H473" t="s">
        <v>40</v>
      </c>
      <c r="I473" t="s">
        <v>41</v>
      </c>
      <c r="J473" t="s">
        <v>37</v>
      </c>
      <c r="K473" t="s">
        <v>37</v>
      </c>
      <c r="L473" t="s">
        <v>42</v>
      </c>
      <c r="M473" s="6">
        <v>45379.291666666664</v>
      </c>
      <c r="N473" t="s">
        <v>4264</v>
      </c>
      <c r="O473" s="1">
        <v>45379</v>
      </c>
      <c r="P473" s="1">
        <v>45378.954502314817</v>
      </c>
      <c r="Q473" t="s">
        <v>4264</v>
      </c>
      <c r="R473" s="6">
        <v>45379.416666666664</v>
      </c>
      <c r="S473" t="s">
        <v>43</v>
      </c>
      <c r="T473">
        <v>19.989999999999998</v>
      </c>
      <c r="U473">
        <v>0</v>
      </c>
      <c r="V473">
        <v>0</v>
      </c>
      <c r="W473">
        <v>0</v>
      </c>
      <c r="X473">
        <v>0</v>
      </c>
      <c r="Y473">
        <v>0</v>
      </c>
      <c r="Z473">
        <v>19.989999999999998</v>
      </c>
      <c r="AA473" t="s">
        <v>44</v>
      </c>
      <c r="AB473" t="s">
        <v>115</v>
      </c>
      <c r="AC473" t="s">
        <v>116</v>
      </c>
      <c r="AD473" t="s">
        <v>37</v>
      </c>
      <c r="AE473" t="s">
        <v>37</v>
      </c>
      <c r="AF473" t="s">
        <v>37</v>
      </c>
      <c r="AG473" t="s">
        <v>37</v>
      </c>
      <c r="AH473" t="s">
        <v>1530</v>
      </c>
      <c r="AI473" t="s">
        <v>37</v>
      </c>
    </row>
    <row r="474" spans="1:35" x14ac:dyDescent="0.25">
      <c r="A474" t="s">
        <v>1533</v>
      </c>
      <c r="B474" t="s">
        <v>34</v>
      </c>
      <c r="C474" t="s">
        <v>1530</v>
      </c>
      <c r="D474" t="s">
        <v>1531</v>
      </c>
      <c r="E474" t="s">
        <v>37</v>
      </c>
      <c r="F474" t="s">
        <v>1532</v>
      </c>
      <c r="G474" t="s">
        <v>39</v>
      </c>
      <c r="H474" t="s">
        <v>40</v>
      </c>
      <c r="I474" t="s">
        <v>41</v>
      </c>
      <c r="J474" t="s">
        <v>37</v>
      </c>
      <c r="K474" t="s">
        <v>37</v>
      </c>
      <c r="L474" t="s">
        <v>42</v>
      </c>
      <c r="M474" s="6">
        <v>45379.291666666664</v>
      </c>
      <c r="N474" t="s">
        <v>4264</v>
      </c>
      <c r="O474" s="1">
        <v>45379</v>
      </c>
      <c r="P474" s="1">
        <v>45378.957442129627</v>
      </c>
      <c r="Q474" t="s">
        <v>4264</v>
      </c>
      <c r="R474" s="6">
        <v>45379.416666666664</v>
      </c>
      <c r="S474" t="s">
        <v>43</v>
      </c>
      <c r="T474">
        <v>19.989999999999998</v>
      </c>
      <c r="U474">
        <v>0</v>
      </c>
      <c r="V474">
        <v>19.989999999999998</v>
      </c>
      <c r="W474">
        <v>0</v>
      </c>
      <c r="X474">
        <v>0</v>
      </c>
      <c r="Y474">
        <v>0</v>
      </c>
      <c r="Z474">
        <v>19.989999999999998</v>
      </c>
      <c r="AA474" t="s">
        <v>44</v>
      </c>
      <c r="AB474" t="s">
        <v>45</v>
      </c>
      <c r="AC474" t="s">
        <v>46</v>
      </c>
      <c r="AD474" t="s">
        <v>37</v>
      </c>
      <c r="AE474" t="s">
        <v>37</v>
      </c>
      <c r="AF474" t="s">
        <v>1534</v>
      </c>
      <c r="AG474" t="s">
        <v>37</v>
      </c>
      <c r="AH474" t="s">
        <v>1530</v>
      </c>
      <c r="AI474" t="s">
        <v>37</v>
      </c>
    </row>
    <row r="475" spans="1:35" x14ac:dyDescent="0.25">
      <c r="A475" t="s">
        <v>1683</v>
      </c>
      <c r="B475" t="s">
        <v>34</v>
      </c>
      <c r="C475" t="s">
        <v>1672</v>
      </c>
      <c r="D475" t="s">
        <v>1673</v>
      </c>
      <c r="E475" t="s">
        <v>37</v>
      </c>
      <c r="F475" t="s">
        <v>1674</v>
      </c>
      <c r="G475" t="s">
        <v>39</v>
      </c>
      <c r="H475" t="s">
        <v>40</v>
      </c>
      <c r="I475" t="s">
        <v>41</v>
      </c>
      <c r="J475" t="s">
        <v>37</v>
      </c>
      <c r="K475" t="s">
        <v>37</v>
      </c>
      <c r="L475" t="s">
        <v>42</v>
      </c>
      <c r="M475" s="6">
        <v>45379.291666666664</v>
      </c>
      <c r="N475" t="s">
        <v>4264</v>
      </c>
      <c r="O475" s="1">
        <v>45379</v>
      </c>
      <c r="P475" s="1">
        <v>45370.439351851855</v>
      </c>
      <c r="Q475" t="s">
        <v>4264</v>
      </c>
      <c r="R475" s="6">
        <v>45379.416666666664</v>
      </c>
      <c r="S475" t="s">
        <v>43</v>
      </c>
      <c r="T475">
        <v>19.989999999999998</v>
      </c>
      <c r="U475">
        <v>0</v>
      </c>
      <c r="V475">
        <v>19.989999999999998</v>
      </c>
      <c r="W475">
        <v>0</v>
      </c>
      <c r="X475">
        <v>0</v>
      </c>
      <c r="Y475">
        <v>0</v>
      </c>
      <c r="Z475">
        <v>19.989999999999998</v>
      </c>
      <c r="AA475" t="s">
        <v>44</v>
      </c>
      <c r="AB475" t="s">
        <v>45</v>
      </c>
      <c r="AC475" t="s">
        <v>46</v>
      </c>
      <c r="AD475" t="s">
        <v>37</v>
      </c>
      <c r="AE475" t="s">
        <v>37</v>
      </c>
      <c r="AF475" t="s">
        <v>1684</v>
      </c>
      <c r="AG475" t="s">
        <v>37</v>
      </c>
      <c r="AH475" t="s">
        <v>1676</v>
      </c>
      <c r="AI475" t="s">
        <v>37</v>
      </c>
    </row>
    <row r="476" spans="1:35" x14ac:dyDescent="0.25">
      <c r="A476" t="s">
        <v>1853</v>
      </c>
      <c r="B476" t="s">
        <v>34</v>
      </c>
      <c r="C476" t="s">
        <v>1797</v>
      </c>
      <c r="D476" t="s">
        <v>1798</v>
      </c>
      <c r="E476" t="s">
        <v>37</v>
      </c>
      <c r="F476" t="s">
        <v>1799</v>
      </c>
      <c r="G476" t="s">
        <v>39</v>
      </c>
      <c r="H476" t="s">
        <v>40</v>
      </c>
      <c r="I476" t="s">
        <v>41</v>
      </c>
      <c r="J476" t="s">
        <v>37</v>
      </c>
      <c r="K476" t="s">
        <v>37</v>
      </c>
      <c r="L476" t="s">
        <v>42</v>
      </c>
      <c r="M476" s="6">
        <v>45379.291666666664</v>
      </c>
      <c r="N476" t="s">
        <v>4264</v>
      </c>
      <c r="O476" s="1">
        <v>45379</v>
      </c>
      <c r="P476" s="1">
        <v>45372.535914351851</v>
      </c>
      <c r="Q476" t="s">
        <v>4264</v>
      </c>
      <c r="R476" s="6">
        <v>45379.416666666664</v>
      </c>
      <c r="S476" t="s">
        <v>43</v>
      </c>
      <c r="T476">
        <v>39.979999999999997</v>
      </c>
      <c r="U476">
        <v>0</v>
      </c>
      <c r="V476">
        <v>39.979999999999997</v>
      </c>
      <c r="W476">
        <v>0</v>
      </c>
      <c r="X476">
        <v>0</v>
      </c>
      <c r="Y476">
        <v>0</v>
      </c>
      <c r="Z476">
        <v>39.979999999999997</v>
      </c>
      <c r="AA476" t="s">
        <v>44</v>
      </c>
      <c r="AB476" t="s">
        <v>45</v>
      </c>
      <c r="AC476" t="s">
        <v>46</v>
      </c>
      <c r="AD476" t="s">
        <v>37</v>
      </c>
      <c r="AE476" t="s">
        <v>37</v>
      </c>
      <c r="AF476" t="s">
        <v>1800</v>
      </c>
      <c r="AG476" t="s">
        <v>37</v>
      </c>
      <c r="AH476" t="s">
        <v>1797</v>
      </c>
      <c r="AI476" t="s">
        <v>37</v>
      </c>
    </row>
    <row r="477" spans="1:35" x14ac:dyDescent="0.25">
      <c r="A477" t="s">
        <v>1535</v>
      </c>
      <c r="B477" t="s">
        <v>34</v>
      </c>
      <c r="C477" t="s">
        <v>1177</v>
      </c>
      <c r="D477" t="s">
        <v>1178</v>
      </c>
      <c r="E477" t="s">
        <v>37</v>
      </c>
      <c r="F477" t="s">
        <v>1179</v>
      </c>
      <c r="G477" t="s">
        <v>39</v>
      </c>
      <c r="H477" t="s">
        <v>40</v>
      </c>
      <c r="I477" t="s">
        <v>41</v>
      </c>
      <c r="J477" t="s">
        <v>37</v>
      </c>
      <c r="K477" t="s">
        <v>37</v>
      </c>
      <c r="L477" t="s">
        <v>42</v>
      </c>
      <c r="M477" s="6">
        <v>45379.372812499998</v>
      </c>
      <c r="N477" t="s">
        <v>4264</v>
      </c>
      <c r="O477" s="1">
        <v>45379.081145833334</v>
      </c>
      <c r="P477" s="1">
        <v>45379.372858796298</v>
      </c>
      <c r="Q477" t="s">
        <v>4264</v>
      </c>
      <c r="R477" s="6">
        <v>45379.416666666664</v>
      </c>
      <c r="S477" t="s">
        <v>43</v>
      </c>
      <c r="T477">
        <v>19.989999999999998</v>
      </c>
      <c r="U477">
        <v>0</v>
      </c>
      <c r="V477">
        <v>19.989999999999998</v>
      </c>
      <c r="W477">
        <v>0</v>
      </c>
      <c r="X477">
        <v>0</v>
      </c>
      <c r="Y477">
        <v>0</v>
      </c>
      <c r="Z477">
        <v>19.989999999999998</v>
      </c>
      <c r="AA477" t="s">
        <v>44</v>
      </c>
      <c r="AB477" t="s">
        <v>45</v>
      </c>
      <c r="AC477" t="s">
        <v>46</v>
      </c>
      <c r="AD477" t="s">
        <v>37</v>
      </c>
      <c r="AE477" t="s">
        <v>37</v>
      </c>
      <c r="AF477" t="s">
        <v>1536</v>
      </c>
      <c r="AG477" t="s">
        <v>37</v>
      </c>
      <c r="AH477" t="s">
        <v>1177</v>
      </c>
      <c r="AI477" t="s">
        <v>37</v>
      </c>
    </row>
    <row r="478" spans="1:35" x14ac:dyDescent="0.25">
      <c r="A478" t="s">
        <v>1270</v>
      </c>
      <c r="B478" t="s">
        <v>34</v>
      </c>
      <c r="C478" t="s">
        <v>1263</v>
      </c>
      <c r="D478" t="s">
        <v>1264</v>
      </c>
      <c r="E478" t="s">
        <v>37</v>
      </c>
      <c r="F478" t="s">
        <v>1265</v>
      </c>
      <c r="G478" t="s">
        <v>39</v>
      </c>
      <c r="H478" t="s">
        <v>40</v>
      </c>
      <c r="I478" t="s">
        <v>41</v>
      </c>
      <c r="J478" t="s">
        <v>37</v>
      </c>
      <c r="K478" t="s">
        <v>37</v>
      </c>
      <c r="L478" t="s">
        <v>42</v>
      </c>
      <c r="M478" s="6">
        <v>45380.291666666664</v>
      </c>
      <c r="N478" t="s">
        <v>4268</v>
      </c>
      <c r="O478" s="1">
        <v>45380</v>
      </c>
      <c r="P478" s="1">
        <v>45305.892638888887</v>
      </c>
      <c r="Q478" t="s">
        <v>4268</v>
      </c>
      <c r="R478" s="6">
        <v>45380.416666666664</v>
      </c>
      <c r="S478" t="s">
        <v>43</v>
      </c>
      <c r="T478">
        <v>95.19</v>
      </c>
      <c r="U478">
        <v>0</v>
      </c>
      <c r="V478">
        <v>95.19</v>
      </c>
      <c r="W478">
        <v>4.76</v>
      </c>
      <c r="X478">
        <v>0</v>
      </c>
      <c r="Y478">
        <v>0</v>
      </c>
      <c r="Z478">
        <v>99.95</v>
      </c>
      <c r="AA478" t="s">
        <v>44</v>
      </c>
      <c r="AB478" t="s">
        <v>45</v>
      </c>
      <c r="AC478" t="s">
        <v>46</v>
      </c>
      <c r="AD478" t="s">
        <v>37</v>
      </c>
      <c r="AE478" t="s">
        <v>37</v>
      </c>
      <c r="AF478" t="s">
        <v>1266</v>
      </c>
      <c r="AG478" t="s">
        <v>37</v>
      </c>
      <c r="AH478" t="s">
        <v>1263</v>
      </c>
      <c r="AI478" t="s">
        <v>37</v>
      </c>
    </row>
    <row r="479" spans="1:35" x14ac:dyDescent="0.25">
      <c r="A479" t="s">
        <v>1521</v>
      </c>
      <c r="B479" t="s">
        <v>34</v>
      </c>
      <c r="C479" t="s">
        <v>1517</v>
      </c>
      <c r="D479" t="s">
        <v>1518</v>
      </c>
      <c r="E479" t="s">
        <v>37</v>
      </c>
      <c r="F479" t="s">
        <v>1519</v>
      </c>
      <c r="G479" t="s">
        <v>39</v>
      </c>
      <c r="H479" t="s">
        <v>40</v>
      </c>
      <c r="I479" t="s">
        <v>41</v>
      </c>
      <c r="J479" t="s">
        <v>37</v>
      </c>
      <c r="K479" t="s">
        <v>37</v>
      </c>
      <c r="L479" t="s">
        <v>42</v>
      </c>
      <c r="M479" s="6">
        <v>45380.291666666664</v>
      </c>
      <c r="N479" t="s">
        <v>4268</v>
      </c>
      <c r="O479" s="1">
        <v>45380</v>
      </c>
      <c r="P479" s="1">
        <v>45378.827060185184</v>
      </c>
      <c r="Q479" t="s">
        <v>4268</v>
      </c>
      <c r="R479" s="6">
        <v>45380.416666666664</v>
      </c>
      <c r="S479" t="s">
        <v>43</v>
      </c>
      <c r="T479">
        <v>39.979999999999997</v>
      </c>
      <c r="U479">
        <v>0</v>
      </c>
      <c r="V479">
        <v>39.979999999999997</v>
      </c>
      <c r="W479">
        <v>0</v>
      </c>
      <c r="X479">
        <v>0</v>
      </c>
      <c r="Y479">
        <v>0</v>
      </c>
      <c r="Z479">
        <v>39.979999999999997</v>
      </c>
      <c r="AA479" t="s">
        <v>44</v>
      </c>
      <c r="AB479" t="s">
        <v>45</v>
      </c>
      <c r="AC479" t="s">
        <v>46</v>
      </c>
      <c r="AD479" t="s">
        <v>37</v>
      </c>
      <c r="AE479" t="s">
        <v>37</v>
      </c>
      <c r="AF479" t="s">
        <v>1520</v>
      </c>
      <c r="AG479" t="s">
        <v>37</v>
      </c>
      <c r="AH479" t="s">
        <v>1517</v>
      </c>
      <c r="AI479" t="s">
        <v>37</v>
      </c>
    </row>
    <row r="480" spans="1:35" x14ac:dyDescent="0.25">
      <c r="A480" t="s">
        <v>1524</v>
      </c>
      <c r="B480" t="s">
        <v>34</v>
      </c>
      <c r="C480" t="s">
        <v>1525</v>
      </c>
      <c r="D480" t="s">
        <v>1526</v>
      </c>
      <c r="E480" t="s">
        <v>37</v>
      </c>
      <c r="F480" t="s">
        <v>1527</v>
      </c>
      <c r="G480" t="s">
        <v>39</v>
      </c>
      <c r="H480" t="s">
        <v>40</v>
      </c>
      <c r="I480" t="s">
        <v>41</v>
      </c>
      <c r="J480" t="s">
        <v>37</v>
      </c>
      <c r="K480" t="s">
        <v>37</v>
      </c>
      <c r="L480" t="s">
        <v>42</v>
      </c>
      <c r="M480" s="6">
        <v>45380.291666666664</v>
      </c>
      <c r="N480" t="s">
        <v>4268</v>
      </c>
      <c r="O480" s="1">
        <v>45380</v>
      </c>
      <c r="P480" s="1">
        <v>45378.869837962964</v>
      </c>
      <c r="Q480" t="s">
        <v>4268</v>
      </c>
      <c r="R480" s="6">
        <v>45380.416666666664</v>
      </c>
      <c r="S480" t="s">
        <v>43</v>
      </c>
      <c r="T480">
        <v>19.989999999999998</v>
      </c>
      <c r="U480">
        <v>0</v>
      </c>
      <c r="V480">
        <v>19.989999999999998</v>
      </c>
      <c r="W480">
        <v>0</v>
      </c>
      <c r="X480">
        <v>0</v>
      </c>
      <c r="Y480">
        <v>0</v>
      </c>
      <c r="Z480">
        <v>19.989999999999998</v>
      </c>
      <c r="AA480" t="s">
        <v>44</v>
      </c>
      <c r="AB480" t="s">
        <v>45</v>
      </c>
      <c r="AC480" t="s">
        <v>46</v>
      </c>
      <c r="AD480" t="s">
        <v>37</v>
      </c>
      <c r="AE480" t="s">
        <v>37</v>
      </c>
      <c r="AF480" t="s">
        <v>1528</v>
      </c>
      <c r="AG480" t="s">
        <v>37</v>
      </c>
      <c r="AH480" t="s">
        <v>1525</v>
      </c>
      <c r="AI480" t="s">
        <v>37</v>
      </c>
    </row>
    <row r="481" spans="1:35" x14ac:dyDescent="0.25">
      <c r="A481" t="s">
        <v>1547</v>
      </c>
      <c r="B481" t="s">
        <v>34</v>
      </c>
      <c r="C481" t="s">
        <v>1548</v>
      </c>
      <c r="D481" t="s">
        <v>1549</v>
      </c>
      <c r="E481" t="s">
        <v>37</v>
      </c>
      <c r="F481" t="s">
        <v>1550</v>
      </c>
      <c r="G481" t="s">
        <v>39</v>
      </c>
      <c r="H481" t="s">
        <v>40</v>
      </c>
      <c r="I481" t="s">
        <v>41</v>
      </c>
      <c r="J481" t="s">
        <v>37</v>
      </c>
      <c r="K481" t="s">
        <v>37</v>
      </c>
      <c r="L481" t="s">
        <v>42</v>
      </c>
      <c r="M481" s="6">
        <v>45380.291666666664</v>
      </c>
      <c r="N481" t="s">
        <v>4268</v>
      </c>
      <c r="O481" s="1">
        <v>45380</v>
      </c>
      <c r="P481" s="1">
        <v>45379.717812499999</v>
      </c>
      <c r="Q481" t="s">
        <v>4268</v>
      </c>
      <c r="R481" s="6">
        <v>45380.416666666664</v>
      </c>
      <c r="S481" t="s">
        <v>43</v>
      </c>
      <c r="T481">
        <v>19.989999999999998</v>
      </c>
      <c r="U481">
        <v>0</v>
      </c>
      <c r="V481">
        <v>19.989999999999998</v>
      </c>
      <c r="W481">
        <v>0</v>
      </c>
      <c r="X481">
        <v>0</v>
      </c>
      <c r="Y481">
        <v>0</v>
      </c>
      <c r="Z481">
        <v>19.989999999999998</v>
      </c>
      <c r="AA481" t="s">
        <v>44</v>
      </c>
      <c r="AB481" t="s">
        <v>45</v>
      </c>
      <c r="AC481" t="s">
        <v>46</v>
      </c>
      <c r="AD481" t="s">
        <v>37</v>
      </c>
      <c r="AE481" t="s">
        <v>37</v>
      </c>
      <c r="AF481" t="s">
        <v>1551</v>
      </c>
      <c r="AG481" t="s">
        <v>37</v>
      </c>
      <c r="AH481" t="s">
        <v>1548</v>
      </c>
      <c r="AI481" t="s">
        <v>37</v>
      </c>
    </row>
    <row r="482" spans="1:35" x14ac:dyDescent="0.25">
      <c r="A482" t="s">
        <v>1562</v>
      </c>
      <c r="B482" t="s">
        <v>34</v>
      </c>
      <c r="C482" t="s">
        <v>1563</v>
      </c>
      <c r="D482" t="s">
        <v>1564</v>
      </c>
      <c r="E482" t="s">
        <v>37</v>
      </c>
      <c r="F482" t="s">
        <v>1565</v>
      </c>
      <c r="G482" t="s">
        <v>39</v>
      </c>
      <c r="H482" t="s">
        <v>40</v>
      </c>
      <c r="I482" t="s">
        <v>41</v>
      </c>
      <c r="J482" t="s">
        <v>37</v>
      </c>
      <c r="K482" t="s">
        <v>37</v>
      </c>
      <c r="L482" t="s">
        <v>42</v>
      </c>
      <c r="M482" s="6">
        <v>45380.291666666664</v>
      </c>
      <c r="N482" t="s">
        <v>4268</v>
      </c>
      <c r="O482" s="1">
        <v>45380</v>
      </c>
      <c r="P482" s="1">
        <v>45379.911643518521</v>
      </c>
      <c r="Q482" t="s">
        <v>4268</v>
      </c>
      <c r="R482" s="6">
        <v>45380.416666666664</v>
      </c>
      <c r="S482" t="s">
        <v>43</v>
      </c>
      <c r="T482">
        <v>19.989999999999998</v>
      </c>
      <c r="U482">
        <v>0</v>
      </c>
      <c r="V482">
        <v>19.989999999999998</v>
      </c>
      <c r="W482">
        <v>0</v>
      </c>
      <c r="X482">
        <v>0</v>
      </c>
      <c r="Y482">
        <v>0</v>
      </c>
      <c r="Z482">
        <v>19.989999999999998</v>
      </c>
      <c r="AA482" t="s">
        <v>44</v>
      </c>
      <c r="AB482" t="s">
        <v>45</v>
      </c>
      <c r="AC482" t="s">
        <v>46</v>
      </c>
      <c r="AD482" t="s">
        <v>37</v>
      </c>
      <c r="AE482" t="s">
        <v>37</v>
      </c>
      <c r="AF482" t="s">
        <v>1566</v>
      </c>
      <c r="AG482" t="s">
        <v>37</v>
      </c>
      <c r="AH482" t="s">
        <v>1563</v>
      </c>
      <c r="AI482" t="s">
        <v>37</v>
      </c>
    </row>
    <row r="483" spans="1:35" x14ac:dyDescent="0.25">
      <c r="A483" t="s">
        <v>1567</v>
      </c>
      <c r="B483" t="s">
        <v>34</v>
      </c>
      <c r="C483" t="s">
        <v>1568</v>
      </c>
      <c r="D483" t="s">
        <v>1569</v>
      </c>
      <c r="E483" t="s">
        <v>37</v>
      </c>
      <c r="F483" t="s">
        <v>1570</v>
      </c>
      <c r="G483" t="s">
        <v>39</v>
      </c>
      <c r="H483" t="s">
        <v>40</v>
      </c>
      <c r="I483" t="s">
        <v>41</v>
      </c>
      <c r="J483" t="s">
        <v>37</v>
      </c>
      <c r="K483" t="s">
        <v>37</v>
      </c>
      <c r="L483" t="s">
        <v>42</v>
      </c>
      <c r="M483" s="6">
        <v>45380.291666666664</v>
      </c>
      <c r="N483" t="s">
        <v>4268</v>
      </c>
      <c r="O483" s="1">
        <v>45380</v>
      </c>
      <c r="P483" s="1">
        <v>45379.922442129631</v>
      </c>
      <c r="Q483" t="s">
        <v>4268</v>
      </c>
      <c r="R483" s="6">
        <v>45380.416666666664</v>
      </c>
      <c r="S483" t="s">
        <v>43</v>
      </c>
      <c r="T483">
        <v>19.989999999999998</v>
      </c>
      <c r="U483">
        <v>0</v>
      </c>
      <c r="V483">
        <v>19.989999999999998</v>
      </c>
      <c r="W483">
        <v>0</v>
      </c>
      <c r="X483">
        <v>0</v>
      </c>
      <c r="Y483">
        <v>0</v>
      </c>
      <c r="Z483">
        <v>19.989999999999998</v>
      </c>
      <c r="AA483" t="s">
        <v>44</v>
      </c>
      <c r="AB483" t="s">
        <v>45</v>
      </c>
      <c r="AC483" t="s">
        <v>46</v>
      </c>
      <c r="AD483" t="s">
        <v>37</v>
      </c>
      <c r="AE483" t="s">
        <v>37</v>
      </c>
      <c r="AF483" t="s">
        <v>1571</v>
      </c>
      <c r="AG483" t="s">
        <v>37</v>
      </c>
      <c r="AH483" t="s">
        <v>1568</v>
      </c>
      <c r="AI483" t="s">
        <v>37</v>
      </c>
    </row>
    <row r="484" spans="1:35" x14ac:dyDescent="0.25">
      <c r="A484" t="s">
        <v>1605</v>
      </c>
      <c r="B484" t="s">
        <v>34</v>
      </c>
      <c r="C484" t="s">
        <v>1606</v>
      </c>
      <c r="D484" t="s">
        <v>1607</v>
      </c>
      <c r="E484" t="s">
        <v>37</v>
      </c>
      <c r="F484" t="s">
        <v>1608</v>
      </c>
      <c r="G484" t="s">
        <v>39</v>
      </c>
      <c r="H484" t="s">
        <v>40</v>
      </c>
      <c r="I484" t="s">
        <v>41</v>
      </c>
      <c r="J484" t="s">
        <v>37</v>
      </c>
      <c r="K484" t="s">
        <v>37</v>
      </c>
      <c r="L484" t="s">
        <v>42</v>
      </c>
      <c r="M484" s="6">
        <v>45380.291666666664</v>
      </c>
      <c r="N484" t="s">
        <v>4268</v>
      </c>
      <c r="O484" s="1">
        <v>45380</v>
      </c>
      <c r="P484" s="1">
        <v>45359.477916666663</v>
      </c>
      <c r="Q484" t="s">
        <v>4268</v>
      </c>
      <c r="R484" s="6">
        <v>45380.416666666664</v>
      </c>
      <c r="S484" t="s">
        <v>43</v>
      </c>
      <c r="T484">
        <v>19.989999999999998</v>
      </c>
      <c r="U484">
        <v>0</v>
      </c>
      <c r="V484">
        <v>19.989999999999998</v>
      </c>
      <c r="W484">
        <v>0</v>
      </c>
      <c r="X484">
        <v>0</v>
      </c>
      <c r="Y484">
        <v>0</v>
      </c>
      <c r="Z484">
        <v>19.989999999999998</v>
      </c>
      <c r="AA484" t="s">
        <v>44</v>
      </c>
      <c r="AB484" t="s">
        <v>45</v>
      </c>
      <c r="AC484" t="s">
        <v>46</v>
      </c>
      <c r="AD484" t="s">
        <v>37</v>
      </c>
      <c r="AE484" t="s">
        <v>37</v>
      </c>
      <c r="AF484" t="s">
        <v>1609</v>
      </c>
      <c r="AG484" t="s">
        <v>37</v>
      </c>
      <c r="AH484" t="s">
        <v>1606</v>
      </c>
      <c r="AI484" t="s">
        <v>37</v>
      </c>
    </row>
    <row r="485" spans="1:35" x14ac:dyDescent="0.25">
      <c r="A485" t="s">
        <v>1624</v>
      </c>
      <c r="B485" t="s">
        <v>34</v>
      </c>
      <c r="C485" t="s">
        <v>1625</v>
      </c>
      <c r="D485" t="s">
        <v>1626</v>
      </c>
      <c r="E485" t="s">
        <v>37</v>
      </c>
      <c r="F485" t="s">
        <v>1627</v>
      </c>
      <c r="G485" t="s">
        <v>39</v>
      </c>
      <c r="H485" t="s">
        <v>40</v>
      </c>
      <c r="I485" t="s">
        <v>41</v>
      </c>
      <c r="J485" t="s">
        <v>37</v>
      </c>
      <c r="K485" t="s">
        <v>37</v>
      </c>
      <c r="L485" t="s">
        <v>42</v>
      </c>
      <c r="M485" s="6">
        <v>45380.291666666664</v>
      </c>
      <c r="N485" t="s">
        <v>4268</v>
      </c>
      <c r="O485" s="1">
        <v>45380</v>
      </c>
      <c r="P485" s="1">
        <v>45380.414398148147</v>
      </c>
      <c r="Q485" t="s">
        <v>4268</v>
      </c>
      <c r="R485" s="6">
        <v>45380.416666666664</v>
      </c>
      <c r="S485" t="s">
        <v>43</v>
      </c>
      <c r="T485">
        <v>24.99</v>
      </c>
      <c r="U485">
        <v>0</v>
      </c>
      <c r="V485">
        <v>24.99</v>
      </c>
      <c r="W485">
        <v>0</v>
      </c>
      <c r="X485">
        <v>0</v>
      </c>
      <c r="Y485">
        <v>0</v>
      </c>
      <c r="Z485">
        <v>24.99</v>
      </c>
      <c r="AA485" t="s">
        <v>44</v>
      </c>
      <c r="AB485" t="s">
        <v>45</v>
      </c>
      <c r="AC485" t="s">
        <v>46</v>
      </c>
      <c r="AD485" t="s">
        <v>37</v>
      </c>
      <c r="AE485" t="s">
        <v>37</v>
      </c>
      <c r="AF485" t="s">
        <v>1628</v>
      </c>
      <c r="AG485" t="s">
        <v>37</v>
      </c>
      <c r="AH485" t="s">
        <v>1629</v>
      </c>
      <c r="AI485" t="s">
        <v>37</v>
      </c>
    </row>
    <row r="486" spans="1:35" x14ac:dyDescent="0.25">
      <c r="A486" t="s">
        <v>1630</v>
      </c>
      <c r="B486" t="s">
        <v>34</v>
      </c>
      <c r="C486" t="s">
        <v>1631</v>
      </c>
      <c r="D486" t="s">
        <v>1632</v>
      </c>
      <c r="E486" t="s">
        <v>37</v>
      </c>
      <c r="F486" t="s">
        <v>1633</v>
      </c>
      <c r="G486" t="s">
        <v>39</v>
      </c>
      <c r="H486" t="s">
        <v>40</v>
      </c>
      <c r="I486" t="s">
        <v>41</v>
      </c>
      <c r="J486" t="s">
        <v>37</v>
      </c>
      <c r="K486" t="s">
        <v>37</v>
      </c>
      <c r="L486" t="s">
        <v>42</v>
      </c>
      <c r="M486" s="6">
        <v>45380.291666666664</v>
      </c>
      <c r="N486" t="s">
        <v>4268</v>
      </c>
      <c r="O486" s="1">
        <v>45380</v>
      </c>
      <c r="P486" s="1">
        <v>45380.438287037039</v>
      </c>
      <c r="Q486" t="s">
        <v>4268</v>
      </c>
      <c r="R486" s="6">
        <v>45380.416666666664</v>
      </c>
      <c r="S486" t="s">
        <v>43</v>
      </c>
      <c r="T486">
        <v>24.99</v>
      </c>
      <c r="U486">
        <v>0</v>
      </c>
      <c r="V486">
        <v>24.99</v>
      </c>
      <c r="W486">
        <v>0</v>
      </c>
      <c r="X486">
        <v>0</v>
      </c>
      <c r="Y486">
        <v>0</v>
      </c>
      <c r="Z486">
        <v>24.99</v>
      </c>
      <c r="AA486" t="s">
        <v>44</v>
      </c>
      <c r="AB486" t="s">
        <v>45</v>
      </c>
      <c r="AC486" t="s">
        <v>46</v>
      </c>
      <c r="AD486" t="s">
        <v>37</v>
      </c>
      <c r="AE486" t="s">
        <v>37</v>
      </c>
      <c r="AF486" t="s">
        <v>1634</v>
      </c>
      <c r="AG486" t="s">
        <v>37</v>
      </c>
      <c r="AH486" t="s">
        <v>1631</v>
      </c>
      <c r="AI486" t="s">
        <v>37</v>
      </c>
    </row>
    <row r="487" spans="1:35" x14ac:dyDescent="0.25">
      <c r="A487" t="s">
        <v>1671</v>
      </c>
      <c r="B487" t="s">
        <v>34</v>
      </c>
      <c r="C487" t="s">
        <v>1672</v>
      </c>
      <c r="D487" t="s">
        <v>1673</v>
      </c>
      <c r="E487" t="s">
        <v>37</v>
      </c>
      <c r="F487" t="s">
        <v>1674</v>
      </c>
      <c r="G487" t="s">
        <v>39</v>
      </c>
      <c r="H487" t="s">
        <v>40</v>
      </c>
      <c r="I487" t="s">
        <v>41</v>
      </c>
      <c r="J487" t="s">
        <v>37</v>
      </c>
      <c r="K487" t="s">
        <v>37</v>
      </c>
      <c r="L487" t="s">
        <v>42</v>
      </c>
      <c r="M487" s="6">
        <v>45380.291666666664</v>
      </c>
      <c r="N487" t="s">
        <v>4268</v>
      </c>
      <c r="O487" s="1">
        <v>45380</v>
      </c>
      <c r="P487" s="1">
        <v>45370.438333333332</v>
      </c>
      <c r="Q487" t="s">
        <v>4268</v>
      </c>
      <c r="R487" s="6">
        <v>45380.416666666664</v>
      </c>
      <c r="S487" t="s">
        <v>43</v>
      </c>
      <c r="T487">
        <v>19.989999999999998</v>
      </c>
      <c r="U487">
        <v>0</v>
      </c>
      <c r="V487">
        <v>19.989999999999998</v>
      </c>
      <c r="W487">
        <v>0</v>
      </c>
      <c r="X487">
        <v>0</v>
      </c>
      <c r="Y487">
        <v>0</v>
      </c>
      <c r="Z487">
        <v>19.989999999999998</v>
      </c>
      <c r="AA487" t="s">
        <v>44</v>
      </c>
      <c r="AB487" t="s">
        <v>45</v>
      </c>
      <c r="AC487" t="s">
        <v>46</v>
      </c>
      <c r="AD487" t="s">
        <v>37</v>
      </c>
      <c r="AE487" t="s">
        <v>37</v>
      </c>
      <c r="AF487" t="s">
        <v>1675</v>
      </c>
      <c r="AG487" t="s">
        <v>37</v>
      </c>
      <c r="AH487" t="s">
        <v>1676</v>
      </c>
      <c r="AI487" t="s">
        <v>37</v>
      </c>
    </row>
    <row r="488" spans="1:35" x14ac:dyDescent="0.25">
      <c r="A488" t="s">
        <v>1777</v>
      </c>
      <c r="B488" t="s">
        <v>34</v>
      </c>
      <c r="C488" t="s">
        <v>107</v>
      </c>
      <c r="D488" t="s">
        <v>108</v>
      </c>
      <c r="E488" t="s">
        <v>37</v>
      </c>
      <c r="F488" t="s">
        <v>109</v>
      </c>
      <c r="G488" t="s">
        <v>39</v>
      </c>
      <c r="H488" t="s">
        <v>40</v>
      </c>
      <c r="I488" t="s">
        <v>41</v>
      </c>
      <c r="J488" t="s">
        <v>37</v>
      </c>
      <c r="K488" t="s">
        <v>37</v>
      </c>
      <c r="L488" t="s">
        <v>42</v>
      </c>
      <c r="M488" s="6">
        <v>45380.291666666664</v>
      </c>
      <c r="N488" t="s">
        <v>4268</v>
      </c>
      <c r="O488" s="1">
        <v>45380</v>
      </c>
      <c r="P488" s="1">
        <v>45371.790937500002</v>
      </c>
      <c r="Q488" t="s">
        <v>4268</v>
      </c>
      <c r="R488" s="6">
        <v>45380.416666666664</v>
      </c>
      <c r="S488" t="s">
        <v>43</v>
      </c>
      <c r="T488">
        <v>19.989999999999998</v>
      </c>
      <c r="U488">
        <v>0</v>
      </c>
      <c r="V488">
        <v>19.989999999999998</v>
      </c>
      <c r="W488">
        <v>0</v>
      </c>
      <c r="X488">
        <v>0</v>
      </c>
      <c r="Y488">
        <v>0</v>
      </c>
      <c r="Z488">
        <v>19.989999999999998</v>
      </c>
      <c r="AA488" t="s">
        <v>44</v>
      </c>
      <c r="AB488" t="s">
        <v>45</v>
      </c>
      <c r="AC488" t="s">
        <v>46</v>
      </c>
      <c r="AD488" t="s">
        <v>37</v>
      </c>
      <c r="AE488" t="s">
        <v>37</v>
      </c>
      <c r="AF488" t="s">
        <v>1778</v>
      </c>
      <c r="AG488" t="s">
        <v>37</v>
      </c>
      <c r="AH488" t="s">
        <v>107</v>
      </c>
      <c r="AI488" t="s">
        <v>37</v>
      </c>
    </row>
    <row r="489" spans="1:35" x14ac:dyDescent="0.25">
      <c r="A489" t="s">
        <v>1599</v>
      </c>
      <c r="B489" t="s">
        <v>34</v>
      </c>
      <c r="C489" t="s">
        <v>1600</v>
      </c>
      <c r="D489" t="s">
        <v>1601</v>
      </c>
      <c r="E489" t="s">
        <v>37</v>
      </c>
      <c r="F489" t="s">
        <v>1602</v>
      </c>
      <c r="G489" t="s">
        <v>39</v>
      </c>
      <c r="H489" t="s">
        <v>40</v>
      </c>
      <c r="I489" t="s">
        <v>41</v>
      </c>
      <c r="J489" t="s">
        <v>37</v>
      </c>
      <c r="K489" t="s">
        <v>37</v>
      </c>
      <c r="L489" t="s">
        <v>42</v>
      </c>
      <c r="M489" s="6">
        <v>45380.321597222224</v>
      </c>
      <c r="N489" t="s">
        <v>4268</v>
      </c>
      <c r="O489" s="1">
        <v>45380.029930555553</v>
      </c>
      <c r="P489" s="1">
        <v>45380.321608796294</v>
      </c>
      <c r="Q489" t="s">
        <v>4268</v>
      </c>
      <c r="R489" s="6">
        <v>45380.416666666664</v>
      </c>
      <c r="S489" t="s">
        <v>43</v>
      </c>
      <c r="T489">
        <v>24.99</v>
      </c>
      <c r="U489">
        <v>0</v>
      </c>
      <c r="V489">
        <v>0</v>
      </c>
      <c r="W489">
        <v>0</v>
      </c>
      <c r="X489">
        <v>0</v>
      </c>
      <c r="Y489">
        <v>0</v>
      </c>
      <c r="Z489">
        <v>24.99</v>
      </c>
      <c r="AA489" t="s">
        <v>44</v>
      </c>
      <c r="AB489" t="s">
        <v>115</v>
      </c>
      <c r="AC489" t="s">
        <v>116</v>
      </c>
      <c r="AD489" t="s">
        <v>37</v>
      </c>
      <c r="AE489" t="s">
        <v>37</v>
      </c>
      <c r="AF489" t="s">
        <v>37</v>
      </c>
      <c r="AG489" t="s">
        <v>37</v>
      </c>
      <c r="AH489" t="s">
        <v>1600</v>
      </c>
      <c r="AI489" t="s">
        <v>37</v>
      </c>
    </row>
    <row r="490" spans="1:35" x14ac:dyDescent="0.25">
      <c r="A490" t="s">
        <v>1603</v>
      </c>
      <c r="B490" t="s">
        <v>34</v>
      </c>
      <c r="C490" t="s">
        <v>1600</v>
      </c>
      <c r="D490" t="s">
        <v>1601</v>
      </c>
      <c r="E490" t="s">
        <v>37</v>
      </c>
      <c r="F490" t="s">
        <v>1602</v>
      </c>
      <c r="G490" t="s">
        <v>39</v>
      </c>
      <c r="H490" t="s">
        <v>40</v>
      </c>
      <c r="I490" t="s">
        <v>41</v>
      </c>
      <c r="J490" t="s">
        <v>37</v>
      </c>
      <c r="K490" t="s">
        <v>37</v>
      </c>
      <c r="L490" t="s">
        <v>42</v>
      </c>
      <c r="M490" s="6">
        <v>45380.322395833333</v>
      </c>
      <c r="N490" t="s">
        <v>4268</v>
      </c>
      <c r="O490" s="1">
        <v>45380.030729166669</v>
      </c>
      <c r="P490" s="1">
        <v>45380.32240740741</v>
      </c>
      <c r="Q490" t="s">
        <v>4268</v>
      </c>
      <c r="R490" s="6">
        <v>45380.416666666664</v>
      </c>
      <c r="S490" t="s">
        <v>43</v>
      </c>
      <c r="T490">
        <v>24.99</v>
      </c>
      <c r="U490">
        <v>0</v>
      </c>
      <c r="V490">
        <v>0</v>
      </c>
      <c r="W490">
        <v>0</v>
      </c>
      <c r="X490">
        <v>0</v>
      </c>
      <c r="Y490">
        <v>0</v>
      </c>
      <c r="Z490">
        <v>24.99</v>
      </c>
      <c r="AA490" t="s">
        <v>44</v>
      </c>
      <c r="AB490" t="s">
        <v>115</v>
      </c>
      <c r="AC490" t="s">
        <v>116</v>
      </c>
      <c r="AD490" t="s">
        <v>37</v>
      </c>
      <c r="AE490" t="s">
        <v>37</v>
      </c>
      <c r="AF490" t="s">
        <v>37</v>
      </c>
      <c r="AG490" t="s">
        <v>37</v>
      </c>
      <c r="AH490" t="s">
        <v>1600</v>
      </c>
      <c r="AI490" t="s">
        <v>37</v>
      </c>
    </row>
    <row r="491" spans="1:35" x14ac:dyDescent="0.25">
      <c r="A491" t="s">
        <v>1604</v>
      </c>
      <c r="B491" t="s">
        <v>34</v>
      </c>
      <c r="C491" t="s">
        <v>1600</v>
      </c>
      <c r="D491" t="s">
        <v>1601</v>
      </c>
      <c r="E491" t="s">
        <v>37</v>
      </c>
      <c r="F491" t="s">
        <v>1602</v>
      </c>
      <c r="G491" t="s">
        <v>39</v>
      </c>
      <c r="H491" t="s">
        <v>40</v>
      </c>
      <c r="I491" t="s">
        <v>41</v>
      </c>
      <c r="J491" t="s">
        <v>37</v>
      </c>
      <c r="K491" t="s">
        <v>37</v>
      </c>
      <c r="L491" t="s">
        <v>42</v>
      </c>
      <c r="M491" s="6">
        <v>45380.323599537034</v>
      </c>
      <c r="N491" t="s">
        <v>4268</v>
      </c>
      <c r="O491" s="1">
        <v>45380.03193287037</v>
      </c>
      <c r="P491" s="1">
        <v>45380.323599537034</v>
      </c>
      <c r="Q491" t="s">
        <v>4268</v>
      </c>
      <c r="R491" s="6">
        <v>45380.416666666664</v>
      </c>
      <c r="S491" t="s">
        <v>43</v>
      </c>
      <c r="T491">
        <v>24.99</v>
      </c>
      <c r="U491">
        <v>0</v>
      </c>
      <c r="V491">
        <v>0</v>
      </c>
      <c r="W491">
        <v>0</v>
      </c>
      <c r="X491">
        <v>0</v>
      </c>
      <c r="Y491">
        <v>0</v>
      </c>
      <c r="Z491">
        <v>24.99</v>
      </c>
      <c r="AA491" t="s">
        <v>44</v>
      </c>
      <c r="AB491" t="s">
        <v>115</v>
      </c>
      <c r="AC491" t="s">
        <v>116</v>
      </c>
      <c r="AD491" t="s">
        <v>37</v>
      </c>
      <c r="AE491" t="s">
        <v>37</v>
      </c>
      <c r="AF491" t="s">
        <v>37</v>
      </c>
      <c r="AG491" t="s">
        <v>37</v>
      </c>
      <c r="AH491" t="s">
        <v>1600</v>
      </c>
      <c r="AI491" t="s">
        <v>37</v>
      </c>
    </row>
    <row r="492" spans="1:35" x14ac:dyDescent="0.25">
      <c r="A492" t="s">
        <v>1610</v>
      </c>
      <c r="B492" t="s">
        <v>34</v>
      </c>
      <c r="C492" t="s">
        <v>1600</v>
      </c>
      <c r="D492" t="s">
        <v>1601</v>
      </c>
      <c r="E492" t="s">
        <v>37</v>
      </c>
      <c r="F492" t="s">
        <v>1602</v>
      </c>
      <c r="G492" t="s">
        <v>39</v>
      </c>
      <c r="H492" t="s">
        <v>40</v>
      </c>
      <c r="I492" t="s">
        <v>41</v>
      </c>
      <c r="J492" t="s">
        <v>37</v>
      </c>
      <c r="K492" t="s">
        <v>37</v>
      </c>
      <c r="L492" t="s">
        <v>42</v>
      </c>
      <c r="M492" s="6">
        <v>45380.323692129627</v>
      </c>
      <c r="N492" t="s">
        <v>4268</v>
      </c>
      <c r="O492" s="1">
        <v>45380.032025462962</v>
      </c>
      <c r="P492" s="1">
        <v>45380.323738425926</v>
      </c>
      <c r="Q492" t="s">
        <v>4268</v>
      </c>
      <c r="R492" s="6">
        <v>45380.416666666664</v>
      </c>
      <c r="S492" t="s">
        <v>43</v>
      </c>
      <c r="T492">
        <v>24.99</v>
      </c>
      <c r="U492">
        <v>0</v>
      </c>
      <c r="V492">
        <v>24.99</v>
      </c>
      <c r="W492">
        <v>0</v>
      </c>
      <c r="X492">
        <v>0</v>
      </c>
      <c r="Y492">
        <v>0</v>
      </c>
      <c r="Z492">
        <v>24.99</v>
      </c>
      <c r="AA492" t="s">
        <v>44</v>
      </c>
      <c r="AB492" t="s">
        <v>45</v>
      </c>
      <c r="AC492" t="s">
        <v>46</v>
      </c>
      <c r="AD492" t="s">
        <v>37</v>
      </c>
      <c r="AE492" t="s">
        <v>37</v>
      </c>
      <c r="AF492" t="s">
        <v>1611</v>
      </c>
      <c r="AG492" t="s">
        <v>37</v>
      </c>
      <c r="AH492" t="s">
        <v>1600</v>
      </c>
      <c r="AI492" t="s">
        <v>37</v>
      </c>
    </row>
    <row r="493" spans="1:35" x14ac:dyDescent="0.25">
      <c r="A493" t="s">
        <v>1617</v>
      </c>
      <c r="B493" t="s">
        <v>34</v>
      </c>
      <c r="C493" t="s">
        <v>1618</v>
      </c>
      <c r="D493" t="s">
        <v>1619</v>
      </c>
      <c r="E493" t="s">
        <v>37</v>
      </c>
      <c r="F493" t="s">
        <v>1620</v>
      </c>
      <c r="G493" t="s">
        <v>39</v>
      </c>
      <c r="H493" t="s">
        <v>40</v>
      </c>
      <c r="I493" t="s">
        <v>41</v>
      </c>
      <c r="J493" t="s">
        <v>37</v>
      </c>
      <c r="K493" t="s">
        <v>37</v>
      </c>
      <c r="L493" t="s">
        <v>42</v>
      </c>
      <c r="M493" s="6">
        <v>45380.347916666666</v>
      </c>
      <c r="N493" t="s">
        <v>4268</v>
      </c>
      <c r="O493" s="1">
        <v>45380.056250000001</v>
      </c>
      <c r="P493" s="1">
        <v>45380.347974537035</v>
      </c>
      <c r="Q493" t="s">
        <v>4268</v>
      </c>
      <c r="R493" s="6">
        <v>45380.416666666664</v>
      </c>
      <c r="S493" t="s">
        <v>43</v>
      </c>
      <c r="T493">
        <v>24.99</v>
      </c>
      <c r="U493">
        <v>0</v>
      </c>
      <c r="V493">
        <v>24.99</v>
      </c>
      <c r="W493">
        <v>0</v>
      </c>
      <c r="X493">
        <v>0</v>
      </c>
      <c r="Y493">
        <v>0</v>
      </c>
      <c r="Z493">
        <v>24.99</v>
      </c>
      <c r="AA493" t="s">
        <v>44</v>
      </c>
      <c r="AB493" t="s">
        <v>45</v>
      </c>
      <c r="AC493" t="s">
        <v>46</v>
      </c>
      <c r="AD493" t="s">
        <v>37</v>
      </c>
      <c r="AE493" t="s">
        <v>37</v>
      </c>
      <c r="AF493" t="s">
        <v>1621</v>
      </c>
      <c r="AG493" t="s">
        <v>37</v>
      </c>
      <c r="AH493" t="s">
        <v>1618</v>
      </c>
      <c r="AI493" t="s">
        <v>37</v>
      </c>
    </row>
    <row r="494" spans="1:35" x14ac:dyDescent="0.25">
      <c r="A494" t="s">
        <v>1278</v>
      </c>
      <c r="B494" t="s">
        <v>34</v>
      </c>
      <c r="C494" t="s">
        <v>215</v>
      </c>
      <c r="D494" t="s">
        <v>216</v>
      </c>
      <c r="E494" t="s">
        <v>37</v>
      </c>
      <c r="F494" t="s">
        <v>217</v>
      </c>
      <c r="G494" t="s">
        <v>39</v>
      </c>
      <c r="H494" t="s">
        <v>40</v>
      </c>
      <c r="I494" t="s">
        <v>41</v>
      </c>
      <c r="J494" t="s">
        <v>37</v>
      </c>
      <c r="K494" t="s">
        <v>37</v>
      </c>
      <c r="L494" t="s">
        <v>42</v>
      </c>
      <c r="M494" s="6">
        <v>45381.291666666664</v>
      </c>
      <c r="N494" t="s">
        <v>4265</v>
      </c>
      <c r="O494" s="1">
        <v>45381</v>
      </c>
      <c r="P494" s="1">
        <v>45375.328414351854</v>
      </c>
      <c r="Q494" t="s">
        <v>4265</v>
      </c>
      <c r="R494" s="6">
        <v>45381.416666666664</v>
      </c>
      <c r="S494" t="s">
        <v>43</v>
      </c>
      <c r="T494">
        <v>24.99</v>
      </c>
      <c r="U494">
        <v>0</v>
      </c>
      <c r="V494">
        <v>24.99</v>
      </c>
      <c r="W494">
        <v>0</v>
      </c>
      <c r="X494">
        <v>0</v>
      </c>
      <c r="Y494">
        <v>0</v>
      </c>
      <c r="Z494">
        <v>24.99</v>
      </c>
      <c r="AA494" t="s">
        <v>44</v>
      </c>
      <c r="AB494" t="s">
        <v>45</v>
      </c>
      <c r="AC494" t="s">
        <v>46</v>
      </c>
      <c r="AD494" t="s">
        <v>37</v>
      </c>
      <c r="AE494" t="s">
        <v>37</v>
      </c>
      <c r="AF494" t="s">
        <v>1279</v>
      </c>
      <c r="AG494" t="s">
        <v>37</v>
      </c>
      <c r="AH494" t="s">
        <v>219</v>
      </c>
      <c r="AI494" t="s">
        <v>37</v>
      </c>
    </row>
    <row r="495" spans="1:35" x14ac:dyDescent="0.25">
      <c r="A495" t="s">
        <v>1404</v>
      </c>
      <c r="B495" t="s">
        <v>34</v>
      </c>
      <c r="C495" t="s">
        <v>1405</v>
      </c>
      <c r="D495" t="s">
        <v>1406</v>
      </c>
      <c r="E495" t="s">
        <v>37</v>
      </c>
      <c r="F495" t="s">
        <v>1407</v>
      </c>
      <c r="G495" t="s">
        <v>39</v>
      </c>
      <c r="H495" t="s">
        <v>40</v>
      </c>
      <c r="I495" t="s">
        <v>41</v>
      </c>
      <c r="J495" t="s">
        <v>37</v>
      </c>
      <c r="K495" t="s">
        <v>37</v>
      </c>
      <c r="L495" t="s">
        <v>42</v>
      </c>
      <c r="M495" s="6">
        <v>45381.291666666664</v>
      </c>
      <c r="N495" t="s">
        <v>4265</v>
      </c>
      <c r="O495" s="1">
        <v>45381</v>
      </c>
      <c r="P495" s="1">
        <v>45377.606215277781</v>
      </c>
      <c r="Q495" t="s">
        <v>4265</v>
      </c>
      <c r="R495" s="6">
        <v>45381.416666666664</v>
      </c>
      <c r="S495" t="s">
        <v>43</v>
      </c>
      <c r="T495">
        <v>24.99</v>
      </c>
      <c r="U495">
        <v>0</v>
      </c>
      <c r="V495">
        <v>24.99</v>
      </c>
      <c r="W495">
        <v>0</v>
      </c>
      <c r="X495">
        <v>0</v>
      </c>
      <c r="Y495">
        <v>0</v>
      </c>
      <c r="Z495">
        <v>24.99</v>
      </c>
      <c r="AA495" t="s">
        <v>44</v>
      </c>
      <c r="AB495" t="s">
        <v>45</v>
      </c>
      <c r="AC495" t="s">
        <v>46</v>
      </c>
      <c r="AD495" t="s">
        <v>37</v>
      </c>
      <c r="AE495" t="s">
        <v>37</v>
      </c>
      <c r="AF495" t="s">
        <v>1408</v>
      </c>
      <c r="AG495" t="s">
        <v>37</v>
      </c>
      <c r="AH495" t="s">
        <v>1405</v>
      </c>
      <c r="AI495" t="s">
        <v>37</v>
      </c>
    </row>
    <row r="496" spans="1:35" x14ac:dyDescent="0.25">
      <c r="A496" t="s">
        <v>1444</v>
      </c>
      <c r="B496" t="s">
        <v>34</v>
      </c>
      <c r="C496" t="s">
        <v>1445</v>
      </c>
      <c r="D496" t="s">
        <v>1446</v>
      </c>
      <c r="E496" t="s">
        <v>37</v>
      </c>
      <c r="F496" t="s">
        <v>1447</v>
      </c>
      <c r="G496" t="s">
        <v>39</v>
      </c>
      <c r="H496" t="s">
        <v>40</v>
      </c>
      <c r="I496" t="s">
        <v>41</v>
      </c>
      <c r="J496" t="s">
        <v>37</v>
      </c>
      <c r="K496" t="s">
        <v>37</v>
      </c>
      <c r="L496" t="s">
        <v>42</v>
      </c>
      <c r="M496" s="6">
        <v>45381.291666666664</v>
      </c>
      <c r="N496" t="s">
        <v>4265</v>
      </c>
      <c r="O496" s="1">
        <v>45381</v>
      </c>
      <c r="P496" s="1">
        <v>45377.856620370374</v>
      </c>
      <c r="Q496" t="s">
        <v>4265</v>
      </c>
      <c r="R496" s="6">
        <v>45381.416666666664</v>
      </c>
      <c r="S496" t="s">
        <v>43</v>
      </c>
      <c r="T496">
        <v>24.99</v>
      </c>
      <c r="U496">
        <v>0</v>
      </c>
      <c r="V496">
        <v>24.99</v>
      </c>
      <c r="W496">
        <v>0</v>
      </c>
      <c r="X496">
        <v>0</v>
      </c>
      <c r="Y496">
        <v>0</v>
      </c>
      <c r="Z496">
        <v>24.99</v>
      </c>
      <c r="AA496" t="s">
        <v>44</v>
      </c>
      <c r="AB496" t="s">
        <v>45</v>
      </c>
      <c r="AC496" t="s">
        <v>46</v>
      </c>
      <c r="AD496" t="s">
        <v>37</v>
      </c>
      <c r="AE496" t="s">
        <v>37</v>
      </c>
      <c r="AF496" t="s">
        <v>1448</v>
      </c>
      <c r="AG496" t="s">
        <v>37</v>
      </c>
      <c r="AH496" t="s">
        <v>1445</v>
      </c>
      <c r="AI496" t="s">
        <v>37</v>
      </c>
    </row>
    <row r="497" spans="1:35" x14ac:dyDescent="0.25">
      <c r="A497" t="s">
        <v>1449</v>
      </c>
      <c r="B497" t="s">
        <v>34</v>
      </c>
      <c r="C497" t="s">
        <v>1450</v>
      </c>
      <c r="D497" t="s">
        <v>1451</v>
      </c>
      <c r="E497" t="s">
        <v>37</v>
      </c>
      <c r="F497" t="s">
        <v>1452</v>
      </c>
      <c r="G497" t="s">
        <v>39</v>
      </c>
      <c r="H497" t="s">
        <v>40</v>
      </c>
      <c r="I497" t="s">
        <v>41</v>
      </c>
      <c r="J497" t="s">
        <v>37</v>
      </c>
      <c r="K497" t="s">
        <v>37</v>
      </c>
      <c r="L497" t="s">
        <v>42</v>
      </c>
      <c r="M497" s="6">
        <v>45381.291666666664</v>
      </c>
      <c r="N497" t="s">
        <v>4265</v>
      </c>
      <c r="O497" s="1">
        <v>45381</v>
      </c>
      <c r="P497" s="1">
        <v>45377.896967592591</v>
      </c>
      <c r="Q497" t="s">
        <v>4265</v>
      </c>
      <c r="R497" s="6">
        <v>45381.416666666664</v>
      </c>
      <c r="S497" t="s">
        <v>43</v>
      </c>
      <c r="T497">
        <v>24.99</v>
      </c>
      <c r="U497">
        <v>0</v>
      </c>
      <c r="V497">
        <v>24.99</v>
      </c>
      <c r="W497">
        <v>0</v>
      </c>
      <c r="X497">
        <v>0</v>
      </c>
      <c r="Y497">
        <v>0</v>
      </c>
      <c r="Z497">
        <v>24.99</v>
      </c>
      <c r="AA497" t="s">
        <v>44</v>
      </c>
      <c r="AB497" t="s">
        <v>45</v>
      </c>
      <c r="AC497" t="s">
        <v>46</v>
      </c>
      <c r="AD497" t="s">
        <v>37</v>
      </c>
      <c r="AE497" t="s">
        <v>37</v>
      </c>
      <c r="AF497" t="s">
        <v>1453</v>
      </c>
      <c r="AG497" t="s">
        <v>37</v>
      </c>
      <c r="AH497" t="s">
        <v>1450</v>
      </c>
      <c r="AI497" t="s">
        <v>37</v>
      </c>
    </row>
    <row r="498" spans="1:35" x14ac:dyDescent="0.25">
      <c r="A498" t="s">
        <v>1472</v>
      </c>
      <c r="B498" t="s">
        <v>34</v>
      </c>
      <c r="C498" t="s">
        <v>1473</v>
      </c>
      <c r="D498" t="s">
        <v>1474</v>
      </c>
      <c r="E498" t="s">
        <v>37</v>
      </c>
      <c r="F498" t="s">
        <v>1475</v>
      </c>
      <c r="G498" t="s">
        <v>39</v>
      </c>
      <c r="H498" t="s">
        <v>40</v>
      </c>
      <c r="I498" t="s">
        <v>41</v>
      </c>
      <c r="J498" t="s">
        <v>37</v>
      </c>
      <c r="K498" t="s">
        <v>37</v>
      </c>
      <c r="L498" t="s">
        <v>42</v>
      </c>
      <c r="M498" s="6">
        <v>45381.291666666664</v>
      </c>
      <c r="N498" t="s">
        <v>4265</v>
      </c>
      <c r="O498" s="1">
        <v>45381</v>
      </c>
      <c r="P498" s="1">
        <v>45378.36619212963</v>
      </c>
      <c r="Q498" t="s">
        <v>4265</v>
      </c>
      <c r="R498" s="6">
        <v>45381.416666666664</v>
      </c>
      <c r="S498" t="s">
        <v>43</v>
      </c>
      <c r="T498">
        <v>24.99</v>
      </c>
      <c r="U498">
        <v>0</v>
      </c>
      <c r="V498">
        <v>24.99</v>
      </c>
      <c r="W498">
        <v>0</v>
      </c>
      <c r="X498">
        <v>0</v>
      </c>
      <c r="Y498">
        <v>0</v>
      </c>
      <c r="Z498">
        <v>24.99</v>
      </c>
      <c r="AA498" t="s">
        <v>44</v>
      </c>
      <c r="AB498" t="s">
        <v>45</v>
      </c>
      <c r="AC498" t="s">
        <v>46</v>
      </c>
      <c r="AD498" t="s">
        <v>37</v>
      </c>
      <c r="AE498" t="s">
        <v>37</v>
      </c>
      <c r="AF498" t="s">
        <v>1476</v>
      </c>
      <c r="AG498" t="s">
        <v>37</v>
      </c>
      <c r="AH498" t="s">
        <v>1473</v>
      </c>
      <c r="AI498" t="s">
        <v>37</v>
      </c>
    </row>
    <row r="499" spans="1:35" x14ac:dyDescent="0.25">
      <c r="A499" t="s">
        <v>1537</v>
      </c>
      <c r="B499" t="s">
        <v>34</v>
      </c>
      <c r="C499" t="s">
        <v>1429</v>
      </c>
      <c r="D499" t="s">
        <v>1430</v>
      </c>
      <c r="E499" t="s">
        <v>37</v>
      </c>
      <c r="F499" t="s">
        <v>1431</v>
      </c>
      <c r="G499" t="s">
        <v>39</v>
      </c>
      <c r="H499" t="s">
        <v>40</v>
      </c>
      <c r="I499" t="s">
        <v>41</v>
      </c>
      <c r="J499" t="s">
        <v>37</v>
      </c>
      <c r="K499" t="s">
        <v>37</v>
      </c>
      <c r="L499" t="s">
        <v>42</v>
      </c>
      <c r="M499" s="6">
        <v>45381.291666666664</v>
      </c>
      <c r="N499" t="s">
        <v>4265</v>
      </c>
      <c r="O499" s="1">
        <v>45381</v>
      </c>
      <c r="P499" s="1">
        <v>45379.439664351848</v>
      </c>
      <c r="Q499" t="s">
        <v>4265</v>
      </c>
      <c r="R499" s="6">
        <v>45381.416666666664</v>
      </c>
      <c r="S499" t="s">
        <v>43</v>
      </c>
      <c r="T499">
        <v>24.99</v>
      </c>
      <c r="U499">
        <v>0</v>
      </c>
      <c r="V499">
        <v>24.99</v>
      </c>
      <c r="W499">
        <v>0</v>
      </c>
      <c r="X499">
        <v>0</v>
      </c>
      <c r="Y499">
        <v>0</v>
      </c>
      <c r="Z499">
        <v>24.99</v>
      </c>
      <c r="AA499" t="s">
        <v>44</v>
      </c>
      <c r="AB499" t="s">
        <v>45</v>
      </c>
      <c r="AC499" t="s">
        <v>46</v>
      </c>
      <c r="AD499" t="s">
        <v>37</v>
      </c>
      <c r="AE499" t="s">
        <v>37</v>
      </c>
      <c r="AF499" t="s">
        <v>1538</v>
      </c>
      <c r="AG499" t="s">
        <v>37</v>
      </c>
      <c r="AH499" t="s">
        <v>1429</v>
      </c>
      <c r="AI499" t="s">
        <v>37</v>
      </c>
    </row>
    <row r="500" spans="1:35" x14ac:dyDescent="0.25">
      <c r="A500" t="s">
        <v>1635</v>
      </c>
      <c r="B500" t="s">
        <v>34</v>
      </c>
      <c r="C500" t="s">
        <v>1636</v>
      </c>
      <c r="D500" t="s">
        <v>1637</v>
      </c>
      <c r="E500" t="s">
        <v>37</v>
      </c>
      <c r="F500" t="s">
        <v>1638</v>
      </c>
      <c r="G500" t="s">
        <v>39</v>
      </c>
      <c r="H500" t="s">
        <v>40</v>
      </c>
      <c r="I500" t="s">
        <v>41</v>
      </c>
      <c r="J500" t="s">
        <v>37</v>
      </c>
      <c r="K500" t="s">
        <v>37</v>
      </c>
      <c r="L500" t="s">
        <v>42</v>
      </c>
      <c r="M500" s="6">
        <v>45381.291666666664</v>
      </c>
      <c r="N500" t="s">
        <v>4265</v>
      </c>
      <c r="O500" s="1">
        <v>45381</v>
      </c>
      <c r="P500" s="1">
        <v>45380.746076388888</v>
      </c>
      <c r="Q500" t="s">
        <v>4265</v>
      </c>
      <c r="R500" s="6">
        <v>45381.416666666664</v>
      </c>
      <c r="S500" t="s">
        <v>43</v>
      </c>
      <c r="T500">
        <v>24.99</v>
      </c>
      <c r="U500">
        <v>0</v>
      </c>
      <c r="V500">
        <v>24.99</v>
      </c>
      <c r="W500">
        <v>0</v>
      </c>
      <c r="X500">
        <v>0</v>
      </c>
      <c r="Y500">
        <v>0</v>
      </c>
      <c r="Z500">
        <v>24.99</v>
      </c>
      <c r="AA500" t="s">
        <v>44</v>
      </c>
      <c r="AB500" t="s">
        <v>45</v>
      </c>
      <c r="AC500" t="s">
        <v>46</v>
      </c>
      <c r="AD500" t="s">
        <v>37</v>
      </c>
      <c r="AE500" t="s">
        <v>37</v>
      </c>
      <c r="AF500" t="s">
        <v>1639</v>
      </c>
      <c r="AG500" t="s">
        <v>37</v>
      </c>
      <c r="AH500" t="s">
        <v>1636</v>
      </c>
      <c r="AI500" t="s">
        <v>37</v>
      </c>
    </row>
    <row r="501" spans="1:35" x14ac:dyDescent="0.25">
      <c r="A501" t="s">
        <v>1642</v>
      </c>
      <c r="B501" t="s">
        <v>34</v>
      </c>
      <c r="C501" t="s">
        <v>1643</v>
      </c>
      <c r="D501" t="s">
        <v>1644</v>
      </c>
      <c r="E501" t="s">
        <v>37</v>
      </c>
      <c r="F501" t="s">
        <v>894</v>
      </c>
      <c r="G501" t="s">
        <v>39</v>
      </c>
      <c r="H501" t="s">
        <v>40</v>
      </c>
      <c r="I501" t="s">
        <v>41</v>
      </c>
      <c r="J501" t="s">
        <v>37</v>
      </c>
      <c r="K501" t="s">
        <v>37</v>
      </c>
      <c r="L501" t="s">
        <v>42</v>
      </c>
      <c r="M501" s="6">
        <v>45381.291666666664</v>
      </c>
      <c r="N501" t="s">
        <v>4265</v>
      </c>
      <c r="O501" s="1">
        <v>45381</v>
      </c>
      <c r="P501" s="1">
        <v>45380.908761574072</v>
      </c>
      <c r="Q501" t="s">
        <v>4265</v>
      </c>
      <c r="R501" s="6">
        <v>45381.416666666664</v>
      </c>
      <c r="S501" t="s">
        <v>43</v>
      </c>
      <c r="T501">
        <v>24.99</v>
      </c>
      <c r="U501">
        <v>0</v>
      </c>
      <c r="V501">
        <v>24.99</v>
      </c>
      <c r="W501">
        <v>0</v>
      </c>
      <c r="X501">
        <v>0</v>
      </c>
      <c r="Y501">
        <v>0</v>
      </c>
      <c r="Z501">
        <v>24.99</v>
      </c>
      <c r="AA501" t="s">
        <v>44</v>
      </c>
      <c r="AB501" t="s">
        <v>45</v>
      </c>
      <c r="AC501" t="s">
        <v>46</v>
      </c>
      <c r="AD501" t="s">
        <v>37</v>
      </c>
      <c r="AE501" t="s">
        <v>37</v>
      </c>
      <c r="AF501" t="s">
        <v>1645</v>
      </c>
      <c r="AG501" t="s">
        <v>37</v>
      </c>
      <c r="AH501" t="s">
        <v>1646</v>
      </c>
      <c r="AI501" t="s">
        <v>37</v>
      </c>
    </row>
    <row r="502" spans="1:35" x14ac:dyDescent="0.25">
      <c r="A502" t="s">
        <v>1647</v>
      </c>
      <c r="B502" t="s">
        <v>34</v>
      </c>
      <c r="C502" t="s">
        <v>1648</v>
      </c>
      <c r="D502" t="s">
        <v>1649</v>
      </c>
      <c r="E502" t="s">
        <v>37</v>
      </c>
      <c r="F502" t="s">
        <v>1650</v>
      </c>
      <c r="G502" t="s">
        <v>39</v>
      </c>
      <c r="H502" t="s">
        <v>40</v>
      </c>
      <c r="I502" t="s">
        <v>41</v>
      </c>
      <c r="J502" t="s">
        <v>37</v>
      </c>
      <c r="K502" t="s">
        <v>37</v>
      </c>
      <c r="L502" t="s">
        <v>42</v>
      </c>
      <c r="M502" s="6">
        <v>45381.291666666664</v>
      </c>
      <c r="N502" t="s">
        <v>4265</v>
      </c>
      <c r="O502" s="1">
        <v>45381</v>
      </c>
      <c r="P502" s="1">
        <v>45380.960115740738</v>
      </c>
      <c r="Q502" t="s">
        <v>4265</v>
      </c>
      <c r="R502" s="6">
        <v>45381.416666666664</v>
      </c>
      <c r="S502" t="s">
        <v>43</v>
      </c>
      <c r="T502">
        <v>24.99</v>
      </c>
      <c r="U502">
        <v>0</v>
      </c>
      <c r="V502">
        <v>24.99</v>
      </c>
      <c r="W502">
        <v>0</v>
      </c>
      <c r="X502">
        <v>0</v>
      </c>
      <c r="Y502">
        <v>0</v>
      </c>
      <c r="Z502">
        <v>24.99</v>
      </c>
      <c r="AA502" t="s">
        <v>44</v>
      </c>
      <c r="AB502" t="s">
        <v>45</v>
      </c>
      <c r="AC502" t="s">
        <v>46</v>
      </c>
      <c r="AD502" t="s">
        <v>37</v>
      </c>
      <c r="AE502" t="s">
        <v>37</v>
      </c>
      <c r="AF502" t="s">
        <v>1651</v>
      </c>
      <c r="AG502" t="s">
        <v>37</v>
      </c>
      <c r="AH502" t="s">
        <v>1648</v>
      </c>
      <c r="AI502" t="s">
        <v>37</v>
      </c>
    </row>
    <row r="503" spans="1:35" x14ac:dyDescent="0.25">
      <c r="A503" t="s">
        <v>1654</v>
      </c>
      <c r="B503" t="s">
        <v>34</v>
      </c>
      <c r="C503" t="s">
        <v>1655</v>
      </c>
      <c r="D503" t="s">
        <v>1656</v>
      </c>
      <c r="E503" t="s">
        <v>37</v>
      </c>
      <c r="F503" t="s">
        <v>1657</v>
      </c>
      <c r="G503" t="s">
        <v>39</v>
      </c>
      <c r="H503" t="s">
        <v>40</v>
      </c>
      <c r="I503" t="s">
        <v>41</v>
      </c>
      <c r="J503" t="s">
        <v>37</v>
      </c>
      <c r="K503" t="s">
        <v>37</v>
      </c>
      <c r="L503" t="s">
        <v>42</v>
      </c>
      <c r="M503" s="6">
        <v>45381.291666666664</v>
      </c>
      <c r="N503" t="s">
        <v>4265</v>
      </c>
      <c r="O503" s="1">
        <v>45381</v>
      </c>
      <c r="P503" s="1">
        <v>45381.542384259257</v>
      </c>
      <c r="Q503" t="s">
        <v>4265</v>
      </c>
      <c r="R503" s="6">
        <v>45381.416666666664</v>
      </c>
      <c r="S503" t="s">
        <v>43</v>
      </c>
      <c r="T503">
        <v>24.99</v>
      </c>
      <c r="U503">
        <v>0</v>
      </c>
      <c r="V503">
        <v>24.99</v>
      </c>
      <c r="W503">
        <v>0</v>
      </c>
      <c r="X503">
        <v>0</v>
      </c>
      <c r="Y503">
        <v>0</v>
      </c>
      <c r="Z503">
        <v>24.99</v>
      </c>
      <c r="AA503" t="s">
        <v>44</v>
      </c>
      <c r="AB503" t="s">
        <v>45</v>
      </c>
      <c r="AC503" t="s">
        <v>46</v>
      </c>
      <c r="AD503" t="s">
        <v>37</v>
      </c>
      <c r="AE503" t="s">
        <v>37</v>
      </c>
      <c r="AF503" t="s">
        <v>1658</v>
      </c>
      <c r="AG503" t="s">
        <v>37</v>
      </c>
      <c r="AH503" t="s">
        <v>1655</v>
      </c>
      <c r="AI503" t="s">
        <v>37</v>
      </c>
    </row>
    <row r="504" spans="1:35" x14ac:dyDescent="0.25">
      <c r="A504" t="s">
        <v>1940</v>
      </c>
      <c r="B504" t="s">
        <v>34</v>
      </c>
      <c r="C504" t="s">
        <v>1941</v>
      </c>
      <c r="D504" t="s">
        <v>1942</v>
      </c>
      <c r="E504" t="s">
        <v>37</v>
      </c>
      <c r="F504" t="s">
        <v>1943</v>
      </c>
      <c r="G504" t="s">
        <v>39</v>
      </c>
      <c r="H504" t="s">
        <v>40</v>
      </c>
      <c r="I504" t="s">
        <v>41</v>
      </c>
      <c r="J504" t="s">
        <v>37</v>
      </c>
      <c r="K504" t="s">
        <v>37</v>
      </c>
      <c r="L504" t="s">
        <v>42</v>
      </c>
      <c r="M504" s="6">
        <v>45381.291666666664</v>
      </c>
      <c r="N504" t="s">
        <v>4265</v>
      </c>
      <c r="O504" s="1">
        <v>45381</v>
      </c>
      <c r="P504" s="1">
        <v>45372.818159722221</v>
      </c>
      <c r="Q504" t="s">
        <v>4265</v>
      </c>
      <c r="R504" s="6">
        <v>45381.416666666664</v>
      </c>
      <c r="S504" t="s">
        <v>43</v>
      </c>
      <c r="T504">
        <v>24.99</v>
      </c>
      <c r="U504">
        <v>0</v>
      </c>
      <c r="V504">
        <v>24.99</v>
      </c>
      <c r="W504">
        <v>0</v>
      </c>
      <c r="X504">
        <v>0</v>
      </c>
      <c r="Y504">
        <v>0</v>
      </c>
      <c r="Z504">
        <v>24.99</v>
      </c>
      <c r="AA504" t="s">
        <v>44</v>
      </c>
      <c r="AB504" t="s">
        <v>45</v>
      </c>
      <c r="AC504" t="s">
        <v>46</v>
      </c>
      <c r="AD504" t="s">
        <v>37</v>
      </c>
      <c r="AE504" t="s">
        <v>37</v>
      </c>
      <c r="AF504" t="s">
        <v>1944</v>
      </c>
      <c r="AG504" t="s">
        <v>37</v>
      </c>
      <c r="AH504" t="s">
        <v>1941</v>
      </c>
      <c r="AI504" t="s">
        <v>37</v>
      </c>
    </row>
    <row r="505" spans="1:35" x14ac:dyDescent="0.25">
      <c r="A505" t="s">
        <v>1652</v>
      </c>
      <c r="B505" t="s">
        <v>34</v>
      </c>
      <c r="C505" t="s">
        <v>1618</v>
      </c>
      <c r="D505" t="s">
        <v>1619</v>
      </c>
      <c r="E505" t="s">
        <v>37</v>
      </c>
      <c r="F505" t="s">
        <v>1620</v>
      </c>
      <c r="G505" t="s">
        <v>39</v>
      </c>
      <c r="H505" t="s">
        <v>40</v>
      </c>
      <c r="I505" t="s">
        <v>41</v>
      </c>
      <c r="J505" t="s">
        <v>37</v>
      </c>
      <c r="K505" t="s">
        <v>37</v>
      </c>
      <c r="L505" t="s">
        <v>42</v>
      </c>
      <c r="M505" s="6">
        <v>45381.384189814817</v>
      </c>
      <c r="N505" t="s">
        <v>4265</v>
      </c>
      <c r="O505" s="1">
        <v>45381.092523148145</v>
      </c>
      <c r="P505" s="1">
        <v>45381.384236111109</v>
      </c>
      <c r="Q505" t="s">
        <v>4265</v>
      </c>
      <c r="R505" s="6">
        <v>45381.416666666664</v>
      </c>
      <c r="S505" t="s">
        <v>43</v>
      </c>
      <c r="T505">
        <v>24.99</v>
      </c>
      <c r="U505">
        <v>0</v>
      </c>
      <c r="V505">
        <v>24.99</v>
      </c>
      <c r="W505">
        <v>0</v>
      </c>
      <c r="X505">
        <v>0</v>
      </c>
      <c r="Y505">
        <v>0</v>
      </c>
      <c r="Z505">
        <v>24.99</v>
      </c>
      <c r="AA505" t="s">
        <v>44</v>
      </c>
      <c r="AB505" t="s">
        <v>45</v>
      </c>
      <c r="AC505" t="s">
        <v>46</v>
      </c>
      <c r="AD505" t="s">
        <v>37</v>
      </c>
      <c r="AE505" t="s">
        <v>37</v>
      </c>
      <c r="AF505" t="s">
        <v>1653</v>
      </c>
      <c r="AG505" t="s">
        <v>37</v>
      </c>
      <c r="AH505" t="s">
        <v>1618</v>
      </c>
      <c r="AI505" t="s">
        <v>37</v>
      </c>
    </row>
    <row r="506" spans="1:35" x14ac:dyDescent="0.25">
      <c r="A506" t="s">
        <v>1685</v>
      </c>
      <c r="B506" t="s">
        <v>34</v>
      </c>
      <c r="C506" t="s">
        <v>1114</v>
      </c>
      <c r="D506" t="s">
        <v>1115</v>
      </c>
      <c r="E506" t="s">
        <v>37</v>
      </c>
      <c r="F506" t="s">
        <v>1686</v>
      </c>
      <c r="G506" t="s">
        <v>39</v>
      </c>
      <c r="H506" t="s">
        <v>40</v>
      </c>
      <c r="I506" t="s">
        <v>41</v>
      </c>
      <c r="J506" t="s">
        <v>37</v>
      </c>
      <c r="K506" t="s">
        <v>37</v>
      </c>
      <c r="L506" t="s">
        <v>42</v>
      </c>
      <c r="M506" s="6">
        <v>45382.291666666664</v>
      </c>
      <c r="N506" t="s">
        <v>4266</v>
      </c>
      <c r="O506" s="1">
        <v>45382</v>
      </c>
      <c r="P506" s="1">
        <v>45381.940995370373</v>
      </c>
      <c r="Q506" t="s">
        <v>4266</v>
      </c>
      <c r="R506" s="6">
        <v>45382.416666666664</v>
      </c>
      <c r="S506" t="s">
        <v>43</v>
      </c>
      <c r="T506">
        <v>24.99</v>
      </c>
      <c r="U506">
        <v>0</v>
      </c>
      <c r="V506">
        <v>24.99</v>
      </c>
      <c r="W506">
        <v>0</v>
      </c>
      <c r="X506">
        <v>0</v>
      </c>
      <c r="Y506">
        <v>0</v>
      </c>
      <c r="Z506">
        <v>24.99</v>
      </c>
      <c r="AA506" t="s">
        <v>44</v>
      </c>
      <c r="AB506" t="s">
        <v>45</v>
      </c>
      <c r="AC506" t="s">
        <v>46</v>
      </c>
      <c r="AD506" t="s">
        <v>37</v>
      </c>
      <c r="AE506" t="s">
        <v>37</v>
      </c>
      <c r="AF506" t="s">
        <v>1687</v>
      </c>
      <c r="AG506" t="s">
        <v>37</v>
      </c>
      <c r="AH506" t="s">
        <v>1114</v>
      </c>
      <c r="AI506" t="s">
        <v>37</v>
      </c>
    </row>
    <row r="507" spans="1:35" x14ac:dyDescent="0.25">
      <c r="A507" t="s">
        <v>2049</v>
      </c>
      <c r="B507" t="s">
        <v>34</v>
      </c>
      <c r="C507" t="s">
        <v>1114</v>
      </c>
      <c r="D507" t="s">
        <v>1115</v>
      </c>
      <c r="E507" t="s">
        <v>37</v>
      </c>
      <c r="F507" t="s">
        <v>1686</v>
      </c>
      <c r="G507" t="s">
        <v>39</v>
      </c>
      <c r="H507" t="s">
        <v>40</v>
      </c>
      <c r="I507" t="s">
        <v>41</v>
      </c>
      <c r="J507" t="s">
        <v>37</v>
      </c>
      <c r="K507" t="s">
        <v>37</v>
      </c>
      <c r="L507" t="s">
        <v>42</v>
      </c>
      <c r="M507" s="6">
        <v>45383.291666666664</v>
      </c>
      <c r="N507" t="s">
        <v>4262</v>
      </c>
      <c r="O507" s="1">
        <v>45383</v>
      </c>
      <c r="P507" s="1">
        <v>45381.941967592589</v>
      </c>
      <c r="Q507" t="s">
        <v>4262</v>
      </c>
      <c r="R507" s="6">
        <v>45383.416666666664</v>
      </c>
      <c r="S507" t="s">
        <v>43</v>
      </c>
      <c r="T507">
        <v>39.979999999999997</v>
      </c>
      <c r="U507">
        <v>0</v>
      </c>
      <c r="V507">
        <v>39.979999999999997</v>
      </c>
      <c r="W507">
        <v>0</v>
      </c>
      <c r="X507">
        <v>0</v>
      </c>
      <c r="Y507">
        <v>0</v>
      </c>
      <c r="Z507">
        <v>39.979999999999997</v>
      </c>
      <c r="AA507" t="s">
        <v>44</v>
      </c>
      <c r="AB507" t="s">
        <v>45</v>
      </c>
      <c r="AC507" t="s">
        <v>46</v>
      </c>
      <c r="AD507" t="s">
        <v>37</v>
      </c>
      <c r="AE507" t="s">
        <v>37</v>
      </c>
      <c r="AF507" t="s">
        <v>2050</v>
      </c>
      <c r="AG507" t="s">
        <v>37</v>
      </c>
      <c r="AH507" t="s">
        <v>1114</v>
      </c>
      <c r="AI507" t="s">
        <v>37</v>
      </c>
    </row>
    <row r="508" spans="1:35" x14ac:dyDescent="0.25">
      <c r="A508" t="s">
        <v>2051</v>
      </c>
      <c r="B508" t="s">
        <v>34</v>
      </c>
      <c r="C508" t="s">
        <v>1114</v>
      </c>
      <c r="D508" t="s">
        <v>1115</v>
      </c>
      <c r="E508" t="s">
        <v>37</v>
      </c>
      <c r="F508" t="s">
        <v>1686</v>
      </c>
      <c r="G508" t="s">
        <v>39</v>
      </c>
      <c r="H508" t="s">
        <v>40</v>
      </c>
      <c r="I508" t="s">
        <v>41</v>
      </c>
      <c r="J508" t="s">
        <v>37</v>
      </c>
      <c r="K508" t="s">
        <v>37</v>
      </c>
      <c r="L508" t="s">
        <v>42</v>
      </c>
      <c r="M508" s="6">
        <v>45384.291666666664</v>
      </c>
      <c r="N508" t="s">
        <v>4267</v>
      </c>
      <c r="O508" s="1">
        <v>45384</v>
      </c>
      <c r="P508" s="1">
        <v>45381.941967592589</v>
      </c>
      <c r="Q508" t="s">
        <v>4267</v>
      </c>
      <c r="R508" s="6">
        <v>45384.416666666664</v>
      </c>
      <c r="S508" t="s">
        <v>43</v>
      </c>
      <c r="T508">
        <v>39.979999999999997</v>
      </c>
      <c r="U508">
        <v>0</v>
      </c>
      <c r="V508">
        <v>39.979999999999997</v>
      </c>
      <c r="W508">
        <v>0</v>
      </c>
      <c r="X508">
        <v>0</v>
      </c>
      <c r="Y508">
        <v>0</v>
      </c>
      <c r="Z508">
        <v>39.979999999999997</v>
      </c>
      <c r="AA508" t="s">
        <v>44</v>
      </c>
      <c r="AB508" t="s">
        <v>45</v>
      </c>
      <c r="AC508" t="s">
        <v>46</v>
      </c>
      <c r="AD508" t="s">
        <v>37</v>
      </c>
      <c r="AE508" t="s">
        <v>37</v>
      </c>
      <c r="AF508" t="s">
        <v>2050</v>
      </c>
      <c r="AG508" t="s">
        <v>37</v>
      </c>
      <c r="AH508" t="s">
        <v>1114</v>
      </c>
      <c r="AI508" t="s">
        <v>37</v>
      </c>
    </row>
    <row r="509" spans="1:35" x14ac:dyDescent="0.25">
      <c r="A509" t="s">
        <v>2019</v>
      </c>
      <c r="B509" t="s">
        <v>34</v>
      </c>
      <c r="C509" t="s">
        <v>2020</v>
      </c>
      <c r="D509" t="s">
        <v>2021</v>
      </c>
      <c r="E509" t="s">
        <v>37</v>
      </c>
      <c r="F509" t="s">
        <v>2022</v>
      </c>
      <c r="G509" t="s">
        <v>39</v>
      </c>
      <c r="H509" t="s">
        <v>40</v>
      </c>
      <c r="I509" t="s">
        <v>41</v>
      </c>
      <c r="J509" t="s">
        <v>37</v>
      </c>
      <c r="K509" t="s">
        <v>37</v>
      </c>
      <c r="L509" t="s">
        <v>42</v>
      </c>
      <c r="M509" s="6">
        <v>45386.291666666664</v>
      </c>
      <c r="N509" t="s">
        <v>4264</v>
      </c>
      <c r="O509" s="1">
        <v>45386</v>
      </c>
      <c r="P509" s="1">
        <v>45386.486111111109</v>
      </c>
      <c r="Q509" t="s">
        <v>4264</v>
      </c>
      <c r="R509" s="6">
        <v>45386.416666666664</v>
      </c>
      <c r="S509" t="s">
        <v>43</v>
      </c>
      <c r="T509">
        <v>19.989999999999998</v>
      </c>
      <c r="U509">
        <v>0</v>
      </c>
      <c r="V509">
        <v>19.989999999999998</v>
      </c>
      <c r="W509">
        <v>0</v>
      </c>
      <c r="X509">
        <v>0</v>
      </c>
      <c r="Y509">
        <v>0</v>
      </c>
      <c r="Z509">
        <v>19.989999999999998</v>
      </c>
      <c r="AA509" t="s">
        <v>44</v>
      </c>
      <c r="AB509" t="s">
        <v>45</v>
      </c>
      <c r="AC509" t="s">
        <v>46</v>
      </c>
      <c r="AD509" t="s">
        <v>37</v>
      </c>
      <c r="AE509" t="s">
        <v>37</v>
      </c>
      <c r="AF509" t="s">
        <v>2023</v>
      </c>
      <c r="AG509" t="s">
        <v>37</v>
      </c>
      <c r="AH509" t="s">
        <v>2020</v>
      </c>
      <c r="AI509" t="s">
        <v>37</v>
      </c>
    </row>
    <row r="510" spans="1:35" x14ac:dyDescent="0.25">
      <c r="A510" t="s">
        <v>2014</v>
      </c>
      <c r="B510" t="s">
        <v>34</v>
      </c>
      <c r="C510" t="s">
        <v>2015</v>
      </c>
      <c r="D510" t="s">
        <v>2016</v>
      </c>
      <c r="E510" t="s">
        <v>37</v>
      </c>
      <c r="F510" t="s">
        <v>2017</v>
      </c>
      <c r="G510" t="s">
        <v>39</v>
      </c>
      <c r="H510" t="s">
        <v>40</v>
      </c>
      <c r="I510" t="s">
        <v>41</v>
      </c>
      <c r="J510" t="s">
        <v>37</v>
      </c>
      <c r="K510" t="s">
        <v>37</v>
      </c>
      <c r="L510" t="s">
        <v>42</v>
      </c>
      <c r="M510" s="6">
        <v>45388.291666666664</v>
      </c>
      <c r="N510" t="s">
        <v>4265</v>
      </c>
      <c r="O510" s="1">
        <v>45388</v>
      </c>
      <c r="P510" s="1">
        <v>45385.846296296295</v>
      </c>
      <c r="Q510" t="s">
        <v>4265</v>
      </c>
      <c r="R510" s="6">
        <v>45388.416666666664</v>
      </c>
      <c r="S510" t="s">
        <v>43</v>
      </c>
      <c r="T510">
        <v>24.99</v>
      </c>
      <c r="U510">
        <v>0</v>
      </c>
      <c r="V510">
        <v>24.99</v>
      </c>
      <c r="W510">
        <v>0</v>
      </c>
      <c r="X510">
        <v>0</v>
      </c>
      <c r="Y510">
        <v>0</v>
      </c>
      <c r="Z510">
        <v>24.99</v>
      </c>
      <c r="AA510" t="s">
        <v>44</v>
      </c>
      <c r="AB510" t="s">
        <v>45</v>
      </c>
      <c r="AC510" t="s">
        <v>46</v>
      </c>
      <c r="AD510" t="s">
        <v>37</v>
      </c>
      <c r="AE510" t="s">
        <v>37</v>
      </c>
      <c r="AF510" t="s">
        <v>2018</v>
      </c>
      <c r="AG510" t="s">
        <v>37</v>
      </c>
      <c r="AH510" t="s">
        <v>2015</v>
      </c>
      <c r="AI510" t="s">
        <v>37</v>
      </c>
    </row>
    <row r="511" spans="1:35" x14ac:dyDescent="0.25">
      <c r="A511" t="s">
        <v>2024</v>
      </c>
      <c r="B511" t="s">
        <v>34</v>
      </c>
      <c r="C511" t="s">
        <v>2025</v>
      </c>
      <c r="D511" t="s">
        <v>2026</v>
      </c>
      <c r="E511" t="s">
        <v>37</v>
      </c>
      <c r="F511" t="s">
        <v>2027</v>
      </c>
      <c r="G511" t="s">
        <v>39</v>
      </c>
      <c r="H511" t="s">
        <v>40</v>
      </c>
      <c r="I511" t="s">
        <v>41</v>
      </c>
      <c r="J511" t="s">
        <v>37</v>
      </c>
      <c r="K511" t="s">
        <v>37</v>
      </c>
      <c r="L511" t="s">
        <v>42</v>
      </c>
      <c r="M511" s="6">
        <v>45388.291666666664</v>
      </c>
      <c r="N511" t="s">
        <v>4265</v>
      </c>
      <c r="O511" s="1">
        <v>45388</v>
      </c>
      <c r="P511" s="1">
        <v>45387.81354166667</v>
      </c>
      <c r="Q511" t="s">
        <v>4265</v>
      </c>
      <c r="R511" s="6">
        <v>45388.416666666664</v>
      </c>
      <c r="S511" t="s">
        <v>43</v>
      </c>
      <c r="T511">
        <v>24.99</v>
      </c>
      <c r="U511">
        <v>0</v>
      </c>
      <c r="V511">
        <v>24.99</v>
      </c>
      <c r="W511">
        <v>0</v>
      </c>
      <c r="X511">
        <v>0</v>
      </c>
      <c r="Y511">
        <v>0</v>
      </c>
      <c r="Z511">
        <v>24.99</v>
      </c>
      <c r="AA511" t="s">
        <v>44</v>
      </c>
      <c r="AB511" t="s">
        <v>45</v>
      </c>
      <c r="AC511" t="s">
        <v>46</v>
      </c>
      <c r="AD511" t="s">
        <v>37</v>
      </c>
      <c r="AE511" t="s">
        <v>37</v>
      </c>
      <c r="AF511" t="s">
        <v>2028</v>
      </c>
      <c r="AG511" t="s">
        <v>37</v>
      </c>
      <c r="AH511" t="s">
        <v>2025</v>
      </c>
      <c r="AI511" t="s">
        <v>37</v>
      </c>
    </row>
    <row r="512" spans="1:35" x14ac:dyDescent="0.25">
      <c r="A512" t="s">
        <v>2029</v>
      </c>
      <c r="B512" t="s">
        <v>34</v>
      </c>
      <c r="C512" t="s">
        <v>2030</v>
      </c>
      <c r="D512" t="s">
        <v>2031</v>
      </c>
      <c r="E512" t="s">
        <v>37</v>
      </c>
      <c r="F512" t="s">
        <v>2032</v>
      </c>
      <c r="G512" t="s">
        <v>39</v>
      </c>
      <c r="H512" t="s">
        <v>40</v>
      </c>
      <c r="I512" t="s">
        <v>41</v>
      </c>
      <c r="J512" t="s">
        <v>37</v>
      </c>
      <c r="K512" t="s">
        <v>37</v>
      </c>
      <c r="L512" t="s">
        <v>42</v>
      </c>
      <c r="M512" s="6">
        <v>45388.291666666664</v>
      </c>
      <c r="N512" t="s">
        <v>4265</v>
      </c>
      <c r="O512" s="1">
        <v>45388</v>
      </c>
      <c r="P512" s="1">
        <v>45387.930011574077</v>
      </c>
      <c r="Q512" t="s">
        <v>4265</v>
      </c>
      <c r="R512" s="6">
        <v>45388.416666666664</v>
      </c>
      <c r="S512" t="s">
        <v>43</v>
      </c>
      <c r="T512">
        <v>24.99</v>
      </c>
      <c r="U512">
        <v>0</v>
      </c>
      <c r="V512">
        <v>24.99</v>
      </c>
      <c r="W512">
        <v>0</v>
      </c>
      <c r="X512">
        <v>0</v>
      </c>
      <c r="Y512">
        <v>0</v>
      </c>
      <c r="Z512">
        <v>24.99</v>
      </c>
      <c r="AA512" t="s">
        <v>44</v>
      </c>
      <c r="AB512" t="s">
        <v>45</v>
      </c>
      <c r="AC512" t="s">
        <v>46</v>
      </c>
      <c r="AD512" t="s">
        <v>37</v>
      </c>
      <c r="AE512" t="s">
        <v>37</v>
      </c>
      <c r="AF512" t="s">
        <v>2033</v>
      </c>
      <c r="AG512" t="s">
        <v>37</v>
      </c>
      <c r="AH512" t="s">
        <v>2030</v>
      </c>
      <c r="AI512" t="s">
        <v>37</v>
      </c>
    </row>
    <row r="513" spans="1:35" x14ac:dyDescent="0.25">
      <c r="A513" t="s">
        <v>2070</v>
      </c>
      <c r="B513" t="s">
        <v>34</v>
      </c>
      <c r="C513" t="s">
        <v>2071</v>
      </c>
      <c r="D513" t="s">
        <v>2072</v>
      </c>
      <c r="E513" t="s">
        <v>37</v>
      </c>
      <c r="F513" t="s">
        <v>2073</v>
      </c>
      <c r="G513" t="s">
        <v>39</v>
      </c>
      <c r="H513" t="s">
        <v>40</v>
      </c>
      <c r="I513" t="s">
        <v>41</v>
      </c>
      <c r="J513" t="s">
        <v>37</v>
      </c>
      <c r="K513" t="s">
        <v>37</v>
      </c>
      <c r="L513" t="s">
        <v>42</v>
      </c>
      <c r="M513" s="6">
        <v>45388.291666666664</v>
      </c>
      <c r="N513" t="s">
        <v>4265</v>
      </c>
      <c r="O513" s="1">
        <v>45388</v>
      </c>
      <c r="P513" s="1">
        <v>45383.524398148147</v>
      </c>
      <c r="Q513" t="s">
        <v>4265</v>
      </c>
      <c r="R513" s="6">
        <v>45388.416666666664</v>
      </c>
      <c r="S513" t="s">
        <v>43</v>
      </c>
      <c r="T513">
        <v>49.98</v>
      </c>
      <c r="U513">
        <v>0</v>
      </c>
      <c r="V513">
        <v>49.98</v>
      </c>
      <c r="W513">
        <v>0</v>
      </c>
      <c r="X513">
        <v>0</v>
      </c>
      <c r="Y513">
        <v>0</v>
      </c>
      <c r="Z513">
        <v>49.98</v>
      </c>
      <c r="AA513" t="s">
        <v>44</v>
      </c>
      <c r="AB513" t="s">
        <v>45</v>
      </c>
      <c r="AC513" t="s">
        <v>46</v>
      </c>
      <c r="AD513" t="s">
        <v>37</v>
      </c>
      <c r="AE513" t="s">
        <v>37</v>
      </c>
      <c r="AF513" t="s">
        <v>2074</v>
      </c>
      <c r="AG513" t="s">
        <v>37</v>
      </c>
      <c r="AH513" t="s">
        <v>2071</v>
      </c>
      <c r="AI513" t="s">
        <v>37</v>
      </c>
    </row>
    <row r="514" spans="1:35" x14ac:dyDescent="0.25">
      <c r="A514" t="s">
        <v>2034</v>
      </c>
      <c r="B514" t="s">
        <v>34</v>
      </c>
      <c r="C514" t="s">
        <v>2035</v>
      </c>
      <c r="D514" t="s">
        <v>2036</v>
      </c>
      <c r="E514" t="s">
        <v>37</v>
      </c>
      <c r="F514" t="s">
        <v>2037</v>
      </c>
      <c r="G514" t="s">
        <v>39</v>
      </c>
      <c r="H514" t="s">
        <v>40</v>
      </c>
      <c r="I514" t="s">
        <v>41</v>
      </c>
      <c r="J514" t="s">
        <v>37</v>
      </c>
      <c r="K514" t="s">
        <v>37</v>
      </c>
      <c r="L514" t="s">
        <v>42</v>
      </c>
      <c r="M514" s="6">
        <v>45388.446516203701</v>
      </c>
      <c r="N514" t="s">
        <v>4265</v>
      </c>
      <c r="O514" s="1">
        <v>45388.154849537037</v>
      </c>
      <c r="P514" s="1">
        <v>45388.446574074071</v>
      </c>
      <c r="Q514" t="s">
        <v>4265</v>
      </c>
      <c r="R514" s="6">
        <v>45388.416666666664</v>
      </c>
      <c r="S514" t="s">
        <v>43</v>
      </c>
      <c r="T514">
        <v>24.99</v>
      </c>
      <c r="U514">
        <v>0</v>
      </c>
      <c r="V514">
        <v>24.99</v>
      </c>
      <c r="W514">
        <v>0</v>
      </c>
      <c r="X514">
        <v>0</v>
      </c>
      <c r="Y514">
        <v>0</v>
      </c>
      <c r="Z514">
        <v>24.99</v>
      </c>
      <c r="AA514" t="s">
        <v>44</v>
      </c>
      <c r="AB514" t="s">
        <v>45</v>
      </c>
      <c r="AC514" t="s">
        <v>46</v>
      </c>
      <c r="AD514" t="s">
        <v>37</v>
      </c>
      <c r="AE514" t="s">
        <v>37</v>
      </c>
      <c r="AF514" t="s">
        <v>2038</v>
      </c>
      <c r="AG514" t="s">
        <v>37</v>
      </c>
      <c r="AH514" t="s">
        <v>2035</v>
      </c>
      <c r="AI514" t="s">
        <v>37</v>
      </c>
    </row>
    <row r="515" spans="1:35" x14ac:dyDescent="0.25">
      <c r="A515" t="s">
        <v>2039</v>
      </c>
      <c r="B515" t="s">
        <v>34</v>
      </c>
      <c r="C515" t="s">
        <v>2040</v>
      </c>
      <c r="D515" t="s">
        <v>2041</v>
      </c>
      <c r="E515" t="s">
        <v>37</v>
      </c>
      <c r="F515" t="s">
        <v>2042</v>
      </c>
      <c r="G515" t="s">
        <v>39</v>
      </c>
      <c r="H515" t="s">
        <v>40</v>
      </c>
      <c r="I515" t="s">
        <v>41</v>
      </c>
      <c r="J515" t="s">
        <v>37</v>
      </c>
      <c r="K515" t="s">
        <v>37</v>
      </c>
      <c r="L515" t="s">
        <v>42</v>
      </c>
      <c r="M515" s="6">
        <v>45389.291666666664</v>
      </c>
      <c r="N515" t="s">
        <v>4266</v>
      </c>
      <c r="O515" s="1">
        <v>45389</v>
      </c>
      <c r="P515" s="1">
        <v>45388.467800925922</v>
      </c>
      <c r="Q515" t="s">
        <v>4266</v>
      </c>
      <c r="R515" s="6">
        <v>45389.416666666664</v>
      </c>
      <c r="S515" t="s">
        <v>43</v>
      </c>
      <c r="T515">
        <v>24.99</v>
      </c>
      <c r="U515">
        <v>0</v>
      </c>
      <c r="V515">
        <v>24.99</v>
      </c>
      <c r="W515">
        <v>0</v>
      </c>
      <c r="X515">
        <v>0</v>
      </c>
      <c r="Y515">
        <v>0</v>
      </c>
      <c r="Z515">
        <v>24.99</v>
      </c>
      <c r="AA515" t="s">
        <v>44</v>
      </c>
      <c r="AB515" t="s">
        <v>45</v>
      </c>
      <c r="AC515" t="s">
        <v>46</v>
      </c>
      <c r="AD515" t="s">
        <v>37</v>
      </c>
      <c r="AE515" t="s">
        <v>37</v>
      </c>
      <c r="AF515" t="s">
        <v>2043</v>
      </c>
      <c r="AG515" t="s">
        <v>37</v>
      </c>
      <c r="AH515" t="s">
        <v>2040</v>
      </c>
      <c r="AI515" t="s">
        <v>37</v>
      </c>
    </row>
    <row r="516" spans="1:35" x14ac:dyDescent="0.25">
      <c r="A516" t="s">
        <v>2075</v>
      </c>
      <c r="B516" t="s">
        <v>34</v>
      </c>
      <c r="C516" t="s">
        <v>2071</v>
      </c>
      <c r="D516" t="s">
        <v>2072</v>
      </c>
      <c r="E516" t="s">
        <v>37</v>
      </c>
      <c r="F516" t="s">
        <v>2073</v>
      </c>
      <c r="G516" t="s">
        <v>39</v>
      </c>
      <c r="H516" t="s">
        <v>40</v>
      </c>
      <c r="I516" t="s">
        <v>41</v>
      </c>
      <c r="J516" t="s">
        <v>37</v>
      </c>
      <c r="K516" t="s">
        <v>37</v>
      </c>
      <c r="L516" t="s">
        <v>42</v>
      </c>
      <c r="M516" s="6">
        <v>45389.291666666664</v>
      </c>
      <c r="N516" t="s">
        <v>4266</v>
      </c>
      <c r="O516" s="1">
        <v>45389</v>
      </c>
      <c r="P516" s="1">
        <v>45383.524398148147</v>
      </c>
      <c r="Q516" t="s">
        <v>4266</v>
      </c>
      <c r="R516" s="6">
        <v>45389.416666666664</v>
      </c>
      <c r="S516" t="s">
        <v>43</v>
      </c>
      <c r="T516">
        <v>49.98</v>
      </c>
      <c r="U516">
        <v>0</v>
      </c>
      <c r="V516">
        <v>49.98</v>
      </c>
      <c r="W516">
        <v>0</v>
      </c>
      <c r="X516">
        <v>0</v>
      </c>
      <c r="Y516">
        <v>0</v>
      </c>
      <c r="Z516">
        <v>49.98</v>
      </c>
      <c r="AA516" t="s">
        <v>44</v>
      </c>
      <c r="AB516" t="s">
        <v>45</v>
      </c>
      <c r="AC516" t="s">
        <v>46</v>
      </c>
      <c r="AD516" t="s">
        <v>37</v>
      </c>
      <c r="AE516" t="s">
        <v>37</v>
      </c>
      <c r="AF516" t="s">
        <v>2074</v>
      </c>
      <c r="AG516" t="s">
        <v>37</v>
      </c>
      <c r="AH516" t="s">
        <v>2071</v>
      </c>
      <c r="AI516" t="s">
        <v>37</v>
      </c>
    </row>
    <row r="517" spans="1:35" x14ac:dyDescent="0.25">
      <c r="A517" t="s">
        <v>2065</v>
      </c>
      <c r="B517" t="s">
        <v>34</v>
      </c>
      <c r="C517" t="s">
        <v>2066</v>
      </c>
      <c r="D517" t="s">
        <v>2067</v>
      </c>
      <c r="E517" t="s">
        <v>37</v>
      </c>
      <c r="F517" t="s">
        <v>2068</v>
      </c>
      <c r="G517" t="s">
        <v>39</v>
      </c>
      <c r="H517" t="s">
        <v>40</v>
      </c>
      <c r="I517" t="s">
        <v>41</v>
      </c>
      <c r="J517" t="s">
        <v>37</v>
      </c>
      <c r="K517" t="s">
        <v>37</v>
      </c>
      <c r="L517" t="s">
        <v>42</v>
      </c>
      <c r="M517" s="6">
        <v>45393.333564814813</v>
      </c>
      <c r="N517" t="s">
        <v>4264</v>
      </c>
      <c r="O517" s="1">
        <v>45393.041898148149</v>
      </c>
      <c r="P517" s="1">
        <v>45393.333622685182</v>
      </c>
      <c r="Q517" t="s">
        <v>4264</v>
      </c>
      <c r="R517" s="6">
        <v>45393.416666666664</v>
      </c>
      <c r="S517" t="s">
        <v>43</v>
      </c>
      <c r="T517">
        <v>19.989999999999998</v>
      </c>
      <c r="U517">
        <v>0</v>
      </c>
      <c r="V517">
        <v>19.989999999999998</v>
      </c>
      <c r="W517">
        <v>0</v>
      </c>
      <c r="X517">
        <v>0</v>
      </c>
      <c r="Y517">
        <v>0</v>
      </c>
      <c r="Z517">
        <v>19.989999999999998</v>
      </c>
      <c r="AA517" t="s">
        <v>44</v>
      </c>
      <c r="AB517" t="s">
        <v>45</v>
      </c>
      <c r="AC517" t="s">
        <v>46</v>
      </c>
      <c r="AD517" t="s">
        <v>37</v>
      </c>
      <c r="AE517" t="s">
        <v>37</v>
      </c>
      <c r="AF517" t="s">
        <v>2069</v>
      </c>
      <c r="AG517" t="s">
        <v>37</v>
      </c>
      <c r="AH517" t="s">
        <v>2066</v>
      </c>
      <c r="AI517" t="s">
        <v>37</v>
      </c>
    </row>
    <row r="518" spans="1:35" x14ac:dyDescent="0.25">
      <c r="A518" t="s">
        <v>2085</v>
      </c>
      <c r="B518" t="s">
        <v>34</v>
      </c>
      <c r="C518" t="s">
        <v>2086</v>
      </c>
      <c r="D518" t="s">
        <v>2087</v>
      </c>
      <c r="E518" t="s">
        <v>37</v>
      </c>
      <c r="F518" t="s">
        <v>2088</v>
      </c>
      <c r="G518" t="s">
        <v>39</v>
      </c>
      <c r="H518" t="s">
        <v>40</v>
      </c>
      <c r="I518" t="s">
        <v>41</v>
      </c>
      <c r="J518" t="s">
        <v>37</v>
      </c>
      <c r="K518" t="s">
        <v>37</v>
      </c>
      <c r="L518" t="s">
        <v>42</v>
      </c>
      <c r="M518" s="6">
        <v>45395.291666666664</v>
      </c>
      <c r="N518" t="s">
        <v>4265</v>
      </c>
      <c r="O518" s="1">
        <v>45395</v>
      </c>
      <c r="P518" s="1">
        <v>45394.52375</v>
      </c>
      <c r="Q518" t="s">
        <v>4265</v>
      </c>
      <c r="R518" s="6">
        <v>45395.416666666664</v>
      </c>
      <c r="S518" t="s">
        <v>43</v>
      </c>
      <c r="T518">
        <v>24.99</v>
      </c>
      <c r="U518">
        <v>0</v>
      </c>
      <c r="V518">
        <v>24.99</v>
      </c>
      <c r="W518">
        <v>0</v>
      </c>
      <c r="X518">
        <v>0</v>
      </c>
      <c r="Y518">
        <v>0</v>
      </c>
      <c r="Z518">
        <v>24.99</v>
      </c>
      <c r="AA518" t="s">
        <v>44</v>
      </c>
      <c r="AB518" t="s">
        <v>45</v>
      </c>
      <c r="AC518" t="s">
        <v>46</v>
      </c>
      <c r="AD518" t="s">
        <v>37</v>
      </c>
      <c r="AE518" t="s">
        <v>37</v>
      </c>
      <c r="AF518" t="s">
        <v>2089</v>
      </c>
      <c r="AG518" t="s">
        <v>37</v>
      </c>
      <c r="AH518" t="s">
        <v>2090</v>
      </c>
      <c r="AI518" t="s">
        <v>37</v>
      </c>
    </row>
    <row r="519" spans="1:35" x14ac:dyDescent="0.25">
      <c r="A519" t="s">
        <v>2091</v>
      </c>
      <c r="B519" t="s">
        <v>34</v>
      </c>
      <c r="C519" t="s">
        <v>2092</v>
      </c>
      <c r="D519" t="s">
        <v>2093</v>
      </c>
      <c r="E519" t="s">
        <v>37</v>
      </c>
      <c r="F519" t="s">
        <v>2094</v>
      </c>
      <c r="G519" t="s">
        <v>39</v>
      </c>
      <c r="H519" t="s">
        <v>40</v>
      </c>
      <c r="I519" t="s">
        <v>41</v>
      </c>
      <c r="J519" t="s">
        <v>37</v>
      </c>
      <c r="K519" t="s">
        <v>37</v>
      </c>
      <c r="L519" t="s">
        <v>42</v>
      </c>
      <c r="M519" s="6">
        <v>45399.291666666664</v>
      </c>
      <c r="N519" t="s">
        <v>4263</v>
      </c>
      <c r="O519" s="1">
        <v>45399</v>
      </c>
      <c r="P519" s="1">
        <v>45396.753622685188</v>
      </c>
      <c r="Q519" t="s">
        <v>4263</v>
      </c>
      <c r="R519" s="6">
        <v>45399.416666666664</v>
      </c>
      <c r="S519" t="s">
        <v>43</v>
      </c>
      <c r="T519">
        <v>19.989999999999998</v>
      </c>
      <c r="U519">
        <v>0</v>
      </c>
      <c r="V519">
        <v>19.989999999999998</v>
      </c>
      <c r="W519">
        <v>0</v>
      </c>
      <c r="X519">
        <v>0</v>
      </c>
      <c r="Y519">
        <v>0</v>
      </c>
      <c r="Z519">
        <v>19.989999999999998</v>
      </c>
      <c r="AA519" t="s">
        <v>44</v>
      </c>
      <c r="AB519" t="s">
        <v>45</v>
      </c>
      <c r="AC519" t="s">
        <v>46</v>
      </c>
      <c r="AD519" t="s">
        <v>37</v>
      </c>
      <c r="AE519" t="s">
        <v>37</v>
      </c>
      <c r="AF519" t="s">
        <v>2095</v>
      </c>
      <c r="AG519" t="s">
        <v>37</v>
      </c>
      <c r="AH519" t="s">
        <v>2092</v>
      </c>
      <c r="AI519" t="s">
        <v>37</v>
      </c>
    </row>
    <row r="520" spans="1:35" x14ac:dyDescent="0.25">
      <c r="A520" t="s">
        <v>2052</v>
      </c>
      <c r="B520" t="s">
        <v>34</v>
      </c>
      <c r="C520" t="s">
        <v>2053</v>
      </c>
      <c r="D520" t="s">
        <v>2054</v>
      </c>
      <c r="E520" t="s">
        <v>37</v>
      </c>
      <c r="F520" t="s">
        <v>2055</v>
      </c>
      <c r="G520" t="s">
        <v>39</v>
      </c>
      <c r="H520" t="s">
        <v>40</v>
      </c>
      <c r="I520" t="s">
        <v>41</v>
      </c>
      <c r="J520" t="s">
        <v>37</v>
      </c>
      <c r="K520" t="s">
        <v>37</v>
      </c>
      <c r="L520" t="s">
        <v>42</v>
      </c>
      <c r="M520" s="6">
        <v>45401.291666666664</v>
      </c>
      <c r="N520" t="s">
        <v>4268</v>
      </c>
      <c r="O520" s="1">
        <v>45401</v>
      </c>
      <c r="P520" s="1">
        <v>45401.311932870369</v>
      </c>
      <c r="Q520" t="s">
        <v>4268</v>
      </c>
      <c r="R520" s="6">
        <v>45401.416666666664</v>
      </c>
      <c r="S520" t="s">
        <v>43</v>
      </c>
      <c r="T520">
        <v>19.989999999999998</v>
      </c>
      <c r="U520">
        <v>0</v>
      </c>
      <c r="V520">
        <v>19.989999999999998</v>
      </c>
      <c r="W520">
        <v>0</v>
      </c>
      <c r="X520">
        <v>0</v>
      </c>
      <c r="Y520">
        <v>0</v>
      </c>
      <c r="Z520">
        <v>19.989999999999998</v>
      </c>
      <c r="AA520" t="s">
        <v>44</v>
      </c>
      <c r="AB520" t="s">
        <v>45</v>
      </c>
      <c r="AC520" t="s">
        <v>46</v>
      </c>
      <c r="AD520" t="s">
        <v>37</v>
      </c>
      <c r="AE520" t="s">
        <v>37</v>
      </c>
      <c r="AF520" t="s">
        <v>2056</v>
      </c>
      <c r="AG520" t="s">
        <v>37</v>
      </c>
      <c r="AH520" t="s">
        <v>2053</v>
      </c>
      <c r="AI520" t="s">
        <v>37</v>
      </c>
    </row>
    <row r="521" spans="1:35" x14ac:dyDescent="0.25">
      <c r="A521" t="s">
        <v>2044</v>
      </c>
      <c r="B521" t="s">
        <v>34</v>
      </c>
      <c r="C521" t="s">
        <v>2045</v>
      </c>
      <c r="D521" t="s">
        <v>2046</v>
      </c>
      <c r="E521" t="s">
        <v>37</v>
      </c>
      <c r="F521" t="s">
        <v>2047</v>
      </c>
      <c r="G521" t="s">
        <v>39</v>
      </c>
      <c r="H521" t="s">
        <v>40</v>
      </c>
      <c r="I521" t="s">
        <v>41</v>
      </c>
      <c r="J521" t="s">
        <v>37</v>
      </c>
      <c r="K521" t="s">
        <v>37</v>
      </c>
      <c r="L521" t="s">
        <v>42</v>
      </c>
      <c r="M521" s="6">
        <v>45402.291666666664</v>
      </c>
      <c r="N521" t="s">
        <v>4265</v>
      </c>
      <c r="O521" s="1">
        <v>45402</v>
      </c>
      <c r="P521" s="1">
        <v>45399.959398148145</v>
      </c>
      <c r="Q521" t="s">
        <v>4265</v>
      </c>
      <c r="R521" s="6">
        <v>45402.416666666664</v>
      </c>
      <c r="S521" t="s">
        <v>43</v>
      </c>
      <c r="T521">
        <v>24.99</v>
      </c>
      <c r="U521">
        <v>0</v>
      </c>
      <c r="V521">
        <v>24.99</v>
      </c>
      <c r="W521">
        <v>0</v>
      </c>
      <c r="X521">
        <v>0</v>
      </c>
      <c r="Y521">
        <v>0</v>
      </c>
      <c r="Z521">
        <v>24.99</v>
      </c>
      <c r="AA521" t="s">
        <v>44</v>
      </c>
      <c r="AB521" t="s">
        <v>45</v>
      </c>
      <c r="AC521" t="s">
        <v>46</v>
      </c>
      <c r="AD521" t="s">
        <v>37</v>
      </c>
      <c r="AE521" t="s">
        <v>37</v>
      </c>
      <c r="AF521" t="s">
        <v>2048</v>
      </c>
      <c r="AG521" t="s">
        <v>37</v>
      </c>
      <c r="AH521" t="s">
        <v>2045</v>
      </c>
      <c r="AI521" t="s">
        <v>37</v>
      </c>
    </row>
    <row r="522" spans="1:35" x14ac:dyDescent="0.25">
      <c r="A522" t="s">
        <v>2057</v>
      </c>
      <c r="B522" t="s">
        <v>34</v>
      </c>
      <c r="C522" t="s">
        <v>2053</v>
      </c>
      <c r="D522" t="s">
        <v>2054</v>
      </c>
      <c r="E522" t="s">
        <v>37</v>
      </c>
      <c r="F522" t="s">
        <v>2055</v>
      </c>
      <c r="G522" t="s">
        <v>39</v>
      </c>
      <c r="H522" t="s">
        <v>40</v>
      </c>
      <c r="I522" t="s">
        <v>41</v>
      </c>
      <c r="J522" t="s">
        <v>37</v>
      </c>
      <c r="K522" t="s">
        <v>37</v>
      </c>
      <c r="L522" t="s">
        <v>42</v>
      </c>
      <c r="M522" s="6">
        <v>45402.291666666664</v>
      </c>
      <c r="N522" t="s">
        <v>4265</v>
      </c>
      <c r="O522" s="1">
        <v>45402</v>
      </c>
      <c r="P522" s="1">
        <v>45402.325023148151</v>
      </c>
      <c r="Q522" t="s">
        <v>4265</v>
      </c>
      <c r="R522" s="6">
        <v>45402.416666666664</v>
      </c>
      <c r="S522" t="s">
        <v>43</v>
      </c>
      <c r="T522">
        <v>49.98</v>
      </c>
      <c r="U522">
        <v>0</v>
      </c>
      <c r="V522">
        <v>49.98</v>
      </c>
      <c r="W522">
        <v>0</v>
      </c>
      <c r="X522">
        <v>0</v>
      </c>
      <c r="Y522">
        <v>0</v>
      </c>
      <c r="Z522">
        <v>49.98</v>
      </c>
      <c r="AA522" t="s">
        <v>44</v>
      </c>
      <c r="AB522" t="s">
        <v>45</v>
      </c>
      <c r="AC522" t="s">
        <v>46</v>
      </c>
      <c r="AD522" t="s">
        <v>37</v>
      </c>
      <c r="AE522" t="s">
        <v>37</v>
      </c>
      <c r="AF522" t="s">
        <v>2058</v>
      </c>
      <c r="AG522" t="s">
        <v>37</v>
      </c>
      <c r="AH522" t="s">
        <v>2053</v>
      </c>
      <c r="AI522" t="s">
        <v>37</v>
      </c>
    </row>
    <row r="523" spans="1:35" x14ac:dyDescent="0.25">
      <c r="A523" t="s">
        <v>2060</v>
      </c>
      <c r="B523" t="s">
        <v>34</v>
      </c>
      <c r="C523" t="s">
        <v>2061</v>
      </c>
      <c r="D523" t="s">
        <v>2062</v>
      </c>
      <c r="E523" t="s">
        <v>37</v>
      </c>
      <c r="F523" t="s">
        <v>2063</v>
      </c>
      <c r="G523" t="s">
        <v>39</v>
      </c>
      <c r="H523" t="s">
        <v>40</v>
      </c>
      <c r="I523" t="s">
        <v>41</v>
      </c>
      <c r="J523" t="s">
        <v>37</v>
      </c>
      <c r="K523" t="s">
        <v>37</v>
      </c>
      <c r="L523" t="s">
        <v>42</v>
      </c>
      <c r="M523" s="6">
        <v>45402.476053240738</v>
      </c>
      <c r="N523" t="s">
        <v>4265</v>
      </c>
      <c r="O523" s="1">
        <v>45402.184386574074</v>
      </c>
      <c r="P523" s="1">
        <v>45402.476111111115</v>
      </c>
      <c r="Q523" t="s">
        <v>4265</v>
      </c>
      <c r="R523" s="6">
        <v>45402.416666666664</v>
      </c>
      <c r="S523" t="s">
        <v>43</v>
      </c>
      <c r="T523">
        <v>24.99</v>
      </c>
      <c r="U523">
        <v>0</v>
      </c>
      <c r="V523">
        <v>24.99</v>
      </c>
      <c r="W523">
        <v>0</v>
      </c>
      <c r="X523">
        <v>0</v>
      </c>
      <c r="Y523">
        <v>0</v>
      </c>
      <c r="Z523">
        <v>24.99</v>
      </c>
      <c r="AA523" t="s">
        <v>44</v>
      </c>
      <c r="AB523" t="s">
        <v>45</v>
      </c>
      <c r="AC523" t="s">
        <v>46</v>
      </c>
      <c r="AD523" t="s">
        <v>37</v>
      </c>
      <c r="AE523" t="s">
        <v>37</v>
      </c>
      <c r="AF523" t="s">
        <v>2064</v>
      </c>
      <c r="AG523" t="s">
        <v>37</v>
      </c>
      <c r="AH523" t="s">
        <v>2061</v>
      </c>
      <c r="AI523" t="s">
        <v>37</v>
      </c>
    </row>
    <row r="524" spans="1:35" x14ac:dyDescent="0.25">
      <c r="A524" t="s">
        <v>2059</v>
      </c>
      <c r="B524" t="s">
        <v>34</v>
      </c>
      <c r="C524" t="s">
        <v>2053</v>
      </c>
      <c r="D524" t="s">
        <v>2054</v>
      </c>
      <c r="E524" t="s">
        <v>37</v>
      </c>
      <c r="F524" t="s">
        <v>2055</v>
      </c>
      <c r="G524" t="s">
        <v>39</v>
      </c>
      <c r="H524" t="s">
        <v>40</v>
      </c>
      <c r="I524" t="s">
        <v>41</v>
      </c>
      <c r="J524" t="s">
        <v>37</v>
      </c>
      <c r="K524" t="s">
        <v>37</v>
      </c>
      <c r="L524" t="s">
        <v>42</v>
      </c>
      <c r="M524" s="6">
        <v>45403.291666666664</v>
      </c>
      <c r="N524" t="s">
        <v>4266</v>
      </c>
      <c r="O524" s="1">
        <v>45403</v>
      </c>
      <c r="P524" s="1">
        <v>45402.325023148151</v>
      </c>
      <c r="Q524" t="s">
        <v>4266</v>
      </c>
      <c r="R524" s="6">
        <v>45403.416666666664</v>
      </c>
      <c r="S524" t="s">
        <v>43</v>
      </c>
      <c r="T524">
        <v>49.98</v>
      </c>
      <c r="U524">
        <v>0</v>
      </c>
      <c r="V524">
        <v>49.98</v>
      </c>
      <c r="W524">
        <v>0</v>
      </c>
      <c r="X524">
        <v>0</v>
      </c>
      <c r="Y524">
        <v>0</v>
      </c>
      <c r="Z524">
        <v>49.98</v>
      </c>
      <c r="AA524" t="s">
        <v>44</v>
      </c>
      <c r="AB524" t="s">
        <v>45</v>
      </c>
      <c r="AC524" t="s">
        <v>46</v>
      </c>
      <c r="AD524" t="s">
        <v>37</v>
      </c>
      <c r="AE524" t="s">
        <v>37</v>
      </c>
      <c r="AF524" t="s">
        <v>2058</v>
      </c>
      <c r="AG524" t="s">
        <v>37</v>
      </c>
      <c r="AH524" t="s">
        <v>2053</v>
      </c>
      <c r="AI524" t="s">
        <v>37</v>
      </c>
    </row>
    <row r="525" spans="1:35" x14ac:dyDescent="0.25">
      <c r="A525" t="s">
        <v>2009</v>
      </c>
      <c r="B525" t="s">
        <v>34</v>
      </c>
      <c r="C525" t="s">
        <v>2010</v>
      </c>
      <c r="D525" t="s">
        <v>2011</v>
      </c>
      <c r="E525" t="s">
        <v>37</v>
      </c>
      <c r="F525" t="s">
        <v>2012</v>
      </c>
      <c r="G525" t="s">
        <v>39</v>
      </c>
      <c r="H525" t="s">
        <v>40</v>
      </c>
      <c r="I525" t="s">
        <v>41</v>
      </c>
      <c r="J525" t="s">
        <v>37</v>
      </c>
      <c r="K525" t="s">
        <v>37</v>
      </c>
      <c r="L525" t="s">
        <v>42</v>
      </c>
      <c r="M525" s="6">
        <v>45405.291666666664</v>
      </c>
      <c r="N525" t="s">
        <v>4267</v>
      </c>
      <c r="O525" s="1">
        <v>45405</v>
      </c>
      <c r="P525" s="1">
        <v>45405.525439814817</v>
      </c>
      <c r="Q525" t="s">
        <v>4267</v>
      </c>
      <c r="R525" s="6">
        <v>45405.416666666664</v>
      </c>
      <c r="S525" t="s">
        <v>43</v>
      </c>
      <c r="T525">
        <v>19.989999999999998</v>
      </c>
      <c r="U525">
        <v>0</v>
      </c>
      <c r="V525">
        <v>19.989999999999998</v>
      </c>
      <c r="W525">
        <v>0</v>
      </c>
      <c r="X525">
        <v>0</v>
      </c>
      <c r="Y525">
        <v>0</v>
      </c>
      <c r="Z525">
        <v>19.989999999999998</v>
      </c>
      <c r="AA525" t="s">
        <v>44</v>
      </c>
      <c r="AB525" t="s">
        <v>45</v>
      </c>
      <c r="AC525" t="s">
        <v>46</v>
      </c>
      <c r="AD525" t="s">
        <v>37</v>
      </c>
      <c r="AE525" t="s">
        <v>37</v>
      </c>
      <c r="AF525" t="s">
        <v>2013</v>
      </c>
      <c r="AG525" t="s">
        <v>37</v>
      </c>
      <c r="AH525" t="s">
        <v>2010</v>
      </c>
      <c r="AI525" t="s">
        <v>37</v>
      </c>
    </row>
    <row r="526" spans="1:35" x14ac:dyDescent="0.25">
      <c r="A526" t="s">
        <v>2076</v>
      </c>
      <c r="B526" t="s">
        <v>34</v>
      </c>
      <c r="C526" t="s">
        <v>2077</v>
      </c>
      <c r="D526" t="s">
        <v>2078</v>
      </c>
      <c r="E526" t="s">
        <v>37</v>
      </c>
      <c r="F526" t="s">
        <v>2079</v>
      </c>
      <c r="G526" t="s">
        <v>39</v>
      </c>
      <c r="H526" t="s">
        <v>40</v>
      </c>
      <c r="I526" t="s">
        <v>41</v>
      </c>
      <c r="J526" t="s">
        <v>37</v>
      </c>
      <c r="K526" t="s">
        <v>37</v>
      </c>
      <c r="L526" t="s">
        <v>42</v>
      </c>
      <c r="M526" s="6">
        <v>45411.291666666664</v>
      </c>
      <c r="N526" t="s">
        <v>4262</v>
      </c>
      <c r="O526" s="1">
        <v>45411</v>
      </c>
      <c r="P526" s="1">
        <v>45410.717256944445</v>
      </c>
      <c r="Q526" t="s">
        <v>4262</v>
      </c>
      <c r="R526" s="6">
        <v>45411.416666666664</v>
      </c>
      <c r="S526" t="s">
        <v>43</v>
      </c>
      <c r="T526">
        <v>19.989999999999998</v>
      </c>
      <c r="U526">
        <v>0</v>
      </c>
      <c r="V526">
        <v>0</v>
      </c>
      <c r="W526">
        <v>0</v>
      </c>
      <c r="X526">
        <v>0</v>
      </c>
      <c r="Y526">
        <v>0</v>
      </c>
      <c r="Z526">
        <v>19.989999999999998</v>
      </c>
      <c r="AA526" t="s">
        <v>44</v>
      </c>
      <c r="AB526" t="s">
        <v>115</v>
      </c>
      <c r="AC526" t="s">
        <v>116</v>
      </c>
      <c r="AD526" t="s">
        <v>37</v>
      </c>
      <c r="AE526" t="s">
        <v>37</v>
      </c>
      <c r="AF526" t="s">
        <v>37</v>
      </c>
      <c r="AG526" t="s">
        <v>37</v>
      </c>
      <c r="AH526" t="s">
        <v>2077</v>
      </c>
      <c r="AI526" t="s">
        <v>37</v>
      </c>
    </row>
    <row r="527" spans="1:35" x14ac:dyDescent="0.25">
      <c r="A527" t="s">
        <v>2080</v>
      </c>
      <c r="B527" t="s">
        <v>34</v>
      </c>
      <c r="C527" t="s">
        <v>2077</v>
      </c>
      <c r="D527" t="s">
        <v>2078</v>
      </c>
      <c r="E527" t="s">
        <v>37</v>
      </c>
      <c r="F527" t="s">
        <v>2079</v>
      </c>
      <c r="G527" t="s">
        <v>39</v>
      </c>
      <c r="H527" t="s">
        <v>40</v>
      </c>
      <c r="I527" t="s">
        <v>41</v>
      </c>
      <c r="J527" t="s">
        <v>37</v>
      </c>
      <c r="K527" t="s">
        <v>37</v>
      </c>
      <c r="L527" t="s">
        <v>42</v>
      </c>
      <c r="M527" s="6">
        <v>45411.291666666664</v>
      </c>
      <c r="N527" t="s">
        <v>4262</v>
      </c>
      <c r="O527" s="1">
        <v>45411</v>
      </c>
      <c r="P527" s="1">
        <v>45410.717627314814</v>
      </c>
      <c r="Q527" t="s">
        <v>4262</v>
      </c>
      <c r="R527" s="6">
        <v>45411.416666666664</v>
      </c>
      <c r="S527" t="s">
        <v>43</v>
      </c>
      <c r="T527">
        <v>19.989999999999998</v>
      </c>
      <c r="U527">
        <v>0</v>
      </c>
      <c r="V527">
        <v>0</v>
      </c>
      <c r="W527">
        <v>0</v>
      </c>
      <c r="X527">
        <v>0</v>
      </c>
      <c r="Y527">
        <v>0</v>
      </c>
      <c r="Z527">
        <v>19.989999999999998</v>
      </c>
      <c r="AA527" t="s">
        <v>44</v>
      </c>
      <c r="AB527" t="s">
        <v>115</v>
      </c>
      <c r="AC527" t="s">
        <v>116</v>
      </c>
      <c r="AD527" t="s">
        <v>37</v>
      </c>
      <c r="AE527" t="s">
        <v>37</v>
      </c>
      <c r="AF527" t="s">
        <v>37</v>
      </c>
      <c r="AG527" t="s">
        <v>37</v>
      </c>
      <c r="AH527" t="s">
        <v>2077</v>
      </c>
      <c r="AI527" t="s">
        <v>37</v>
      </c>
    </row>
    <row r="528" spans="1:35" x14ac:dyDescent="0.25">
      <c r="A528" t="s">
        <v>2081</v>
      </c>
      <c r="B528" t="s">
        <v>34</v>
      </c>
      <c r="C528" t="s">
        <v>2077</v>
      </c>
      <c r="D528" t="s">
        <v>2078</v>
      </c>
      <c r="E528" t="s">
        <v>37</v>
      </c>
      <c r="F528" t="s">
        <v>2079</v>
      </c>
      <c r="G528" t="s">
        <v>39</v>
      </c>
      <c r="H528" t="s">
        <v>40</v>
      </c>
      <c r="I528" t="s">
        <v>41</v>
      </c>
      <c r="J528" t="s">
        <v>37</v>
      </c>
      <c r="K528" t="s">
        <v>37</v>
      </c>
      <c r="L528" t="s">
        <v>42</v>
      </c>
      <c r="M528" s="6">
        <v>45411.291666666664</v>
      </c>
      <c r="N528" t="s">
        <v>4262</v>
      </c>
      <c r="O528" s="1">
        <v>45411</v>
      </c>
      <c r="P528" s="1">
        <v>45410.718229166669</v>
      </c>
      <c r="Q528" t="s">
        <v>4262</v>
      </c>
      <c r="R528" s="6">
        <v>45411.416666666664</v>
      </c>
      <c r="S528" t="s">
        <v>43</v>
      </c>
      <c r="T528">
        <v>19.989999999999998</v>
      </c>
      <c r="U528">
        <v>0</v>
      </c>
      <c r="V528">
        <v>0</v>
      </c>
      <c r="W528">
        <v>0</v>
      </c>
      <c r="X528">
        <v>0</v>
      </c>
      <c r="Y528">
        <v>0</v>
      </c>
      <c r="Z528">
        <v>19.989999999999998</v>
      </c>
      <c r="AA528" t="s">
        <v>44</v>
      </c>
      <c r="AB528" t="s">
        <v>115</v>
      </c>
      <c r="AC528" t="s">
        <v>116</v>
      </c>
      <c r="AD528" t="s">
        <v>37</v>
      </c>
      <c r="AE528" t="s">
        <v>37</v>
      </c>
      <c r="AF528" t="s">
        <v>37</v>
      </c>
      <c r="AG528" t="s">
        <v>37</v>
      </c>
      <c r="AH528" t="s">
        <v>2077</v>
      </c>
      <c r="AI528" t="s">
        <v>37</v>
      </c>
    </row>
    <row r="529" spans="1:35" x14ac:dyDescent="0.25">
      <c r="A529" t="s">
        <v>2082</v>
      </c>
      <c r="B529" t="s">
        <v>34</v>
      </c>
      <c r="C529" t="s">
        <v>2077</v>
      </c>
      <c r="D529" t="s">
        <v>2078</v>
      </c>
      <c r="E529" t="s">
        <v>37</v>
      </c>
      <c r="F529" t="s">
        <v>2079</v>
      </c>
      <c r="G529" t="s">
        <v>39</v>
      </c>
      <c r="H529" t="s">
        <v>40</v>
      </c>
      <c r="I529" t="s">
        <v>41</v>
      </c>
      <c r="J529" t="s">
        <v>37</v>
      </c>
      <c r="K529" t="s">
        <v>37</v>
      </c>
      <c r="L529" t="s">
        <v>42</v>
      </c>
      <c r="M529" s="6">
        <v>45411.291666666664</v>
      </c>
      <c r="N529" t="s">
        <v>4262</v>
      </c>
      <c r="O529" s="1">
        <v>45411</v>
      </c>
      <c r="P529" s="1">
        <v>45410.718530092592</v>
      </c>
      <c r="Q529" t="s">
        <v>4262</v>
      </c>
      <c r="R529" s="6">
        <v>45411.416666666664</v>
      </c>
      <c r="S529" t="s">
        <v>43</v>
      </c>
      <c r="T529">
        <v>19.989999999999998</v>
      </c>
      <c r="U529">
        <v>0</v>
      </c>
      <c r="V529">
        <v>0</v>
      </c>
      <c r="W529">
        <v>0</v>
      </c>
      <c r="X529">
        <v>0</v>
      </c>
      <c r="Y529">
        <v>0</v>
      </c>
      <c r="Z529">
        <v>19.989999999999998</v>
      </c>
      <c r="AA529" t="s">
        <v>44</v>
      </c>
      <c r="AB529" t="s">
        <v>115</v>
      </c>
      <c r="AC529" t="s">
        <v>116</v>
      </c>
      <c r="AD529" t="s">
        <v>37</v>
      </c>
      <c r="AE529" t="s">
        <v>37</v>
      </c>
      <c r="AF529" t="s">
        <v>37</v>
      </c>
      <c r="AG529" t="s">
        <v>37</v>
      </c>
      <c r="AH529" t="s">
        <v>2077</v>
      </c>
      <c r="AI529" t="s">
        <v>37</v>
      </c>
    </row>
    <row r="530" spans="1:35" x14ac:dyDescent="0.25">
      <c r="A530" t="s">
        <v>2083</v>
      </c>
      <c r="B530" t="s">
        <v>34</v>
      </c>
      <c r="C530" t="s">
        <v>2077</v>
      </c>
      <c r="D530" t="s">
        <v>2078</v>
      </c>
      <c r="E530" t="s">
        <v>37</v>
      </c>
      <c r="F530" t="s">
        <v>2079</v>
      </c>
      <c r="G530" t="s">
        <v>39</v>
      </c>
      <c r="H530" t="s">
        <v>40</v>
      </c>
      <c r="I530" t="s">
        <v>41</v>
      </c>
      <c r="J530" t="s">
        <v>37</v>
      </c>
      <c r="K530" t="s">
        <v>37</v>
      </c>
      <c r="L530" t="s">
        <v>42</v>
      </c>
      <c r="M530" s="6">
        <v>45411.291666666664</v>
      </c>
      <c r="N530" t="s">
        <v>4262</v>
      </c>
      <c r="O530" s="1">
        <v>45411</v>
      </c>
      <c r="P530" s="1">
        <v>45410.719409722224</v>
      </c>
      <c r="Q530" t="s">
        <v>4262</v>
      </c>
      <c r="R530" s="6">
        <v>45411.416666666664</v>
      </c>
      <c r="S530" t="s">
        <v>43</v>
      </c>
      <c r="T530">
        <v>19.989999999999998</v>
      </c>
      <c r="U530">
        <v>0</v>
      </c>
      <c r="V530">
        <v>19.989999999999998</v>
      </c>
      <c r="W530">
        <v>0</v>
      </c>
      <c r="X530">
        <v>0</v>
      </c>
      <c r="Y530">
        <v>0</v>
      </c>
      <c r="Z530">
        <v>19.989999999999998</v>
      </c>
      <c r="AA530" t="s">
        <v>44</v>
      </c>
      <c r="AB530" t="s">
        <v>45</v>
      </c>
      <c r="AC530" t="s">
        <v>46</v>
      </c>
      <c r="AD530" t="s">
        <v>37</v>
      </c>
      <c r="AE530" t="s">
        <v>37</v>
      </c>
      <c r="AF530" t="s">
        <v>2084</v>
      </c>
      <c r="AG530" t="s">
        <v>37</v>
      </c>
      <c r="AH530" t="s">
        <v>2077</v>
      </c>
      <c r="AI530" t="s">
        <v>37</v>
      </c>
    </row>
    <row r="531" spans="1:35" x14ac:dyDescent="0.25">
      <c r="A531" t="s">
        <v>2096</v>
      </c>
      <c r="B531" t="s">
        <v>34</v>
      </c>
      <c r="C531" t="s">
        <v>2097</v>
      </c>
      <c r="D531" t="s">
        <v>2098</v>
      </c>
      <c r="E531" t="s">
        <v>37</v>
      </c>
      <c r="F531" t="s">
        <v>2099</v>
      </c>
      <c r="G531" t="s">
        <v>39</v>
      </c>
      <c r="H531" t="s">
        <v>40</v>
      </c>
      <c r="I531" t="s">
        <v>41</v>
      </c>
      <c r="J531" t="s">
        <v>37</v>
      </c>
      <c r="K531" t="s">
        <v>37</v>
      </c>
      <c r="L531" t="s">
        <v>42</v>
      </c>
      <c r="M531" s="6">
        <v>45413.291666666664</v>
      </c>
      <c r="N531" t="s">
        <v>4263</v>
      </c>
      <c r="O531" s="1">
        <v>45413</v>
      </c>
      <c r="P531" s="1">
        <v>45413.394282407404</v>
      </c>
      <c r="Q531" t="s">
        <v>4263</v>
      </c>
      <c r="R531" s="6">
        <v>45413.416666666664</v>
      </c>
      <c r="S531" t="s">
        <v>43</v>
      </c>
      <c r="T531">
        <v>19.989999999999998</v>
      </c>
      <c r="U531">
        <v>0</v>
      </c>
      <c r="V531">
        <v>19.989999999999998</v>
      </c>
      <c r="W531">
        <v>0</v>
      </c>
      <c r="X531">
        <v>0</v>
      </c>
      <c r="Y531">
        <v>0</v>
      </c>
      <c r="Z531">
        <v>19.989999999999998</v>
      </c>
      <c r="AA531" t="s">
        <v>44</v>
      </c>
      <c r="AB531" t="s">
        <v>45</v>
      </c>
      <c r="AC531" t="s">
        <v>46</v>
      </c>
      <c r="AD531" t="s">
        <v>37</v>
      </c>
      <c r="AE531" t="s">
        <v>37</v>
      </c>
      <c r="AF531" t="s">
        <v>2100</v>
      </c>
      <c r="AG531" t="s">
        <v>37</v>
      </c>
      <c r="AH531" t="s">
        <v>2101</v>
      </c>
      <c r="AI531" t="s">
        <v>37</v>
      </c>
    </row>
    <row r="532" spans="1:35" x14ac:dyDescent="0.25">
      <c r="A532" t="s">
        <v>2102</v>
      </c>
      <c r="B532" t="s">
        <v>34</v>
      </c>
      <c r="C532" t="s">
        <v>2097</v>
      </c>
      <c r="D532" t="s">
        <v>2098</v>
      </c>
      <c r="E532" t="s">
        <v>37</v>
      </c>
      <c r="F532" t="s">
        <v>2099</v>
      </c>
      <c r="G532" t="s">
        <v>39</v>
      </c>
      <c r="H532" t="s">
        <v>40</v>
      </c>
      <c r="I532" t="s">
        <v>41</v>
      </c>
      <c r="J532" t="s">
        <v>37</v>
      </c>
      <c r="K532" t="s">
        <v>37</v>
      </c>
      <c r="L532" t="s">
        <v>42</v>
      </c>
      <c r="M532" s="6">
        <v>45415.291666666664</v>
      </c>
      <c r="N532" t="s">
        <v>4268</v>
      </c>
      <c r="O532" s="1">
        <v>45415</v>
      </c>
      <c r="P532" s="1">
        <v>45415.386481481481</v>
      </c>
      <c r="Q532" t="s">
        <v>4268</v>
      </c>
      <c r="R532" s="6">
        <v>45415.416666666664</v>
      </c>
      <c r="S532" t="s">
        <v>43</v>
      </c>
      <c r="T532">
        <v>19.989999999999998</v>
      </c>
      <c r="U532">
        <v>0</v>
      </c>
      <c r="V532">
        <v>19.989999999999998</v>
      </c>
      <c r="W532">
        <v>0</v>
      </c>
      <c r="X532">
        <v>0</v>
      </c>
      <c r="Y532">
        <v>0</v>
      </c>
      <c r="Z532">
        <v>19.989999999999998</v>
      </c>
      <c r="AA532" t="s">
        <v>44</v>
      </c>
      <c r="AB532" t="s">
        <v>45</v>
      </c>
      <c r="AC532" t="s">
        <v>46</v>
      </c>
      <c r="AD532" t="s">
        <v>37</v>
      </c>
      <c r="AE532" t="s">
        <v>37</v>
      </c>
      <c r="AF532" t="s">
        <v>2103</v>
      </c>
      <c r="AG532" t="s">
        <v>37</v>
      </c>
      <c r="AH532" t="s">
        <v>2101</v>
      </c>
      <c r="AI532" t="s">
        <v>37</v>
      </c>
    </row>
    <row r="533" spans="1:35" x14ac:dyDescent="0.25">
      <c r="A533" t="s">
        <v>2109</v>
      </c>
      <c r="B533" t="s">
        <v>34</v>
      </c>
      <c r="C533" t="s">
        <v>2110</v>
      </c>
      <c r="D533" t="s">
        <v>2111</v>
      </c>
      <c r="E533" t="s">
        <v>37</v>
      </c>
      <c r="F533" t="s">
        <v>2112</v>
      </c>
      <c r="G533" t="s">
        <v>39</v>
      </c>
      <c r="H533" t="s">
        <v>40</v>
      </c>
      <c r="I533" t="s">
        <v>41</v>
      </c>
      <c r="J533" t="s">
        <v>37</v>
      </c>
      <c r="K533" t="s">
        <v>37</v>
      </c>
      <c r="L533" t="s">
        <v>42</v>
      </c>
      <c r="M533" s="6">
        <v>45623.291666666664</v>
      </c>
      <c r="N533" t="s">
        <v>4263</v>
      </c>
      <c r="O533" s="1">
        <v>45623</v>
      </c>
      <c r="P533" s="1">
        <v>45623.493958333333</v>
      </c>
      <c r="Q533" t="s">
        <v>4263</v>
      </c>
      <c r="R533" s="6">
        <v>45623.416666666664</v>
      </c>
      <c r="S533" t="s">
        <v>43</v>
      </c>
      <c r="T533">
        <v>19.04</v>
      </c>
      <c r="U533">
        <v>0</v>
      </c>
      <c r="V533">
        <v>19.04</v>
      </c>
      <c r="W533">
        <v>0.95</v>
      </c>
      <c r="X533">
        <v>0</v>
      </c>
      <c r="Y533">
        <v>0</v>
      </c>
      <c r="Z533">
        <v>19.989999999999998</v>
      </c>
      <c r="AA533" t="s">
        <v>44</v>
      </c>
      <c r="AB533" t="s">
        <v>45</v>
      </c>
      <c r="AC533" t="s">
        <v>46</v>
      </c>
      <c r="AD533" t="s">
        <v>37</v>
      </c>
      <c r="AE533" t="s">
        <v>37</v>
      </c>
      <c r="AF533" t="s">
        <v>2113</v>
      </c>
      <c r="AG533" t="s">
        <v>37</v>
      </c>
      <c r="AH533" t="s">
        <v>2110</v>
      </c>
      <c r="AI533" t="s">
        <v>37</v>
      </c>
    </row>
    <row r="534" spans="1:35" x14ac:dyDescent="0.25">
      <c r="A534" t="s">
        <v>2104</v>
      </c>
      <c r="B534" t="s">
        <v>34</v>
      </c>
      <c r="C534" t="s">
        <v>2105</v>
      </c>
      <c r="D534" t="s">
        <v>2106</v>
      </c>
      <c r="E534" t="s">
        <v>37</v>
      </c>
      <c r="F534" t="s">
        <v>2107</v>
      </c>
      <c r="G534" t="s">
        <v>39</v>
      </c>
      <c r="H534" t="s">
        <v>40</v>
      </c>
      <c r="I534" t="s">
        <v>41</v>
      </c>
      <c r="J534" t="s">
        <v>37</v>
      </c>
      <c r="K534" t="s">
        <v>37</v>
      </c>
      <c r="L534" t="s">
        <v>42</v>
      </c>
      <c r="M534" s="6">
        <v>45626.291666666664</v>
      </c>
      <c r="N534" t="s">
        <v>4265</v>
      </c>
      <c r="O534" s="1">
        <v>45626</v>
      </c>
      <c r="P534" s="1">
        <v>45626.450150462966</v>
      </c>
      <c r="Q534" t="s">
        <v>4265</v>
      </c>
      <c r="R534" s="6">
        <v>45626.416666666664</v>
      </c>
      <c r="S534" t="s">
        <v>43</v>
      </c>
      <c r="T534">
        <v>23.8</v>
      </c>
      <c r="U534">
        <v>0</v>
      </c>
      <c r="V534">
        <v>23.8</v>
      </c>
      <c r="W534">
        <v>1.19</v>
      </c>
      <c r="X534">
        <v>0</v>
      </c>
      <c r="Y534">
        <v>0</v>
      </c>
      <c r="Z534">
        <v>24.99</v>
      </c>
      <c r="AA534" t="s">
        <v>44</v>
      </c>
      <c r="AB534" t="s">
        <v>45</v>
      </c>
      <c r="AC534" t="s">
        <v>46</v>
      </c>
      <c r="AD534" t="s">
        <v>37</v>
      </c>
      <c r="AE534" t="s">
        <v>37</v>
      </c>
      <c r="AF534" t="s">
        <v>2108</v>
      </c>
      <c r="AG534" t="s">
        <v>37</v>
      </c>
      <c r="AH534" t="s">
        <v>2105</v>
      </c>
      <c r="AI534" t="s">
        <v>37</v>
      </c>
    </row>
    <row r="535" spans="1:35" x14ac:dyDescent="0.25">
      <c r="A535" t="s">
        <v>2255</v>
      </c>
      <c r="B535" t="s">
        <v>34</v>
      </c>
      <c r="C535" t="s">
        <v>2256</v>
      </c>
      <c r="D535" t="s">
        <v>2257</v>
      </c>
      <c r="E535" t="s">
        <v>37</v>
      </c>
      <c r="F535" t="s">
        <v>2258</v>
      </c>
      <c r="G535" t="s">
        <v>39</v>
      </c>
      <c r="H535" t="s">
        <v>40</v>
      </c>
      <c r="I535" t="s">
        <v>41</v>
      </c>
      <c r="J535" t="s">
        <v>37</v>
      </c>
      <c r="K535" t="s">
        <v>37</v>
      </c>
      <c r="L535" t="s">
        <v>42</v>
      </c>
      <c r="M535" s="6">
        <v>45631.391469907408</v>
      </c>
      <c r="N535" t="s">
        <v>4264</v>
      </c>
      <c r="O535" s="1">
        <v>45631.099803240744</v>
      </c>
      <c r="P535" s="1">
        <v>45631.391516203701</v>
      </c>
      <c r="Q535" t="s">
        <v>4264</v>
      </c>
      <c r="R535" s="6">
        <v>45631.416666666664</v>
      </c>
      <c r="S535" t="s">
        <v>43</v>
      </c>
      <c r="T535">
        <v>19.04</v>
      </c>
      <c r="U535">
        <v>0</v>
      </c>
      <c r="V535">
        <v>19.04</v>
      </c>
      <c r="W535">
        <v>0.95</v>
      </c>
      <c r="X535">
        <v>0</v>
      </c>
      <c r="Y535">
        <v>0</v>
      </c>
      <c r="Z535">
        <v>19.989999999999998</v>
      </c>
      <c r="AA535" t="s">
        <v>44</v>
      </c>
      <c r="AB535" t="s">
        <v>45</v>
      </c>
      <c r="AC535" t="s">
        <v>46</v>
      </c>
      <c r="AD535" t="s">
        <v>37</v>
      </c>
      <c r="AE535" t="s">
        <v>37</v>
      </c>
      <c r="AF535" t="s">
        <v>2259</v>
      </c>
      <c r="AG535" t="s">
        <v>37</v>
      </c>
      <c r="AH535" t="s">
        <v>2256</v>
      </c>
      <c r="AI535" t="s">
        <v>37</v>
      </c>
    </row>
    <row r="536" spans="1:35" x14ac:dyDescent="0.25">
      <c r="A536" t="s">
        <v>2114</v>
      </c>
      <c r="B536" t="s">
        <v>34</v>
      </c>
      <c r="C536" t="s">
        <v>2115</v>
      </c>
      <c r="D536" t="s">
        <v>2116</v>
      </c>
      <c r="E536" t="s">
        <v>37</v>
      </c>
      <c r="F536" t="s">
        <v>2117</v>
      </c>
      <c r="G536" t="s">
        <v>39</v>
      </c>
      <c r="H536" t="s">
        <v>40</v>
      </c>
      <c r="I536" t="s">
        <v>41</v>
      </c>
      <c r="J536" t="s">
        <v>37</v>
      </c>
      <c r="K536" t="s">
        <v>37</v>
      </c>
      <c r="L536" t="s">
        <v>42</v>
      </c>
      <c r="M536" s="6">
        <v>45640.291666666664</v>
      </c>
      <c r="N536" t="s">
        <v>4265</v>
      </c>
      <c r="O536" s="1">
        <v>45640</v>
      </c>
      <c r="P536" s="1">
        <v>45640.526319444441</v>
      </c>
      <c r="Q536" t="s">
        <v>4265</v>
      </c>
      <c r="R536" s="6">
        <v>45640.416666666664</v>
      </c>
      <c r="S536" t="s">
        <v>43</v>
      </c>
      <c r="T536">
        <v>23.8</v>
      </c>
      <c r="U536">
        <v>0</v>
      </c>
      <c r="V536">
        <v>23.8</v>
      </c>
      <c r="W536">
        <v>1.19</v>
      </c>
      <c r="X536">
        <v>0</v>
      </c>
      <c r="Y536">
        <v>0</v>
      </c>
      <c r="Z536">
        <v>24.99</v>
      </c>
      <c r="AA536" t="s">
        <v>44</v>
      </c>
      <c r="AB536" t="s">
        <v>45</v>
      </c>
      <c r="AC536" t="s">
        <v>46</v>
      </c>
      <c r="AD536" t="s">
        <v>37</v>
      </c>
      <c r="AE536" t="s">
        <v>37</v>
      </c>
      <c r="AF536" t="s">
        <v>2118</v>
      </c>
      <c r="AG536" t="s">
        <v>37</v>
      </c>
      <c r="AH536" t="s">
        <v>2115</v>
      </c>
      <c r="AI536" t="s">
        <v>37</v>
      </c>
    </row>
    <row r="537" spans="1:35" x14ac:dyDescent="0.25">
      <c r="A537" t="s">
        <v>2249</v>
      </c>
      <c r="B537" t="s">
        <v>34</v>
      </c>
      <c r="C537" t="s">
        <v>2250</v>
      </c>
      <c r="D537" t="s">
        <v>2251</v>
      </c>
      <c r="E537" t="s">
        <v>37</v>
      </c>
      <c r="F537" t="s">
        <v>2252</v>
      </c>
      <c r="G537" t="s">
        <v>39</v>
      </c>
      <c r="H537" t="s">
        <v>40</v>
      </c>
      <c r="I537" t="s">
        <v>41</v>
      </c>
      <c r="J537" t="s">
        <v>37</v>
      </c>
      <c r="K537" t="s">
        <v>37</v>
      </c>
      <c r="L537" t="s">
        <v>42</v>
      </c>
      <c r="M537" s="6">
        <v>45640.291666666664</v>
      </c>
      <c r="N537" t="s">
        <v>4265</v>
      </c>
      <c r="O537" s="1">
        <v>45640</v>
      </c>
      <c r="P537" s="1">
        <v>45636.424525462964</v>
      </c>
      <c r="Q537" t="s">
        <v>4265</v>
      </c>
      <c r="R537" s="6">
        <v>45640.416666666664</v>
      </c>
      <c r="S537" t="s">
        <v>43</v>
      </c>
      <c r="T537">
        <v>23.8</v>
      </c>
      <c r="U537">
        <v>0</v>
      </c>
      <c r="V537">
        <v>23.8</v>
      </c>
      <c r="W537">
        <v>1.19</v>
      </c>
      <c r="X537">
        <v>0</v>
      </c>
      <c r="Y537">
        <v>0</v>
      </c>
      <c r="Z537">
        <v>24.99</v>
      </c>
      <c r="AA537" t="s">
        <v>44</v>
      </c>
      <c r="AB537" t="s">
        <v>45</v>
      </c>
      <c r="AC537" t="s">
        <v>46</v>
      </c>
      <c r="AD537" t="s">
        <v>37</v>
      </c>
      <c r="AE537" t="s">
        <v>37</v>
      </c>
      <c r="AF537" t="s">
        <v>2253</v>
      </c>
      <c r="AG537" t="s">
        <v>37</v>
      </c>
      <c r="AH537" t="s">
        <v>2254</v>
      </c>
      <c r="AI537" t="s">
        <v>37</v>
      </c>
    </row>
    <row r="538" spans="1:35" x14ac:dyDescent="0.25">
      <c r="A538" t="s">
        <v>2119</v>
      </c>
      <c r="B538" t="s">
        <v>34</v>
      </c>
      <c r="C538" t="s">
        <v>2120</v>
      </c>
      <c r="D538" t="s">
        <v>2121</v>
      </c>
      <c r="E538" t="s">
        <v>37</v>
      </c>
      <c r="F538" t="s">
        <v>2122</v>
      </c>
      <c r="G538" t="s">
        <v>39</v>
      </c>
      <c r="H538" t="s">
        <v>40</v>
      </c>
      <c r="I538" t="s">
        <v>41</v>
      </c>
      <c r="J538" t="s">
        <v>37</v>
      </c>
      <c r="K538" t="s">
        <v>37</v>
      </c>
      <c r="L538" t="s">
        <v>42</v>
      </c>
      <c r="M538" s="6">
        <v>45644.291666666664</v>
      </c>
      <c r="N538" t="s">
        <v>4263</v>
      </c>
      <c r="O538" s="1">
        <v>45644</v>
      </c>
      <c r="P538" s="1">
        <v>45643.517395833333</v>
      </c>
      <c r="Q538" t="s">
        <v>4263</v>
      </c>
      <c r="R538" s="6">
        <v>45644.416666666664</v>
      </c>
      <c r="S538" t="s">
        <v>43</v>
      </c>
      <c r="T538">
        <v>19.04</v>
      </c>
      <c r="U538">
        <v>0</v>
      </c>
      <c r="V538">
        <v>19.04</v>
      </c>
      <c r="W538">
        <v>0.95</v>
      </c>
      <c r="X538">
        <v>0</v>
      </c>
      <c r="Y538">
        <v>0</v>
      </c>
      <c r="Z538">
        <v>19.989999999999998</v>
      </c>
      <c r="AA538" t="s">
        <v>44</v>
      </c>
      <c r="AB538" t="s">
        <v>45</v>
      </c>
      <c r="AC538" t="s">
        <v>46</v>
      </c>
      <c r="AD538" t="s">
        <v>37</v>
      </c>
      <c r="AE538" t="s">
        <v>37</v>
      </c>
      <c r="AF538" t="s">
        <v>2123</v>
      </c>
      <c r="AG538" t="s">
        <v>37</v>
      </c>
      <c r="AH538" t="s">
        <v>2120</v>
      </c>
      <c r="AI538" t="s">
        <v>37</v>
      </c>
    </row>
    <row r="539" spans="1:35" x14ac:dyDescent="0.25">
      <c r="A539" t="s">
        <v>2138</v>
      </c>
      <c r="B539" t="s">
        <v>34</v>
      </c>
      <c r="C539" t="s">
        <v>1336</v>
      </c>
      <c r="D539" t="s">
        <v>1337</v>
      </c>
      <c r="E539" t="s">
        <v>37</v>
      </c>
      <c r="F539" t="s">
        <v>1338</v>
      </c>
      <c r="G539" t="s">
        <v>39</v>
      </c>
      <c r="H539" t="s">
        <v>40</v>
      </c>
      <c r="I539" t="s">
        <v>41</v>
      </c>
      <c r="J539" t="s">
        <v>37</v>
      </c>
      <c r="K539" t="s">
        <v>37</v>
      </c>
      <c r="L539" t="s">
        <v>42</v>
      </c>
      <c r="M539" s="6">
        <v>45647.291666666664</v>
      </c>
      <c r="N539" t="s">
        <v>4265</v>
      </c>
      <c r="O539" s="1">
        <v>45647</v>
      </c>
      <c r="P539" s="1">
        <v>45644.725393518522</v>
      </c>
      <c r="Q539" t="s">
        <v>4265</v>
      </c>
      <c r="R539" s="6">
        <v>45647.416666666664</v>
      </c>
      <c r="S539" t="s">
        <v>43</v>
      </c>
      <c r="T539">
        <v>23.8</v>
      </c>
      <c r="U539">
        <v>0</v>
      </c>
      <c r="V539">
        <v>23.8</v>
      </c>
      <c r="W539">
        <v>1.19</v>
      </c>
      <c r="X539">
        <v>0</v>
      </c>
      <c r="Y539">
        <v>0</v>
      </c>
      <c r="Z539">
        <v>24.99</v>
      </c>
      <c r="AA539" t="s">
        <v>44</v>
      </c>
      <c r="AB539" t="s">
        <v>45</v>
      </c>
      <c r="AC539" t="s">
        <v>46</v>
      </c>
      <c r="AD539" t="s">
        <v>37</v>
      </c>
      <c r="AE539" t="s">
        <v>37</v>
      </c>
      <c r="AF539" t="s">
        <v>2139</v>
      </c>
      <c r="AG539" t="s">
        <v>37</v>
      </c>
      <c r="AH539" t="s">
        <v>1336</v>
      </c>
      <c r="AI539" t="s">
        <v>37</v>
      </c>
    </row>
    <row r="540" spans="1:35" x14ac:dyDescent="0.25">
      <c r="A540" t="s">
        <v>2129</v>
      </c>
      <c r="B540" t="s">
        <v>34</v>
      </c>
      <c r="C540" t="s">
        <v>2130</v>
      </c>
      <c r="D540" t="s">
        <v>2131</v>
      </c>
      <c r="E540" t="s">
        <v>37</v>
      </c>
      <c r="F540" t="s">
        <v>2132</v>
      </c>
      <c r="G540" t="s">
        <v>39</v>
      </c>
      <c r="H540" t="s">
        <v>40</v>
      </c>
      <c r="I540" t="s">
        <v>41</v>
      </c>
      <c r="J540" t="s">
        <v>37</v>
      </c>
      <c r="K540" t="s">
        <v>37</v>
      </c>
      <c r="L540" t="s">
        <v>42</v>
      </c>
      <c r="M540" s="6">
        <v>45648.291666666664</v>
      </c>
      <c r="N540" t="s">
        <v>4266</v>
      </c>
      <c r="O540" s="1">
        <v>45648</v>
      </c>
      <c r="P540" s="1">
        <v>45646.949490740742</v>
      </c>
      <c r="Q540" t="s">
        <v>4266</v>
      </c>
      <c r="R540" s="6">
        <v>45648.416666666664</v>
      </c>
      <c r="S540" t="s">
        <v>43</v>
      </c>
      <c r="T540">
        <v>23.8</v>
      </c>
      <c r="U540">
        <v>0</v>
      </c>
      <c r="V540">
        <v>23.8</v>
      </c>
      <c r="W540">
        <v>1.19</v>
      </c>
      <c r="X540">
        <v>0</v>
      </c>
      <c r="Y540">
        <v>0</v>
      </c>
      <c r="Z540">
        <v>24.99</v>
      </c>
      <c r="AA540" t="s">
        <v>44</v>
      </c>
      <c r="AB540" t="s">
        <v>45</v>
      </c>
      <c r="AC540" t="s">
        <v>46</v>
      </c>
      <c r="AD540" t="s">
        <v>37</v>
      </c>
      <c r="AE540" t="s">
        <v>37</v>
      </c>
      <c r="AF540" t="s">
        <v>2133</v>
      </c>
      <c r="AG540" t="s">
        <v>37</v>
      </c>
      <c r="AH540" t="s">
        <v>2130</v>
      </c>
      <c r="AI540" t="s">
        <v>37</v>
      </c>
    </row>
    <row r="541" spans="1:35" x14ac:dyDescent="0.25">
      <c r="A541" t="s">
        <v>2134</v>
      </c>
      <c r="B541" t="s">
        <v>34</v>
      </c>
      <c r="C541" t="s">
        <v>1901</v>
      </c>
      <c r="D541" t="s">
        <v>1902</v>
      </c>
      <c r="E541" t="s">
        <v>37</v>
      </c>
      <c r="F541" t="s">
        <v>1903</v>
      </c>
      <c r="G541" t="s">
        <v>39</v>
      </c>
      <c r="H541" t="s">
        <v>40</v>
      </c>
      <c r="I541" t="s">
        <v>41</v>
      </c>
      <c r="J541" t="s">
        <v>37</v>
      </c>
      <c r="K541" t="s">
        <v>37</v>
      </c>
      <c r="L541" t="s">
        <v>42</v>
      </c>
      <c r="M541" s="6">
        <v>45648.291666666664</v>
      </c>
      <c r="N541" t="s">
        <v>4266</v>
      </c>
      <c r="O541" s="1">
        <v>45648</v>
      </c>
      <c r="P541" s="1">
        <v>45644.798831018517</v>
      </c>
      <c r="Q541" t="s">
        <v>4266</v>
      </c>
      <c r="R541" s="6">
        <v>45648.416666666664</v>
      </c>
      <c r="S541" t="s">
        <v>43</v>
      </c>
      <c r="T541">
        <v>23.8</v>
      </c>
      <c r="U541">
        <v>0</v>
      </c>
      <c r="V541">
        <v>23.8</v>
      </c>
      <c r="W541">
        <v>1.19</v>
      </c>
      <c r="X541">
        <v>0</v>
      </c>
      <c r="Y541">
        <v>0</v>
      </c>
      <c r="Z541">
        <v>24.99</v>
      </c>
      <c r="AA541" t="s">
        <v>44</v>
      </c>
      <c r="AB541" t="s">
        <v>45</v>
      </c>
      <c r="AC541" t="s">
        <v>46</v>
      </c>
      <c r="AD541" t="s">
        <v>37</v>
      </c>
      <c r="AE541" t="s">
        <v>37</v>
      </c>
      <c r="AF541" t="s">
        <v>2135</v>
      </c>
      <c r="AG541" t="s">
        <v>37</v>
      </c>
      <c r="AH541" t="s">
        <v>1901</v>
      </c>
      <c r="AI541" t="s">
        <v>37</v>
      </c>
    </row>
    <row r="542" spans="1:35" x14ac:dyDescent="0.25">
      <c r="A542" t="s">
        <v>2124</v>
      </c>
      <c r="B542" t="s">
        <v>34</v>
      </c>
      <c r="C542" t="s">
        <v>2125</v>
      </c>
      <c r="D542" t="s">
        <v>2126</v>
      </c>
      <c r="E542" t="s">
        <v>37</v>
      </c>
      <c r="F542" t="s">
        <v>2127</v>
      </c>
      <c r="G542" t="s">
        <v>39</v>
      </c>
      <c r="H542" t="s">
        <v>40</v>
      </c>
      <c r="I542" t="s">
        <v>41</v>
      </c>
      <c r="J542" t="s">
        <v>37</v>
      </c>
      <c r="K542" t="s">
        <v>37</v>
      </c>
      <c r="L542" t="s">
        <v>42</v>
      </c>
      <c r="M542" s="6">
        <v>45649.291666666664</v>
      </c>
      <c r="N542" t="s">
        <v>4262</v>
      </c>
      <c r="O542" s="1">
        <v>45649</v>
      </c>
      <c r="P542" s="1">
        <v>45643.64298611111</v>
      </c>
      <c r="Q542" t="s">
        <v>4262</v>
      </c>
      <c r="R542" s="6">
        <v>45649.416666666664</v>
      </c>
      <c r="S542" t="s">
        <v>43</v>
      </c>
      <c r="T542">
        <v>19.04</v>
      </c>
      <c r="U542">
        <v>0</v>
      </c>
      <c r="V542">
        <v>19.04</v>
      </c>
      <c r="W542">
        <v>0.95</v>
      </c>
      <c r="X542">
        <v>0</v>
      </c>
      <c r="Y542">
        <v>0</v>
      </c>
      <c r="Z542">
        <v>19.989999999999998</v>
      </c>
      <c r="AA542" t="s">
        <v>44</v>
      </c>
      <c r="AB542" t="s">
        <v>45</v>
      </c>
      <c r="AC542" t="s">
        <v>46</v>
      </c>
      <c r="AD542" t="s">
        <v>37</v>
      </c>
      <c r="AE542" t="s">
        <v>37</v>
      </c>
      <c r="AF542" t="s">
        <v>2128</v>
      </c>
      <c r="AG542" t="s">
        <v>37</v>
      </c>
      <c r="AH542" t="s">
        <v>2125</v>
      </c>
      <c r="AI542" t="s">
        <v>37</v>
      </c>
    </row>
    <row r="543" spans="1:35" x14ac:dyDescent="0.25">
      <c r="A543" t="s">
        <v>2140</v>
      </c>
      <c r="B543" t="s">
        <v>34</v>
      </c>
      <c r="C543" t="s">
        <v>1077</v>
      </c>
      <c r="D543" t="s">
        <v>1078</v>
      </c>
      <c r="E543" t="s">
        <v>37</v>
      </c>
      <c r="F543" t="s">
        <v>2141</v>
      </c>
      <c r="G543" t="s">
        <v>39</v>
      </c>
      <c r="H543" t="s">
        <v>40</v>
      </c>
      <c r="I543" t="s">
        <v>41</v>
      </c>
      <c r="J543" t="s">
        <v>37</v>
      </c>
      <c r="K543" t="s">
        <v>37</v>
      </c>
      <c r="L543" t="s">
        <v>42</v>
      </c>
      <c r="M543" s="6">
        <v>45653.291666666664</v>
      </c>
      <c r="N543" t="s">
        <v>4268</v>
      </c>
      <c r="O543" s="1">
        <v>45653</v>
      </c>
      <c r="P543" s="1">
        <v>45647.760011574072</v>
      </c>
      <c r="Q543" t="s">
        <v>4268</v>
      </c>
      <c r="R543" s="6">
        <v>45653.416666666664</v>
      </c>
      <c r="S543" t="s">
        <v>43</v>
      </c>
      <c r="T543">
        <v>19.04</v>
      </c>
      <c r="U543">
        <v>0</v>
      </c>
      <c r="V543">
        <v>19.04</v>
      </c>
      <c r="W543">
        <v>0.95</v>
      </c>
      <c r="X543">
        <v>0</v>
      </c>
      <c r="Y543">
        <v>0</v>
      </c>
      <c r="Z543">
        <v>19.989999999999998</v>
      </c>
      <c r="AA543" t="s">
        <v>44</v>
      </c>
      <c r="AB543" t="s">
        <v>45</v>
      </c>
      <c r="AC543" t="s">
        <v>46</v>
      </c>
      <c r="AD543" t="s">
        <v>37</v>
      </c>
      <c r="AE543" t="s">
        <v>37</v>
      </c>
      <c r="AF543" t="s">
        <v>2142</v>
      </c>
      <c r="AG543" t="s">
        <v>37</v>
      </c>
      <c r="AH543" t="s">
        <v>1077</v>
      </c>
      <c r="AI543" t="s">
        <v>37</v>
      </c>
    </row>
    <row r="544" spans="1:35" x14ac:dyDescent="0.25">
      <c r="A544" t="s">
        <v>2148</v>
      </c>
      <c r="B544" t="s">
        <v>34</v>
      </c>
      <c r="C544" t="s">
        <v>1588</v>
      </c>
      <c r="D544" t="s">
        <v>1589</v>
      </c>
      <c r="E544" t="s">
        <v>37</v>
      </c>
      <c r="F544" t="s">
        <v>1590</v>
      </c>
      <c r="G544" t="s">
        <v>39</v>
      </c>
      <c r="H544" t="s">
        <v>40</v>
      </c>
      <c r="I544" t="s">
        <v>41</v>
      </c>
      <c r="J544" t="s">
        <v>37</v>
      </c>
      <c r="K544" t="s">
        <v>37</v>
      </c>
      <c r="L544" t="s">
        <v>42</v>
      </c>
      <c r="M544" s="6">
        <v>45653.291666666664</v>
      </c>
      <c r="N544" t="s">
        <v>4268</v>
      </c>
      <c r="O544" s="1">
        <v>45653</v>
      </c>
      <c r="P544" s="1">
        <v>45648.927384259259</v>
      </c>
      <c r="Q544" t="s">
        <v>4268</v>
      </c>
      <c r="R544" s="6">
        <v>45653.416666666664</v>
      </c>
      <c r="S544" t="s">
        <v>43</v>
      </c>
      <c r="T544">
        <v>19.04</v>
      </c>
      <c r="U544">
        <v>0</v>
      </c>
      <c r="V544">
        <v>19.04</v>
      </c>
      <c r="W544">
        <v>0.95</v>
      </c>
      <c r="X544">
        <v>0</v>
      </c>
      <c r="Y544">
        <v>0</v>
      </c>
      <c r="Z544">
        <v>19.989999999999998</v>
      </c>
      <c r="AA544" t="s">
        <v>44</v>
      </c>
      <c r="AB544" t="s">
        <v>45</v>
      </c>
      <c r="AC544" t="s">
        <v>46</v>
      </c>
      <c r="AD544" t="s">
        <v>37</v>
      </c>
      <c r="AE544" t="s">
        <v>37</v>
      </c>
      <c r="AF544" t="s">
        <v>2149</v>
      </c>
      <c r="AG544" t="s">
        <v>37</v>
      </c>
      <c r="AH544" t="s">
        <v>1588</v>
      </c>
      <c r="AI544" t="s">
        <v>37</v>
      </c>
    </row>
    <row r="545" spans="1:35" x14ac:dyDescent="0.25">
      <c r="A545" t="s">
        <v>2161</v>
      </c>
      <c r="B545" t="s">
        <v>34</v>
      </c>
      <c r="C545" t="s">
        <v>215</v>
      </c>
      <c r="D545" t="s">
        <v>216</v>
      </c>
      <c r="E545" t="s">
        <v>37</v>
      </c>
      <c r="F545" t="s">
        <v>217</v>
      </c>
      <c r="G545" t="s">
        <v>39</v>
      </c>
      <c r="H545" t="s">
        <v>40</v>
      </c>
      <c r="I545" t="s">
        <v>41</v>
      </c>
      <c r="J545" t="s">
        <v>37</v>
      </c>
      <c r="K545" t="s">
        <v>37</v>
      </c>
      <c r="L545" t="s">
        <v>42</v>
      </c>
      <c r="M545" s="6">
        <v>45653.291666666664</v>
      </c>
      <c r="N545" t="s">
        <v>4268</v>
      </c>
      <c r="O545" s="1">
        <v>45653</v>
      </c>
      <c r="P545" s="1">
        <v>45652.541689814818</v>
      </c>
      <c r="Q545" t="s">
        <v>4268</v>
      </c>
      <c r="R545" s="6">
        <v>45653.416666666664</v>
      </c>
      <c r="S545" t="s">
        <v>43</v>
      </c>
      <c r="T545">
        <v>19.04</v>
      </c>
      <c r="U545">
        <v>0</v>
      </c>
      <c r="V545">
        <v>19.04</v>
      </c>
      <c r="W545">
        <v>0.95</v>
      </c>
      <c r="X545">
        <v>0</v>
      </c>
      <c r="Y545">
        <v>0</v>
      </c>
      <c r="Z545">
        <v>19.989999999999998</v>
      </c>
      <c r="AA545" t="s">
        <v>44</v>
      </c>
      <c r="AB545" t="s">
        <v>45</v>
      </c>
      <c r="AC545" t="s">
        <v>46</v>
      </c>
      <c r="AD545" t="s">
        <v>37</v>
      </c>
      <c r="AE545" t="s">
        <v>37</v>
      </c>
      <c r="AF545" t="s">
        <v>2162</v>
      </c>
      <c r="AG545" t="s">
        <v>37</v>
      </c>
      <c r="AH545" t="s">
        <v>219</v>
      </c>
      <c r="AI545" t="s">
        <v>37</v>
      </c>
    </row>
    <row r="546" spans="1:35" x14ac:dyDescent="0.25">
      <c r="A546" t="s">
        <v>2168</v>
      </c>
      <c r="B546" t="s">
        <v>34</v>
      </c>
      <c r="C546" t="s">
        <v>2169</v>
      </c>
      <c r="D546" t="s">
        <v>2170</v>
      </c>
      <c r="E546" t="s">
        <v>37</v>
      </c>
      <c r="F546" t="s">
        <v>2171</v>
      </c>
      <c r="G546" t="s">
        <v>39</v>
      </c>
      <c r="H546" t="s">
        <v>40</v>
      </c>
      <c r="I546" t="s">
        <v>41</v>
      </c>
      <c r="J546" t="s">
        <v>37</v>
      </c>
      <c r="K546" t="s">
        <v>37</v>
      </c>
      <c r="L546" t="s">
        <v>42</v>
      </c>
      <c r="M546" s="6">
        <v>45653.291666666664</v>
      </c>
      <c r="N546" t="s">
        <v>4268</v>
      </c>
      <c r="O546" s="1">
        <v>45653</v>
      </c>
      <c r="P546" s="1">
        <v>45652.870706018519</v>
      </c>
      <c r="Q546" t="s">
        <v>4268</v>
      </c>
      <c r="R546" s="6">
        <v>45653.416666666664</v>
      </c>
      <c r="S546" t="s">
        <v>43</v>
      </c>
      <c r="T546">
        <v>19.04</v>
      </c>
      <c r="U546">
        <v>0</v>
      </c>
      <c r="V546">
        <v>19.04</v>
      </c>
      <c r="W546">
        <v>0.95</v>
      </c>
      <c r="X546">
        <v>0</v>
      </c>
      <c r="Y546">
        <v>0</v>
      </c>
      <c r="Z546">
        <v>19.989999999999998</v>
      </c>
      <c r="AA546" t="s">
        <v>44</v>
      </c>
      <c r="AB546" t="s">
        <v>45</v>
      </c>
      <c r="AC546" t="s">
        <v>46</v>
      </c>
      <c r="AD546" t="s">
        <v>37</v>
      </c>
      <c r="AE546" t="s">
        <v>37</v>
      </c>
      <c r="AF546" t="s">
        <v>2172</v>
      </c>
      <c r="AG546" t="s">
        <v>37</v>
      </c>
      <c r="AH546" t="s">
        <v>2173</v>
      </c>
      <c r="AI546" t="s">
        <v>37</v>
      </c>
    </row>
    <row r="547" spans="1:35" x14ac:dyDescent="0.25">
      <c r="A547" t="s">
        <v>2183</v>
      </c>
      <c r="B547" t="s">
        <v>34</v>
      </c>
      <c r="C547" t="s">
        <v>2184</v>
      </c>
      <c r="D547" t="s">
        <v>2185</v>
      </c>
      <c r="E547" t="s">
        <v>37</v>
      </c>
      <c r="F547" t="s">
        <v>2186</v>
      </c>
      <c r="G547" t="s">
        <v>39</v>
      </c>
      <c r="H547" t="s">
        <v>40</v>
      </c>
      <c r="I547" t="s">
        <v>41</v>
      </c>
      <c r="J547" t="s">
        <v>37</v>
      </c>
      <c r="K547" t="s">
        <v>37</v>
      </c>
      <c r="L547" t="s">
        <v>42</v>
      </c>
      <c r="M547" s="6">
        <v>45653.291666666664</v>
      </c>
      <c r="N547" t="s">
        <v>4268</v>
      </c>
      <c r="O547" s="1">
        <v>45653</v>
      </c>
      <c r="P547" s="1">
        <v>45653.457997685182</v>
      </c>
      <c r="Q547" t="s">
        <v>4268</v>
      </c>
      <c r="R547" s="6">
        <v>45653.416666666664</v>
      </c>
      <c r="S547" t="s">
        <v>43</v>
      </c>
      <c r="T547">
        <v>19.04</v>
      </c>
      <c r="U547">
        <v>0</v>
      </c>
      <c r="V547">
        <v>19.04</v>
      </c>
      <c r="W547">
        <v>0.95</v>
      </c>
      <c r="X547">
        <v>0</v>
      </c>
      <c r="Y547">
        <v>0</v>
      </c>
      <c r="Z547">
        <v>19.989999999999998</v>
      </c>
      <c r="AA547" t="s">
        <v>44</v>
      </c>
      <c r="AB547" t="s">
        <v>45</v>
      </c>
      <c r="AC547" t="s">
        <v>46</v>
      </c>
      <c r="AD547" t="s">
        <v>37</v>
      </c>
      <c r="AE547" t="s">
        <v>37</v>
      </c>
      <c r="AF547" t="s">
        <v>2187</v>
      </c>
      <c r="AG547" t="s">
        <v>37</v>
      </c>
      <c r="AH547" t="s">
        <v>2184</v>
      </c>
      <c r="AI547" t="s">
        <v>37</v>
      </c>
    </row>
    <row r="548" spans="1:35" x14ac:dyDescent="0.25">
      <c r="A548" t="s">
        <v>2174</v>
      </c>
      <c r="B548" t="s">
        <v>34</v>
      </c>
      <c r="C548" t="s">
        <v>2175</v>
      </c>
      <c r="D548" t="s">
        <v>2176</v>
      </c>
      <c r="E548" t="s">
        <v>37</v>
      </c>
      <c r="F548" t="s">
        <v>2177</v>
      </c>
      <c r="G548" t="s">
        <v>39</v>
      </c>
      <c r="H548" t="s">
        <v>40</v>
      </c>
      <c r="I548" t="s">
        <v>41</v>
      </c>
      <c r="J548" t="s">
        <v>37</v>
      </c>
      <c r="K548" t="s">
        <v>37</v>
      </c>
      <c r="L548" t="s">
        <v>42</v>
      </c>
      <c r="M548" s="6">
        <v>45653.338888888888</v>
      </c>
      <c r="N548" t="s">
        <v>4268</v>
      </c>
      <c r="O548" s="1">
        <v>45653.047222222223</v>
      </c>
      <c r="P548" s="1">
        <v>45653.338935185187</v>
      </c>
      <c r="Q548" t="s">
        <v>4268</v>
      </c>
      <c r="R548" s="6">
        <v>45653.416666666664</v>
      </c>
      <c r="S548" t="s">
        <v>43</v>
      </c>
      <c r="T548">
        <v>19.04</v>
      </c>
      <c r="U548">
        <v>0</v>
      </c>
      <c r="V548">
        <v>19.04</v>
      </c>
      <c r="W548">
        <v>0.95</v>
      </c>
      <c r="X548">
        <v>0</v>
      </c>
      <c r="Y548">
        <v>0</v>
      </c>
      <c r="Z548">
        <v>19.989999999999998</v>
      </c>
      <c r="AA548" t="s">
        <v>44</v>
      </c>
      <c r="AB548" t="s">
        <v>45</v>
      </c>
      <c r="AC548" t="s">
        <v>46</v>
      </c>
      <c r="AD548" t="s">
        <v>37</v>
      </c>
      <c r="AE548" t="s">
        <v>37</v>
      </c>
      <c r="AF548" t="s">
        <v>2178</v>
      </c>
      <c r="AG548" t="s">
        <v>37</v>
      </c>
      <c r="AH548" t="s">
        <v>2175</v>
      </c>
      <c r="AI548" t="s">
        <v>37</v>
      </c>
    </row>
    <row r="549" spans="1:35" x14ac:dyDescent="0.25">
      <c r="A549" t="s">
        <v>2179</v>
      </c>
      <c r="B549" t="s">
        <v>34</v>
      </c>
      <c r="C549" t="s">
        <v>1491</v>
      </c>
      <c r="D549" t="s">
        <v>1492</v>
      </c>
      <c r="E549" t="s">
        <v>37</v>
      </c>
      <c r="F549" t="s">
        <v>1493</v>
      </c>
      <c r="G549" t="s">
        <v>39</v>
      </c>
      <c r="H549" t="s">
        <v>40</v>
      </c>
      <c r="I549" t="s">
        <v>41</v>
      </c>
      <c r="J549" t="s">
        <v>37</v>
      </c>
      <c r="K549" t="s">
        <v>37</v>
      </c>
      <c r="L549" t="s">
        <v>42</v>
      </c>
      <c r="M549" s="6">
        <v>45653.3516087963</v>
      </c>
      <c r="N549" t="s">
        <v>4268</v>
      </c>
      <c r="O549" s="1">
        <v>45653.059942129628</v>
      </c>
      <c r="P549" s="1">
        <v>45653.351655092592</v>
      </c>
      <c r="Q549" t="s">
        <v>4268</v>
      </c>
      <c r="R549" s="6">
        <v>45653.416666666664</v>
      </c>
      <c r="S549" t="s">
        <v>43</v>
      </c>
      <c r="T549">
        <v>19.04</v>
      </c>
      <c r="U549">
        <v>0</v>
      </c>
      <c r="V549">
        <v>19.04</v>
      </c>
      <c r="W549">
        <v>0.95</v>
      </c>
      <c r="X549">
        <v>0</v>
      </c>
      <c r="Y549">
        <v>0</v>
      </c>
      <c r="Z549">
        <v>19.989999999999998</v>
      </c>
      <c r="AA549" t="s">
        <v>44</v>
      </c>
      <c r="AB549" t="s">
        <v>45</v>
      </c>
      <c r="AC549" t="s">
        <v>46</v>
      </c>
      <c r="AD549" t="s">
        <v>37</v>
      </c>
      <c r="AE549" t="s">
        <v>37</v>
      </c>
      <c r="AF549" t="s">
        <v>2180</v>
      </c>
      <c r="AG549" t="s">
        <v>37</v>
      </c>
      <c r="AH549" t="s">
        <v>1491</v>
      </c>
      <c r="AI549" t="s">
        <v>37</v>
      </c>
    </row>
    <row r="550" spans="1:35" x14ac:dyDescent="0.25">
      <c r="A550" t="s">
        <v>2234</v>
      </c>
      <c r="B550" t="s">
        <v>34</v>
      </c>
      <c r="C550" t="s">
        <v>2235</v>
      </c>
      <c r="D550" t="s">
        <v>2236</v>
      </c>
      <c r="E550" t="s">
        <v>37</v>
      </c>
      <c r="F550" t="s">
        <v>2237</v>
      </c>
      <c r="G550" t="s">
        <v>39</v>
      </c>
      <c r="H550" t="s">
        <v>40</v>
      </c>
      <c r="I550" t="s">
        <v>41</v>
      </c>
      <c r="J550" t="s">
        <v>37</v>
      </c>
      <c r="K550" t="s">
        <v>37</v>
      </c>
      <c r="L550" t="s">
        <v>42</v>
      </c>
      <c r="M550" s="6">
        <v>45654</v>
      </c>
      <c r="N550" t="s">
        <v>4268</v>
      </c>
      <c r="O550" s="1">
        <v>45653.708333333336</v>
      </c>
      <c r="P550" s="1">
        <v>45654.845636574071</v>
      </c>
      <c r="Q550" t="s">
        <v>4265</v>
      </c>
      <c r="R550" s="6">
        <v>45654.707638888889</v>
      </c>
      <c r="S550" t="s">
        <v>43</v>
      </c>
      <c r="T550">
        <v>0.95</v>
      </c>
      <c r="U550">
        <v>0</v>
      </c>
      <c r="V550">
        <v>0.95</v>
      </c>
      <c r="W550">
        <v>0.05</v>
      </c>
      <c r="X550">
        <v>0</v>
      </c>
      <c r="Y550">
        <v>0</v>
      </c>
      <c r="Z550">
        <v>1</v>
      </c>
      <c r="AA550" t="s">
        <v>44</v>
      </c>
      <c r="AB550" t="s">
        <v>115</v>
      </c>
      <c r="AC550" t="s">
        <v>116</v>
      </c>
      <c r="AD550" t="s">
        <v>37</v>
      </c>
      <c r="AE550" t="s">
        <v>37</v>
      </c>
      <c r="AF550" t="s">
        <v>2238</v>
      </c>
      <c r="AG550" t="s">
        <v>37</v>
      </c>
      <c r="AH550" t="s">
        <v>2235</v>
      </c>
      <c r="AI550" t="s">
        <v>37</v>
      </c>
    </row>
    <row r="551" spans="1:35" x14ac:dyDescent="0.25">
      <c r="A551" t="s">
        <v>2160</v>
      </c>
      <c r="B551" t="s">
        <v>34</v>
      </c>
      <c r="C551" t="s">
        <v>2156</v>
      </c>
      <c r="D551" t="s">
        <v>2157</v>
      </c>
      <c r="E551" t="s">
        <v>37</v>
      </c>
      <c r="F551" t="s">
        <v>2158</v>
      </c>
      <c r="G551" t="s">
        <v>39</v>
      </c>
      <c r="H551" t="s">
        <v>40</v>
      </c>
      <c r="I551" t="s">
        <v>41</v>
      </c>
      <c r="J551" t="s">
        <v>37</v>
      </c>
      <c r="K551" t="s">
        <v>37</v>
      </c>
      <c r="L551" t="s">
        <v>42</v>
      </c>
      <c r="M551" s="6">
        <v>45654.291666666664</v>
      </c>
      <c r="N551" t="s">
        <v>4265</v>
      </c>
      <c r="O551" s="1">
        <v>45654</v>
      </c>
      <c r="P551" s="1">
        <v>45649.849224537036</v>
      </c>
      <c r="Q551" t="s">
        <v>4265</v>
      </c>
      <c r="R551" s="6">
        <v>45654.416666666664</v>
      </c>
      <c r="S551" t="s">
        <v>43</v>
      </c>
      <c r="T551">
        <v>47.6</v>
      </c>
      <c r="U551">
        <v>0</v>
      </c>
      <c r="V551">
        <v>47.6</v>
      </c>
      <c r="W551">
        <v>2.38</v>
      </c>
      <c r="X551">
        <v>0</v>
      </c>
      <c r="Y551">
        <v>0</v>
      </c>
      <c r="Z551">
        <v>49.98</v>
      </c>
      <c r="AA551" t="s">
        <v>44</v>
      </c>
      <c r="AB551" t="s">
        <v>45</v>
      </c>
      <c r="AC551" t="s">
        <v>46</v>
      </c>
      <c r="AD551" t="s">
        <v>37</v>
      </c>
      <c r="AE551" t="s">
        <v>37</v>
      </c>
      <c r="AF551" t="s">
        <v>2159</v>
      </c>
      <c r="AG551" t="s">
        <v>37</v>
      </c>
      <c r="AH551" t="s">
        <v>2156</v>
      </c>
      <c r="AI551" t="s">
        <v>37</v>
      </c>
    </row>
    <row r="552" spans="1:35" x14ac:dyDescent="0.25">
      <c r="A552" t="s">
        <v>2181</v>
      </c>
      <c r="B552" t="s">
        <v>34</v>
      </c>
      <c r="C552" t="s">
        <v>1491</v>
      </c>
      <c r="D552" t="s">
        <v>1492</v>
      </c>
      <c r="E552" t="s">
        <v>37</v>
      </c>
      <c r="F552" t="s">
        <v>1493</v>
      </c>
      <c r="G552" t="s">
        <v>39</v>
      </c>
      <c r="H552" t="s">
        <v>40</v>
      </c>
      <c r="I552" t="s">
        <v>41</v>
      </c>
      <c r="J552" t="s">
        <v>37</v>
      </c>
      <c r="K552" t="s">
        <v>37</v>
      </c>
      <c r="L552" t="s">
        <v>42</v>
      </c>
      <c r="M552" s="6">
        <v>45654.291666666664</v>
      </c>
      <c r="N552" t="s">
        <v>4265</v>
      </c>
      <c r="O552" s="1">
        <v>45654</v>
      </c>
      <c r="P552" s="1">
        <v>45653.352256944447</v>
      </c>
      <c r="Q552" t="s">
        <v>4265</v>
      </c>
      <c r="R552" s="6">
        <v>45654.416666666664</v>
      </c>
      <c r="S552" t="s">
        <v>43</v>
      </c>
      <c r="T552">
        <v>23.8</v>
      </c>
      <c r="U552">
        <v>0</v>
      </c>
      <c r="V552">
        <v>23.8</v>
      </c>
      <c r="W552">
        <v>1.19</v>
      </c>
      <c r="X552">
        <v>0</v>
      </c>
      <c r="Y552">
        <v>0</v>
      </c>
      <c r="Z552">
        <v>24.99</v>
      </c>
      <c r="AA552" t="s">
        <v>44</v>
      </c>
      <c r="AB552" t="s">
        <v>45</v>
      </c>
      <c r="AC552" t="s">
        <v>46</v>
      </c>
      <c r="AD552" t="s">
        <v>37</v>
      </c>
      <c r="AE552" t="s">
        <v>37</v>
      </c>
      <c r="AF552" t="s">
        <v>2182</v>
      </c>
      <c r="AG552" t="s">
        <v>37</v>
      </c>
      <c r="AH552" t="s">
        <v>1491</v>
      </c>
      <c r="AI552" t="s">
        <v>37</v>
      </c>
    </row>
    <row r="553" spans="1:35" x14ac:dyDescent="0.25">
      <c r="A553" t="s">
        <v>2194</v>
      </c>
      <c r="B553" t="s">
        <v>34</v>
      </c>
      <c r="C553" t="s">
        <v>260</v>
      </c>
      <c r="D553" t="s">
        <v>261</v>
      </c>
      <c r="E553" t="s">
        <v>37</v>
      </c>
      <c r="F553" t="s">
        <v>262</v>
      </c>
      <c r="G553" t="s">
        <v>39</v>
      </c>
      <c r="H553" t="s">
        <v>40</v>
      </c>
      <c r="I553" t="s">
        <v>41</v>
      </c>
      <c r="J553" t="s">
        <v>37</v>
      </c>
      <c r="K553" t="s">
        <v>37</v>
      </c>
      <c r="L553" t="s">
        <v>42</v>
      </c>
      <c r="M553" s="6">
        <v>45654.291666666664</v>
      </c>
      <c r="N553" t="s">
        <v>4265</v>
      </c>
      <c r="O553" s="1">
        <v>45654</v>
      </c>
      <c r="P553" s="1">
        <v>45653.539872685185</v>
      </c>
      <c r="Q553" t="s">
        <v>4265</v>
      </c>
      <c r="R553" s="6">
        <v>45654.416666666664</v>
      </c>
      <c r="S553" t="s">
        <v>43</v>
      </c>
      <c r="T553">
        <v>23.8</v>
      </c>
      <c r="U553">
        <v>0</v>
      </c>
      <c r="V553">
        <v>23.8</v>
      </c>
      <c r="W553">
        <v>1.19</v>
      </c>
      <c r="X553">
        <v>0</v>
      </c>
      <c r="Y553">
        <v>0</v>
      </c>
      <c r="Z553">
        <v>24.99</v>
      </c>
      <c r="AA553" t="s">
        <v>44</v>
      </c>
      <c r="AB553" t="s">
        <v>45</v>
      </c>
      <c r="AC553" t="s">
        <v>46</v>
      </c>
      <c r="AD553" t="s">
        <v>37</v>
      </c>
      <c r="AE553" t="s">
        <v>37</v>
      </c>
      <c r="AF553" t="s">
        <v>2195</v>
      </c>
      <c r="AG553" t="s">
        <v>37</v>
      </c>
      <c r="AH553" t="s">
        <v>263</v>
      </c>
      <c r="AI553" t="s">
        <v>37</v>
      </c>
    </row>
    <row r="554" spans="1:35" x14ac:dyDescent="0.25">
      <c r="A554" t="s">
        <v>2204</v>
      </c>
      <c r="B554" t="s">
        <v>34</v>
      </c>
      <c r="C554" t="s">
        <v>2205</v>
      </c>
      <c r="D554" t="s">
        <v>2206</v>
      </c>
      <c r="E554" t="s">
        <v>37</v>
      </c>
      <c r="F554" t="s">
        <v>2207</v>
      </c>
      <c r="G554" t="s">
        <v>39</v>
      </c>
      <c r="H554" t="s">
        <v>40</v>
      </c>
      <c r="I554" t="s">
        <v>41</v>
      </c>
      <c r="J554" t="s">
        <v>37</v>
      </c>
      <c r="K554" t="s">
        <v>37</v>
      </c>
      <c r="L554" t="s">
        <v>42</v>
      </c>
      <c r="M554" s="6">
        <v>45654.291666666664</v>
      </c>
      <c r="N554" t="s">
        <v>4265</v>
      </c>
      <c r="O554" s="1">
        <v>45654</v>
      </c>
      <c r="P554" s="1">
        <v>45653.731886574074</v>
      </c>
      <c r="Q554" t="s">
        <v>4265</v>
      </c>
      <c r="R554" s="6">
        <v>45654.416666666664</v>
      </c>
      <c r="S554" t="s">
        <v>43</v>
      </c>
      <c r="T554">
        <v>23.8</v>
      </c>
      <c r="U554">
        <v>0</v>
      </c>
      <c r="V554">
        <v>0</v>
      </c>
      <c r="W554">
        <v>1.19</v>
      </c>
      <c r="X554">
        <v>0</v>
      </c>
      <c r="Y554">
        <v>0</v>
      </c>
      <c r="Z554">
        <v>24.99</v>
      </c>
      <c r="AA554" t="s">
        <v>44</v>
      </c>
      <c r="AB554" t="s">
        <v>45</v>
      </c>
      <c r="AC554" t="s">
        <v>46</v>
      </c>
      <c r="AD554" t="s">
        <v>37</v>
      </c>
      <c r="AE554" t="s">
        <v>37</v>
      </c>
      <c r="AF554" t="s">
        <v>37</v>
      </c>
      <c r="AG554" t="s">
        <v>37</v>
      </c>
      <c r="AH554" t="s">
        <v>2205</v>
      </c>
      <c r="AI554" t="s">
        <v>37</v>
      </c>
    </row>
    <row r="555" spans="1:35" x14ac:dyDescent="0.25">
      <c r="A555" t="s">
        <v>2208</v>
      </c>
      <c r="B555" t="s">
        <v>34</v>
      </c>
      <c r="C555" t="s">
        <v>2205</v>
      </c>
      <c r="D555" t="s">
        <v>2206</v>
      </c>
      <c r="E555" t="s">
        <v>37</v>
      </c>
      <c r="F555" t="s">
        <v>2209</v>
      </c>
      <c r="G555" t="s">
        <v>39</v>
      </c>
      <c r="H555" t="s">
        <v>40</v>
      </c>
      <c r="I555" t="s">
        <v>41</v>
      </c>
      <c r="J555" t="s">
        <v>37</v>
      </c>
      <c r="K555" t="s">
        <v>37</v>
      </c>
      <c r="L555" t="s">
        <v>42</v>
      </c>
      <c r="M555" s="6">
        <v>45654.291666666664</v>
      </c>
      <c r="N555" t="s">
        <v>4265</v>
      </c>
      <c r="O555" s="1">
        <v>45654</v>
      </c>
      <c r="P555" s="1">
        <v>45653.731898148151</v>
      </c>
      <c r="Q555" t="s">
        <v>4265</v>
      </c>
      <c r="R555" s="6">
        <v>45654.416666666664</v>
      </c>
      <c r="S555" t="s">
        <v>43</v>
      </c>
      <c r="T555">
        <v>23.8</v>
      </c>
      <c r="U555">
        <v>0</v>
      </c>
      <c r="V555">
        <v>23.8</v>
      </c>
      <c r="W555">
        <v>1.19</v>
      </c>
      <c r="X555">
        <v>0</v>
      </c>
      <c r="Y555">
        <v>0</v>
      </c>
      <c r="Z555">
        <v>24.99</v>
      </c>
      <c r="AA555" t="s">
        <v>44</v>
      </c>
      <c r="AB555" t="s">
        <v>45</v>
      </c>
      <c r="AC555" t="s">
        <v>46</v>
      </c>
      <c r="AD555" t="s">
        <v>37</v>
      </c>
      <c r="AE555" t="s">
        <v>37</v>
      </c>
      <c r="AF555" t="s">
        <v>2210</v>
      </c>
      <c r="AG555" t="s">
        <v>37</v>
      </c>
      <c r="AH555" t="s">
        <v>2205</v>
      </c>
      <c r="AI555" t="s">
        <v>37</v>
      </c>
    </row>
    <row r="556" spans="1:35" x14ac:dyDescent="0.25">
      <c r="A556" t="s">
        <v>2211</v>
      </c>
      <c r="B556" t="s">
        <v>34</v>
      </c>
      <c r="C556" t="s">
        <v>215</v>
      </c>
      <c r="D556" t="s">
        <v>216</v>
      </c>
      <c r="E556" t="s">
        <v>37</v>
      </c>
      <c r="F556" t="s">
        <v>217</v>
      </c>
      <c r="G556" t="s">
        <v>39</v>
      </c>
      <c r="H556" t="s">
        <v>40</v>
      </c>
      <c r="I556" t="s">
        <v>41</v>
      </c>
      <c r="J556" t="s">
        <v>37</v>
      </c>
      <c r="K556" t="s">
        <v>37</v>
      </c>
      <c r="L556" t="s">
        <v>42</v>
      </c>
      <c r="M556" s="6">
        <v>45654.291666666664</v>
      </c>
      <c r="N556" t="s">
        <v>4265</v>
      </c>
      <c r="O556" s="1">
        <v>45654</v>
      </c>
      <c r="P556" s="1">
        <v>45653.897106481483</v>
      </c>
      <c r="Q556" t="s">
        <v>4265</v>
      </c>
      <c r="R556" s="6">
        <v>45654.416666666664</v>
      </c>
      <c r="S556" t="s">
        <v>43</v>
      </c>
      <c r="T556">
        <v>23.8</v>
      </c>
      <c r="U556">
        <v>0</v>
      </c>
      <c r="V556">
        <v>23.8</v>
      </c>
      <c r="W556">
        <v>1.19</v>
      </c>
      <c r="X556">
        <v>0</v>
      </c>
      <c r="Y556">
        <v>0</v>
      </c>
      <c r="Z556">
        <v>24.99</v>
      </c>
      <c r="AA556" t="s">
        <v>44</v>
      </c>
      <c r="AB556" t="s">
        <v>45</v>
      </c>
      <c r="AC556" t="s">
        <v>46</v>
      </c>
      <c r="AD556" t="s">
        <v>37</v>
      </c>
      <c r="AE556" t="s">
        <v>37</v>
      </c>
      <c r="AF556" t="s">
        <v>2212</v>
      </c>
      <c r="AG556" t="s">
        <v>37</v>
      </c>
      <c r="AH556" t="s">
        <v>219</v>
      </c>
      <c r="AI556" t="s">
        <v>37</v>
      </c>
    </row>
    <row r="557" spans="1:35" x14ac:dyDescent="0.25">
      <c r="A557" t="s">
        <v>2219</v>
      </c>
      <c r="B557" t="s">
        <v>34</v>
      </c>
      <c r="C557" t="s">
        <v>2220</v>
      </c>
      <c r="D557" t="s">
        <v>2221</v>
      </c>
      <c r="E557" t="s">
        <v>37</v>
      </c>
      <c r="F557" t="s">
        <v>2222</v>
      </c>
      <c r="G557" t="s">
        <v>39</v>
      </c>
      <c r="H557" t="s">
        <v>40</v>
      </c>
      <c r="I557" t="s">
        <v>41</v>
      </c>
      <c r="J557" t="s">
        <v>37</v>
      </c>
      <c r="K557" t="s">
        <v>37</v>
      </c>
      <c r="L557" t="s">
        <v>42</v>
      </c>
      <c r="M557" s="6">
        <v>45654.291666666664</v>
      </c>
      <c r="N557" t="s">
        <v>4265</v>
      </c>
      <c r="O557" s="1">
        <v>45654</v>
      </c>
      <c r="P557" s="1">
        <v>45654.444062499999</v>
      </c>
      <c r="Q557" t="s">
        <v>4265</v>
      </c>
      <c r="R557" s="6">
        <v>45654.416666666664</v>
      </c>
      <c r="S557" t="s">
        <v>43</v>
      </c>
      <c r="T557">
        <v>23.8</v>
      </c>
      <c r="U557">
        <v>0</v>
      </c>
      <c r="V557">
        <v>23.8</v>
      </c>
      <c r="W557">
        <v>1.19</v>
      </c>
      <c r="X557">
        <v>0</v>
      </c>
      <c r="Y557">
        <v>0</v>
      </c>
      <c r="Z557">
        <v>24.99</v>
      </c>
      <c r="AA557" t="s">
        <v>44</v>
      </c>
      <c r="AB557" t="s">
        <v>45</v>
      </c>
      <c r="AC557" t="s">
        <v>46</v>
      </c>
      <c r="AD557" t="s">
        <v>37</v>
      </c>
      <c r="AE557" t="s">
        <v>37</v>
      </c>
      <c r="AF557" t="s">
        <v>2223</v>
      </c>
      <c r="AG557" t="s">
        <v>37</v>
      </c>
      <c r="AH557" t="s">
        <v>2220</v>
      </c>
      <c r="AI557" t="s">
        <v>37</v>
      </c>
    </row>
    <row r="558" spans="1:35" x14ac:dyDescent="0.25">
      <c r="A558" t="s">
        <v>2231</v>
      </c>
      <c r="B558" t="s">
        <v>34</v>
      </c>
      <c r="C558" t="s">
        <v>70</v>
      </c>
      <c r="D558" t="s">
        <v>71</v>
      </c>
      <c r="E558" t="s">
        <v>37</v>
      </c>
      <c r="F558" t="s">
        <v>2197</v>
      </c>
      <c r="G558" t="s">
        <v>39</v>
      </c>
      <c r="H558" t="s">
        <v>40</v>
      </c>
      <c r="I558" t="s">
        <v>41</v>
      </c>
      <c r="J558" t="s">
        <v>37</v>
      </c>
      <c r="K558" t="s">
        <v>37</v>
      </c>
      <c r="L558" t="s">
        <v>42</v>
      </c>
      <c r="M558" s="6">
        <v>45654.291666666664</v>
      </c>
      <c r="N558" t="s">
        <v>4265</v>
      </c>
      <c r="O558" s="1">
        <v>45654</v>
      </c>
      <c r="P558" s="1">
        <v>45609.271921296298</v>
      </c>
      <c r="Q558" t="s">
        <v>4265</v>
      </c>
      <c r="R558" s="6">
        <v>45654.416666666664</v>
      </c>
      <c r="S558" t="s">
        <v>43</v>
      </c>
      <c r="T558">
        <v>47.6</v>
      </c>
      <c r="U558">
        <v>0</v>
      </c>
      <c r="V558">
        <v>47.6</v>
      </c>
      <c r="W558">
        <v>2.38</v>
      </c>
      <c r="X558">
        <v>0</v>
      </c>
      <c r="Y558">
        <v>0</v>
      </c>
      <c r="Z558">
        <v>49.98</v>
      </c>
      <c r="AA558" t="s">
        <v>44</v>
      </c>
      <c r="AB558" t="s">
        <v>45</v>
      </c>
      <c r="AC558" t="s">
        <v>46</v>
      </c>
      <c r="AD558" t="s">
        <v>37</v>
      </c>
      <c r="AE558" t="s">
        <v>37</v>
      </c>
      <c r="AF558" t="s">
        <v>2198</v>
      </c>
      <c r="AG558" t="s">
        <v>37</v>
      </c>
      <c r="AH558" t="s">
        <v>70</v>
      </c>
      <c r="AI558" t="s">
        <v>37</v>
      </c>
    </row>
    <row r="559" spans="1:35" x14ac:dyDescent="0.25">
      <c r="A559" t="s">
        <v>2163</v>
      </c>
      <c r="B559" t="s">
        <v>34</v>
      </c>
      <c r="C559" t="s">
        <v>2164</v>
      </c>
      <c r="D559" t="s">
        <v>2165</v>
      </c>
      <c r="E559" t="s">
        <v>37</v>
      </c>
      <c r="F559" t="s">
        <v>2166</v>
      </c>
      <c r="G559" t="s">
        <v>39</v>
      </c>
      <c r="H559" t="s">
        <v>40</v>
      </c>
      <c r="I559" t="s">
        <v>41</v>
      </c>
      <c r="J559" t="s">
        <v>37</v>
      </c>
      <c r="K559" t="s">
        <v>37</v>
      </c>
      <c r="L559" t="s">
        <v>42</v>
      </c>
      <c r="M559" s="6">
        <v>45654.39371527778</v>
      </c>
      <c r="N559" t="s">
        <v>4265</v>
      </c>
      <c r="O559" s="1">
        <v>45654.102048611108</v>
      </c>
      <c r="P559" s="1">
        <v>45654.393761574072</v>
      </c>
      <c r="Q559" t="s">
        <v>4265</v>
      </c>
      <c r="R559" s="6">
        <v>45654.416666666664</v>
      </c>
      <c r="S559" t="s">
        <v>43</v>
      </c>
      <c r="T559">
        <v>23.8</v>
      </c>
      <c r="U559">
        <v>0</v>
      </c>
      <c r="V559">
        <v>23.8</v>
      </c>
      <c r="W559">
        <v>1.19</v>
      </c>
      <c r="X559">
        <v>0</v>
      </c>
      <c r="Y559">
        <v>0</v>
      </c>
      <c r="Z559">
        <v>24.99</v>
      </c>
      <c r="AA559" t="s">
        <v>44</v>
      </c>
      <c r="AB559" t="s">
        <v>45</v>
      </c>
      <c r="AC559" t="s">
        <v>46</v>
      </c>
      <c r="AD559" t="s">
        <v>37</v>
      </c>
      <c r="AE559" t="s">
        <v>37</v>
      </c>
      <c r="AF559" t="s">
        <v>2167</v>
      </c>
      <c r="AG559" t="s">
        <v>37</v>
      </c>
      <c r="AH559" t="s">
        <v>2164</v>
      </c>
      <c r="AI559" t="s">
        <v>37</v>
      </c>
    </row>
    <row r="560" spans="1:35" x14ac:dyDescent="0.25">
      <c r="A560" t="s">
        <v>2155</v>
      </c>
      <c r="B560" t="s">
        <v>34</v>
      </c>
      <c r="C560" t="s">
        <v>2156</v>
      </c>
      <c r="D560" t="s">
        <v>2157</v>
      </c>
      <c r="E560" t="s">
        <v>37</v>
      </c>
      <c r="F560" t="s">
        <v>2158</v>
      </c>
      <c r="G560" t="s">
        <v>39</v>
      </c>
      <c r="H560" t="s">
        <v>40</v>
      </c>
      <c r="I560" t="s">
        <v>41</v>
      </c>
      <c r="J560" t="s">
        <v>37</v>
      </c>
      <c r="K560" t="s">
        <v>37</v>
      </c>
      <c r="L560" t="s">
        <v>42</v>
      </c>
      <c r="M560" s="6">
        <v>45655.291666666664</v>
      </c>
      <c r="N560" t="s">
        <v>4266</v>
      </c>
      <c r="O560" s="1">
        <v>45655</v>
      </c>
      <c r="P560" s="1">
        <v>45649.849224537036</v>
      </c>
      <c r="Q560" t="s">
        <v>4266</v>
      </c>
      <c r="R560" s="6">
        <v>45655.416666666664</v>
      </c>
      <c r="S560" t="s">
        <v>43</v>
      </c>
      <c r="T560">
        <v>47.6</v>
      </c>
      <c r="U560">
        <v>0</v>
      </c>
      <c r="V560">
        <v>47.6</v>
      </c>
      <c r="W560">
        <v>2.38</v>
      </c>
      <c r="X560">
        <v>0</v>
      </c>
      <c r="Y560">
        <v>0</v>
      </c>
      <c r="Z560">
        <v>49.98</v>
      </c>
      <c r="AA560" t="s">
        <v>44</v>
      </c>
      <c r="AB560" t="s">
        <v>45</v>
      </c>
      <c r="AC560" t="s">
        <v>46</v>
      </c>
      <c r="AD560" t="s">
        <v>37</v>
      </c>
      <c r="AE560" t="s">
        <v>37</v>
      </c>
      <c r="AF560" t="s">
        <v>2159</v>
      </c>
      <c r="AG560" t="s">
        <v>37</v>
      </c>
      <c r="AH560" t="s">
        <v>2156</v>
      </c>
      <c r="AI560" t="s">
        <v>37</v>
      </c>
    </row>
    <row r="561" spans="1:35" x14ac:dyDescent="0.25">
      <c r="A561" t="s">
        <v>2196</v>
      </c>
      <c r="B561" t="s">
        <v>34</v>
      </c>
      <c r="C561" t="s">
        <v>70</v>
      </c>
      <c r="D561" t="s">
        <v>71</v>
      </c>
      <c r="E561" t="s">
        <v>37</v>
      </c>
      <c r="F561" t="s">
        <v>2197</v>
      </c>
      <c r="G561" t="s">
        <v>39</v>
      </c>
      <c r="H561" t="s">
        <v>40</v>
      </c>
      <c r="I561" t="s">
        <v>41</v>
      </c>
      <c r="J561" t="s">
        <v>37</v>
      </c>
      <c r="K561" t="s">
        <v>37</v>
      </c>
      <c r="L561" t="s">
        <v>42</v>
      </c>
      <c r="M561" s="6">
        <v>45655.291666666664</v>
      </c>
      <c r="N561" t="s">
        <v>4266</v>
      </c>
      <c r="O561" s="1">
        <v>45655</v>
      </c>
      <c r="P561" s="1">
        <v>45609.271921296298</v>
      </c>
      <c r="Q561" t="s">
        <v>4266</v>
      </c>
      <c r="R561" s="6">
        <v>45655.416666666664</v>
      </c>
      <c r="S561" t="s">
        <v>43</v>
      </c>
      <c r="T561">
        <v>47.6</v>
      </c>
      <c r="U561">
        <v>0</v>
      </c>
      <c r="V561">
        <v>47.6</v>
      </c>
      <c r="W561">
        <v>2.38</v>
      </c>
      <c r="X561">
        <v>0</v>
      </c>
      <c r="Y561">
        <v>0</v>
      </c>
      <c r="Z561">
        <v>49.98</v>
      </c>
      <c r="AA561" t="s">
        <v>44</v>
      </c>
      <c r="AB561" t="s">
        <v>45</v>
      </c>
      <c r="AC561" t="s">
        <v>46</v>
      </c>
      <c r="AD561" t="s">
        <v>37</v>
      </c>
      <c r="AE561" t="s">
        <v>37</v>
      </c>
      <c r="AF561" t="s">
        <v>2198</v>
      </c>
      <c r="AG561" t="s">
        <v>37</v>
      </c>
      <c r="AH561" t="s">
        <v>70</v>
      </c>
      <c r="AI561" t="s">
        <v>37</v>
      </c>
    </row>
    <row r="562" spans="1:35" x14ac:dyDescent="0.25">
      <c r="A562" t="s">
        <v>2199</v>
      </c>
      <c r="B562" t="s">
        <v>34</v>
      </c>
      <c r="C562" t="s">
        <v>889</v>
      </c>
      <c r="D562" t="s">
        <v>890</v>
      </c>
      <c r="E562" t="s">
        <v>37</v>
      </c>
      <c r="F562" t="s">
        <v>891</v>
      </c>
      <c r="G562" t="s">
        <v>39</v>
      </c>
      <c r="H562" t="s">
        <v>40</v>
      </c>
      <c r="I562" t="s">
        <v>41</v>
      </c>
      <c r="J562" t="s">
        <v>37</v>
      </c>
      <c r="K562" t="s">
        <v>37</v>
      </c>
      <c r="L562" t="s">
        <v>42</v>
      </c>
      <c r="M562" s="6">
        <v>45655.291666666664</v>
      </c>
      <c r="N562" t="s">
        <v>4266</v>
      </c>
      <c r="O562" s="1">
        <v>45655</v>
      </c>
      <c r="P562" s="1">
        <v>45653.716006944444</v>
      </c>
      <c r="Q562" t="s">
        <v>4266</v>
      </c>
      <c r="R562" s="6">
        <v>45655.416666666664</v>
      </c>
      <c r="S562" t="s">
        <v>43</v>
      </c>
      <c r="T562">
        <v>23.8</v>
      </c>
      <c r="U562">
        <v>0</v>
      </c>
      <c r="V562">
        <v>23.8</v>
      </c>
      <c r="W562">
        <v>1.19</v>
      </c>
      <c r="X562">
        <v>0</v>
      </c>
      <c r="Y562">
        <v>0</v>
      </c>
      <c r="Z562">
        <v>24.99</v>
      </c>
      <c r="AA562" t="s">
        <v>44</v>
      </c>
      <c r="AB562" t="s">
        <v>45</v>
      </c>
      <c r="AC562" t="s">
        <v>46</v>
      </c>
      <c r="AD562" t="s">
        <v>37</v>
      </c>
      <c r="AE562" t="s">
        <v>37</v>
      </c>
      <c r="AF562" t="s">
        <v>2200</v>
      </c>
      <c r="AG562" t="s">
        <v>37</v>
      </c>
      <c r="AH562" t="s">
        <v>889</v>
      </c>
      <c r="AI562" t="s">
        <v>37</v>
      </c>
    </row>
    <row r="563" spans="1:35" x14ac:dyDescent="0.25">
      <c r="A563" t="s">
        <v>2201</v>
      </c>
      <c r="B563" t="s">
        <v>34</v>
      </c>
      <c r="C563" t="s">
        <v>889</v>
      </c>
      <c r="D563" t="s">
        <v>890</v>
      </c>
      <c r="E563" t="s">
        <v>37</v>
      </c>
      <c r="F563" t="s">
        <v>2202</v>
      </c>
      <c r="G563" t="s">
        <v>39</v>
      </c>
      <c r="H563" t="s">
        <v>40</v>
      </c>
      <c r="I563" t="s">
        <v>41</v>
      </c>
      <c r="J563" t="s">
        <v>37</v>
      </c>
      <c r="K563" t="s">
        <v>37</v>
      </c>
      <c r="L563" t="s">
        <v>42</v>
      </c>
      <c r="M563" s="6">
        <v>45655.291666666664</v>
      </c>
      <c r="N563" t="s">
        <v>4266</v>
      </c>
      <c r="O563" s="1">
        <v>45655</v>
      </c>
      <c r="P563" s="1">
        <v>45653.723587962966</v>
      </c>
      <c r="Q563" t="s">
        <v>4266</v>
      </c>
      <c r="R563" s="6">
        <v>45655.416666666664</v>
      </c>
      <c r="S563" t="s">
        <v>43</v>
      </c>
      <c r="T563">
        <v>23.8</v>
      </c>
      <c r="U563">
        <v>0</v>
      </c>
      <c r="V563">
        <v>23.8</v>
      </c>
      <c r="W563">
        <v>1.19</v>
      </c>
      <c r="X563">
        <v>0</v>
      </c>
      <c r="Y563">
        <v>0</v>
      </c>
      <c r="Z563">
        <v>24.99</v>
      </c>
      <c r="AA563" t="s">
        <v>44</v>
      </c>
      <c r="AB563" t="s">
        <v>45</v>
      </c>
      <c r="AC563" t="s">
        <v>46</v>
      </c>
      <c r="AD563" t="s">
        <v>37</v>
      </c>
      <c r="AE563" t="s">
        <v>37</v>
      </c>
      <c r="AF563" t="s">
        <v>2203</v>
      </c>
      <c r="AG563" t="s">
        <v>37</v>
      </c>
      <c r="AH563" t="s">
        <v>889</v>
      </c>
      <c r="AI563" t="s">
        <v>37</v>
      </c>
    </row>
    <row r="564" spans="1:35" x14ac:dyDescent="0.25">
      <c r="A564" t="s">
        <v>2213</v>
      </c>
      <c r="B564" t="s">
        <v>34</v>
      </c>
      <c r="C564" t="s">
        <v>2214</v>
      </c>
      <c r="D564" t="s">
        <v>2215</v>
      </c>
      <c r="E564" t="s">
        <v>37</v>
      </c>
      <c r="F564" t="s">
        <v>2216</v>
      </c>
      <c r="G564" t="s">
        <v>39</v>
      </c>
      <c r="H564" t="s">
        <v>40</v>
      </c>
      <c r="I564" t="s">
        <v>41</v>
      </c>
      <c r="J564" t="s">
        <v>37</v>
      </c>
      <c r="K564" t="s">
        <v>37</v>
      </c>
      <c r="L564" t="s">
        <v>42</v>
      </c>
      <c r="M564" s="6">
        <v>45655.291666666664</v>
      </c>
      <c r="N564" t="s">
        <v>4266</v>
      </c>
      <c r="O564" s="1">
        <v>45655</v>
      </c>
      <c r="P564" s="1">
        <v>45653.926180555558</v>
      </c>
      <c r="Q564" t="s">
        <v>4266</v>
      </c>
      <c r="R564" s="6">
        <v>45655.416666666664</v>
      </c>
      <c r="S564" t="s">
        <v>43</v>
      </c>
      <c r="T564">
        <v>23.8</v>
      </c>
      <c r="U564">
        <v>0</v>
      </c>
      <c r="V564">
        <v>23.8</v>
      </c>
      <c r="W564">
        <v>1.19</v>
      </c>
      <c r="X564">
        <v>0</v>
      </c>
      <c r="Y564">
        <v>0</v>
      </c>
      <c r="Z564">
        <v>24.99</v>
      </c>
      <c r="AA564" t="s">
        <v>44</v>
      </c>
      <c r="AB564" t="s">
        <v>45</v>
      </c>
      <c r="AC564" t="s">
        <v>46</v>
      </c>
      <c r="AD564" t="s">
        <v>37</v>
      </c>
      <c r="AE564" t="s">
        <v>37</v>
      </c>
      <c r="AF564" t="s">
        <v>2217</v>
      </c>
      <c r="AG564" t="s">
        <v>37</v>
      </c>
      <c r="AH564" t="s">
        <v>2218</v>
      </c>
      <c r="AI564" t="s">
        <v>37</v>
      </c>
    </row>
    <row r="565" spans="1:35" x14ac:dyDescent="0.25">
      <c r="A565" t="s">
        <v>2239</v>
      </c>
      <c r="B565" t="s">
        <v>34</v>
      </c>
      <c r="C565" t="s">
        <v>1989</v>
      </c>
      <c r="D565" t="s">
        <v>2240</v>
      </c>
      <c r="E565" t="s">
        <v>37</v>
      </c>
      <c r="F565" t="s">
        <v>1991</v>
      </c>
      <c r="G565" t="s">
        <v>39</v>
      </c>
      <c r="H565" t="s">
        <v>40</v>
      </c>
      <c r="I565" t="s">
        <v>41</v>
      </c>
      <c r="J565" t="s">
        <v>37</v>
      </c>
      <c r="K565" t="s">
        <v>37</v>
      </c>
      <c r="L565" t="s">
        <v>42</v>
      </c>
      <c r="M565" s="6">
        <v>45655.346203703702</v>
      </c>
      <c r="N565" t="s">
        <v>4266</v>
      </c>
      <c r="O565" s="1">
        <v>45655.054537037038</v>
      </c>
      <c r="P565" s="1">
        <v>45655.346261574072</v>
      </c>
      <c r="Q565" t="s">
        <v>4266</v>
      </c>
      <c r="R565" s="6">
        <v>45655.416666666664</v>
      </c>
      <c r="S565" t="s">
        <v>43</v>
      </c>
      <c r="T565">
        <v>23.8</v>
      </c>
      <c r="U565">
        <v>0</v>
      </c>
      <c r="V565">
        <v>23.8</v>
      </c>
      <c r="W565">
        <v>1.19</v>
      </c>
      <c r="X565">
        <v>0</v>
      </c>
      <c r="Y565">
        <v>0</v>
      </c>
      <c r="Z565">
        <v>24.99</v>
      </c>
      <c r="AA565" t="s">
        <v>44</v>
      </c>
      <c r="AB565" t="s">
        <v>45</v>
      </c>
      <c r="AC565" t="s">
        <v>46</v>
      </c>
      <c r="AD565" t="s">
        <v>37</v>
      </c>
      <c r="AE565" t="s">
        <v>37</v>
      </c>
      <c r="AF565" t="s">
        <v>2241</v>
      </c>
      <c r="AG565" t="s">
        <v>37</v>
      </c>
      <c r="AH565" t="s">
        <v>1989</v>
      </c>
      <c r="AI565" t="s">
        <v>37</v>
      </c>
    </row>
    <row r="566" spans="1:35" x14ac:dyDescent="0.25">
      <c r="A566" t="s">
        <v>2136</v>
      </c>
      <c r="B566" t="s">
        <v>34</v>
      </c>
      <c r="C566" t="s">
        <v>726</v>
      </c>
      <c r="D566" t="s">
        <v>727</v>
      </c>
      <c r="E566" t="s">
        <v>37</v>
      </c>
      <c r="F566" t="s">
        <v>728</v>
      </c>
      <c r="G566" t="s">
        <v>39</v>
      </c>
      <c r="H566" t="s">
        <v>40</v>
      </c>
      <c r="I566" t="s">
        <v>41</v>
      </c>
      <c r="J566" t="s">
        <v>37</v>
      </c>
      <c r="K566" t="s">
        <v>37</v>
      </c>
      <c r="L566" t="s">
        <v>42</v>
      </c>
      <c r="M566" s="6">
        <v>45656.291666666664</v>
      </c>
      <c r="N566" t="s">
        <v>4262</v>
      </c>
      <c r="O566" s="1">
        <v>45656</v>
      </c>
      <c r="P566" s="1">
        <v>45645.722777777781</v>
      </c>
      <c r="Q566" t="s">
        <v>4262</v>
      </c>
      <c r="R566" s="6">
        <v>45656.416666666664</v>
      </c>
      <c r="S566" t="s">
        <v>43</v>
      </c>
      <c r="T566">
        <v>19.04</v>
      </c>
      <c r="U566">
        <v>0</v>
      </c>
      <c r="V566">
        <v>19.04</v>
      </c>
      <c r="W566">
        <v>0.95</v>
      </c>
      <c r="X566">
        <v>0</v>
      </c>
      <c r="Y566">
        <v>0</v>
      </c>
      <c r="Z566">
        <v>19.989999999999998</v>
      </c>
      <c r="AA566" t="s">
        <v>44</v>
      </c>
      <c r="AB566" t="s">
        <v>45</v>
      </c>
      <c r="AC566" t="s">
        <v>46</v>
      </c>
      <c r="AD566" t="s">
        <v>37</v>
      </c>
      <c r="AE566" t="s">
        <v>37</v>
      </c>
      <c r="AF566" t="s">
        <v>2137</v>
      </c>
      <c r="AG566" t="s">
        <v>37</v>
      </c>
      <c r="AH566" t="s">
        <v>726</v>
      </c>
      <c r="AI566" t="s">
        <v>37</v>
      </c>
    </row>
    <row r="567" spans="1:35" x14ac:dyDescent="0.25">
      <c r="A567" t="s">
        <v>2143</v>
      </c>
      <c r="B567" t="s">
        <v>34</v>
      </c>
      <c r="C567" t="s">
        <v>2144</v>
      </c>
      <c r="D567" t="s">
        <v>2145</v>
      </c>
      <c r="E567" t="s">
        <v>37</v>
      </c>
      <c r="F567" t="s">
        <v>2146</v>
      </c>
      <c r="G567" t="s">
        <v>39</v>
      </c>
      <c r="H567" t="s">
        <v>40</v>
      </c>
      <c r="I567" t="s">
        <v>41</v>
      </c>
      <c r="J567" t="s">
        <v>37</v>
      </c>
      <c r="K567" t="s">
        <v>37</v>
      </c>
      <c r="L567" t="s">
        <v>42</v>
      </c>
      <c r="M567" s="6">
        <v>45656.291666666664</v>
      </c>
      <c r="N567" t="s">
        <v>4262</v>
      </c>
      <c r="O567" s="1">
        <v>45656</v>
      </c>
      <c r="P567" s="1">
        <v>45647.812557870369</v>
      </c>
      <c r="Q567" t="s">
        <v>4262</v>
      </c>
      <c r="R567" s="6">
        <v>45656.416666666664</v>
      </c>
      <c r="S567" t="s">
        <v>43</v>
      </c>
      <c r="T567">
        <v>38.08</v>
      </c>
      <c r="U567">
        <v>0</v>
      </c>
      <c r="V567">
        <v>38.08</v>
      </c>
      <c r="W567">
        <v>1.9</v>
      </c>
      <c r="X567">
        <v>0</v>
      </c>
      <c r="Y567">
        <v>0</v>
      </c>
      <c r="Z567">
        <v>39.979999999999997</v>
      </c>
      <c r="AA567" t="s">
        <v>44</v>
      </c>
      <c r="AB567" t="s">
        <v>45</v>
      </c>
      <c r="AC567" t="s">
        <v>46</v>
      </c>
      <c r="AD567" t="s">
        <v>37</v>
      </c>
      <c r="AE567" t="s">
        <v>37</v>
      </c>
      <c r="AF567" t="s">
        <v>2147</v>
      </c>
      <c r="AG567" t="s">
        <v>37</v>
      </c>
      <c r="AH567" t="s">
        <v>2144</v>
      </c>
      <c r="AI567" t="s">
        <v>37</v>
      </c>
    </row>
    <row r="568" spans="1:35" x14ac:dyDescent="0.25">
      <c r="A568" t="s">
        <v>2188</v>
      </c>
      <c r="B568" t="s">
        <v>34</v>
      </c>
      <c r="C568" t="s">
        <v>2189</v>
      </c>
      <c r="D568" t="s">
        <v>2190</v>
      </c>
      <c r="E568" t="s">
        <v>37</v>
      </c>
      <c r="F568" t="s">
        <v>2191</v>
      </c>
      <c r="G568" t="s">
        <v>39</v>
      </c>
      <c r="H568" t="s">
        <v>40</v>
      </c>
      <c r="I568" t="s">
        <v>41</v>
      </c>
      <c r="J568" t="s">
        <v>37</v>
      </c>
      <c r="K568" t="s">
        <v>37</v>
      </c>
      <c r="L568" t="s">
        <v>42</v>
      </c>
      <c r="M568" s="6">
        <v>45656.291666666664</v>
      </c>
      <c r="N568" t="s">
        <v>4262</v>
      </c>
      <c r="O568" s="1">
        <v>45656</v>
      </c>
      <c r="P568" s="1">
        <v>45653.490798611114</v>
      </c>
      <c r="Q568" t="s">
        <v>4262</v>
      </c>
      <c r="R568" s="6">
        <v>45656.416666666664</v>
      </c>
      <c r="S568" t="s">
        <v>43</v>
      </c>
      <c r="T568">
        <v>76.150000000000006</v>
      </c>
      <c r="U568">
        <v>0</v>
      </c>
      <c r="V568">
        <v>76.150000000000006</v>
      </c>
      <c r="W568">
        <v>3.81</v>
      </c>
      <c r="X568">
        <v>0</v>
      </c>
      <c r="Y568">
        <v>0</v>
      </c>
      <c r="Z568">
        <v>79.959999999999994</v>
      </c>
      <c r="AA568" t="s">
        <v>44</v>
      </c>
      <c r="AB568" t="s">
        <v>45</v>
      </c>
      <c r="AC568" t="s">
        <v>46</v>
      </c>
      <c r="AD568" t="s">
        <v>37</v>
      </c>
      <c r="AE568" t="s">
        <v>37</v>
      </c>
      <c r="AF568" t="s">
        <v>2192</v>
      </c>
      <c r="AG568" t="s">
        <v>37</v>
      </c>
      <c r="AH568" t="s">
        <v>2189</v>
      </c>
      <c r="AI568" t="s">
        <v>37</v>
      </c>
    </row>
    <row r="569" spans="1:35" x14ac:dyDescent="0.25">
      <c r="A569" t="s">
        <v>2224</v>
      </c>
      <c r="B569" t="s">
        <v>34</v>
      </c>
      <c r="C569" t="s">
        <v>978</v>
      </c>
      <c r="D569" t="s">
        <v>979</v>
      </c>
      <c r="E569" t="s">
        <v>37</v>
      </c>
      <c r="F569" t="s">
        <v>980</v>
      </c>
      <c r="G569" t="s">
        <v>39</v>
      </c>
      <c r="H569" t="s">
        <v>40</v>
      </c>
      <c r="I569" t="s">
        <v>41</v>
      </c>
      <c r="J569" t="s">
        <v>37</v>
      </c>
      <c r="K569" t="s">
        <v>37</v>
      </c>
      <c r="L569" t="s">
        <v>42</v>
      </c>
      <c r="M569" s="6">
        <v>45656.291666666664</v>
      </c>
      <c r="N569" t="s">
        <v>4262</v>
      </c>
      <c r="O569" s="1">
        <v>45656</v>
      </c>
      <c r="P569" s="1">
        <v>45654.518379629626</v>
      </c>
      <c r="Q569" t="s">
        <v>4262</v>
      </c>
      <c r="R569" s="6">
        <v>45656.416666666664</v>
      </c>
      <c r="S569" t="s">
        <v>43</v>
      </c>
      <c r="T569">
        <v>19.04</v>
      </c>
      <c r="U569">
        <v>0</v>
      </c>
      <c r="V569">
        <v>19.04</v>
      </c>
      <c r="W569">
        <v>0.95</v>
      </c>
      <c r="X569">
        <v>0</v>
      </c>
      <c r="Y569">
        <v>0</v>
      </c>
      <c r="Z569">
        <v>19.989999999999998</v>
      </c>
      <c r="AA569" t="s">
        <v>44</v>
      </c>
      <c r="AB569" t="s">
        <v>45</v>
      </c>
      <c r="AC569" t="s">
        <v>46</v>
      </c>
      <c r="AD569" t="s">
        <v>37</v>
      </c>
      <c r="AE569" t="s">
        <v>37</v>
      </c>
      <c r="AF569" t="s">
        <v>2225</v>
      </c>
      <c r="AG569" t="s">
        <v>37</v>
      </c>
      <c r="AH569" t="s">
        <v>978</v>
      </c>
      <c r="AI569" t="s">
        <v>37</v>
      </c>
    </row>
    <row r="570" spans="1:35" x14ac:dyDescent="0.25">
      <c r="A570" t="s">
        <v>2242</v>
      </c>
      <c r="B570" t="s">
        <v>34</v>
      </c>
      <c r="C570" t="s">
        <v>2243</v>
      </c>
      <c r="D570" t="s">
        <v>2244</v>
      </c>
      <c r="E570" t="s">
        <v>37</v>
      </c>
      <c r="F570" t="s">
        <v>2245</v>
      </c>
      <c r="G570" t="s">
        <v>39</v>
      </c>
      <c r="H570" t="s">
        <v>40</v>
      </c>
      <c r="I570" t="s">
        <v>41</v>
      </c>
      <c r="J570" t="s">
        <v>37</v>
      </c>
      <c r="K570" t="s">
        <v>37</v>
      </c>
      <c r="L570" t="s">
        <v>42</v>
      </c>
      <c r="M570" s="6">
        <v>45656.291666666664</v>
      </c>
      <c r="N570" t="s">
        <v>4262</v>
      </c>
      <c r="O570" s="1">
        <v>45656</v>
      </c>
      <c r="P570" s="1">
        <v>45655.691354166665</v>
      </c>
      <c r="Q570" t="s">
        <v>4262</v>
      </c>
      <c r="R570" s="6">
        <v>45656.416666666664</v>
      </c>
      <c r="S570" t="s">
        <v>43</v>
      </c>
      <c r="T570">
        <v>19.04</v>
      </c>
      <c r="U570">
        <v>0</v>
      </c>
      <c r="V570">
        <v>19.04</v>
      </c>
      <c r="W570">
        <v>0.95</v>
      </c>
      <c r="X570">
        <v>0</v>
      </c>
      <c r="Y570">
        <v>0</v>
      </c>
      <c r="Z570">
        <v>19.989999999999998</v>
      </c>
      <c r="AA570" t="s">
        <v>44</v>
      </c>
      <c r="AB570" t="s">
        <v>45</v>
      </c>
      <c r="AC570" t="s">
        <v>46</v>
      </c>
      <c r="AD570" t="s">
        <v>37</v>
      </c>
      <c r="AE570" t="s">
        <v>37</v>
      </c>
      <c r="AF570" t="s">
        <v>2246</v>
      </c>
      <c r="AG570" t="s">
        <v>37</v>
      </c>
      <c r="AH570" t="s">
        <v>2243</v>
      </c>
      <c r="AI570" t="s">
        <v>37</v>
      </c>
    </row>
    <row r="571" spans="1:35" x14ac:dyDescent="0.25">
      <c r="A571" t="s">
        <v>2247</v>
      </c>
      <c r="B571" t="s">
        <v>34</v>
      </c>
      <c r="C571" t="s">
        <v>2227</v>
      </c>
      <c r="D571" t="s">
        <v>2228</v>
      </c>
      <c r="E571" t="s">
        <v>37</v>
      </c>
      <c r="F571" t="s">
        <v>2229</v>
      </c>
      <c r="G571" t="s">
        <v>39</v>
      </c>
      <c r="H571" t="s">
        <v>40</v>
      </c>
      <c r="I571" t="s">
        <v>41</v>
      </c>
      <c r="J571" t="s">
        <v>37</v>
      </c>
      <c r="K571" t="s">
        <v>37</v>
      </c>
      <c r="L571" t="s">
        <v>42</v>
      </c>
      <c r="M571" s="6">
        <v>45656.291666666664</v>
      </c>
      <c r="N571" t="s">
        <v>4262</v>
      </c>
      <c r="O571" s="1">
        <v>45656</v>
      </c>
      <c r="P571" s="1">
        <v>45655.758090277777</v>
      </c>
      <c r="Q571" t="s">
        <v>4262</v>
      </c>
      <c r="R571" s="6">
        <v>45656.416666666664</v>
      </c>
      <c r="S571" t="s">
        <v>43</v>
      </c>
      <c r="T571">
        <v>19.04</v>
      </c>
      <c r="U571">
        <v>0</v>
      </c>
      <c r="V571">
        <v>19.04</v>
      </c>
      <c r="W571">
        <v>0.95</v>
      </c>
      <c r="X571">
        <v>0</v>
      </c>
      <c r="Y571">
        <v>0</v>
      </c>
      <c r="Z571">
        <v>19.989999999999998</v>
      </c>
      <c r="AA571" t="s">
        <v>44</v>
      </c>
      <c r="AB571" t="s">
        <v>45</v>
      </c>
      <c r="AC571" t="s">
        <v>46</v>
      </c>
      <c r="AD571" t="s">
        <v>37</v>
      </c>
      <c r="AE571" t="s">
        <v>37</v>
      </c>
      <c r="AF571" t="s">
        <v>2248</v>
      </c>
      <c r="AG571" t="s">
        <v>37</v>
      </c>
      <c r="AH571" t="s">
        <v>2227</v>
      </c>
      <c r="AI571" t="s">
        <v>37</v>
      </c>
    </row>
    <row r="572" spans="1:35" x14ac:dyDescent="0.25">
      <c r="A572" t="s">
        <v>2260</v>
      </c>
      <c r="B572" t="s">
        <v>34</v>
      </c>
      <c r="C572" t="s">
        <v>346</v>
      </c>
      <c r="D572" t="s">
        <v>347</v>
      </c>
      <c r="E572" t="s">
        <v>37</v>
      </c>
      <c r="F572" t="s">
        <v>348</v>
      </c>
      <c r="G572" t="s">
        <v>39</v>
      </c>
      <c r="H572" t="s">
        <v>40</v>
      </c>
      <c r="I572" t="s">
        <v>41</v>
      </c>
      <c r="J572" t="s">
        <v>37</v>
      </c>
      <c r="K572" t="s">
        <v>37</v>
      </c>
      <c r="L572" t="s">
        <v>42</v>
      </c>
      <c r="M572" s="6">
        <v>45656.291666666664</v>
      </c>
      <c r="N572" t="s">
        <v>4262</v>
      </c>
      <c r="O572" s="1">
        <v>45656</v>
      </c>
      <c r="P572" s="1">
        <v>45631.541342592594</v>
      </c>
      <c r="Q572" t="s">
        <v>4262</v>
      </c>
      <c r="R572" s="6">
        <v>45656.416666666664</v>
      </c>
      <c r="S572" t="s">
        <v>43</v>
      </c>
      <c r="T572">
        <v>19.04</v>
      </c>
      <c r="U572">
        <v>0</v>
      </c>
      <c r="V572">
        <v>19.04</v>
      </c>
      <c r="W572">
        <v>0.95</v>
      </c>
      <c r="X572">
        <v>0</v>
      </c>
      <c r="Y572">
        <v>0</v>
      </c>
      <c r="Z572">
        <v>19.989999999999998</v>
      </c>
      <c r="AA572" t="s">
        <v>44</v>
      </c>
      <c r="AB572" t="s">
        <v>45</v>
      </c>
      <c r="AC572" t="s">
        <v>46</v>
      </c>
      <c r="AD572" t="s">
        <v>37</v>
      </c>
      <c r="AE572" t="s">
        <v>37</v>
      </c>
      <c r="AF572" t="s">
        <v>2261</v>
      </c>
      <c r="AG572" t="s">
        <v>37</v>
      </c>
      <c r="AH572" t="s">
        <v>346</v>
      </c>
      <c r="AI572" t="s">
        <v>37</v>
      </c>
    </row>
    <row r="573" spans="1:35" x14ac:dyDescent="0.25">
      <c r="A573" t="s">
        <v>2150</v>
      </c>
      <c r="B573" t="s">
        <v>34</v>
      </c>
      <c r="C573" t="s">
        <v>2151</v>
      </c>
      <c r="D573" t="s">
        <v>2152</v>
      </c>
      <c r="E573" t="s">
        <v>37</v>
      </c>
      <c r="F573" t="s">
        <v>2153</v>
      </c>
      <c r="G573" t="s">
        <v>39</v>
      </c>
      <c r="H573" t="s">
        <v>40</v>
      </c>
      <c r="I573" t="s">
        <v>41</v>
      </c>
      <c r="J573" t="s">
        <v>37</v>
      </c>
      <c r="K573" t="s">
        <v>37</v>
      </c>
      <c r="L573" t="s">
        <v>42</v>
      </c>
      <c r="M573" s="6">
        <v>45657.291666666664</v>
      </c>
      <c r="N573" t="s">
        <v>4267</v>
      </c>
      <c r="O573" s="1">
        <v>45657</v>
      </c>
      <c r="P573" s="1">
        <v>45656.727187500001</v>
      </c>
      <c r="Q573" t="s">
        <v>4267</v>
      </c>
      <c r="R573" s="6">
        <v>45657.416666666664</v>
      </c>
      <c r="S573" t="s">
        <v>43</v>
      </c>
      <c r="T573">
        <v>19.04</v>
      </c>
      <c r="U573">
        <v>0</v>
      </c>
      <c r="V573">
        <v>19.04</v>
      </c>
      <c r="W573">
        <v>0.95</v>
      </c>
      <c r="X573">
        <v>0</v>
      </c>
      <c r="Y573">
        <v>0</v>
      </c>
      <c r="Z573">
        <v>19.989999999999998</v>
      </c>
      <c r="AA573" t="s">
        <v>44</v>
      </c>
      <c r="AB573" t="s">
        <v>45</v>
      </c>
      <c r="AC573" t="s">
        <v>46</v>
      </c>
      <c r="AD573" t="s">
        <v>37</v>
      </c>
      <c r="AE573" t="s">
        <v>37</v>
      </c>
      <c r="AF573" t="s">
        <v>2154</v>
      </c>
      <c r="AG573" t="s">
        <v>37</v>
      </c>
      <c r="AH573" t="s">
        <v>2151</v>
      </c>
      <c r="AI573" t="s">
        <v>37</v>
      </c>
    </row>
    <row r="574" spans="1:35" x14ac:dyDescent="0.25">
      <c r="A574" t="s">
        <v>2193</v>
      </c>
      <c r="B574" t="s">
        <v>34</v>
      </c>
      <c r="C574" t="s">
        <v>2189</v>
      </c>
      <c r="D574" t="s">
        <v>2190</v>
      </c>
      <c r="E574" t="s">
        <v>37</v>
      </c>
      <c r="F574" t="s">
        <v>2191</v>
      </c>
      <c r="G574" t="s">
        <v>39</v>
      </c>
      <c r="H574" t="s">
        <v>40</v>
      </c>
      <c r="I574" t="s">
        <v>41</v>
      </c>
      <c r="J574" t="s">
        <v>37</v>
      </c>
      <c r="K574" t="s">
        <v>37</v>
      </c>
      <c r="L574" t="s">
        <v>42</v>
      </c>
      <c r="M574" s="6">
        <v>45657.291666666664</v>
      </c>
      <c r="N574" t="s">
        <v>4267</v>
      </c>
      <c r="O574" s="1">
        <v>45657</v>
      </c>
      <c r="P574" s="1">
        <v>45653.490798611114</v>
      </c>
      <c r="Q574" t="s">
        <v>4267</v>
      </c>
      <c r="R574" s="6">
        <v>45657.416666666664</v>
      </c>
      <c r="S574" t="s">
        <v>43</v>
      </c>
      <c r="T574">
        <v>76.150000000000006</v>
      </c>
      <c r="U574">
        <v>0</v>
      </c>
      <c r="V574">
        <v>76.150000000000006</v>
      </c>
      <c r="W574">
        <v>3.81</v>
      </c>
      <c r="X574">
        <v>0</v>
      </c>
      <c r="Y574">
        <v>0</v>
      </c>
      <c r="Z574">
        <v>79.959999999999994</v>
      </c>
      <c r="AA574" t="s">
        <v>44</v>
      </c>
      <c r="AB574" t="s">
        <v>45</v>
      </c>
      <c r="AC574" t="s">
        <v>46</v>
      </c>
      <c r="AD574" t="s">
        <v>37</v>
      </c>
      <c r="AE574" t="s">
        <v>37</v>
      </c>
      <c r="AF574" t="s">
        <v>2192</v>
      </c>
      <c r="AG574" t="s">
        <v>37</v>
      </c>
      <c r="AH574" t="s">
        <v>2189</v>
      </c>
      <c r="AI574" t="s">
        <v>37</v>
      </c>
    </row>
    <row r="575" spans="1:35" x14ac:dyDescent="0.25">
      <c r="A575" t="s">
        <v>2232</v>
      </c>
      <c r="B575" t="s">
        <v>34</v>
      </c>
      <c r="C575" t="s">
        <v>2184</v>
      </c>
      <c r="D575" t="s">
        <v>2185</v>
      </c>
      <c r="E575" t="s">
        <v>37</v>
      </c>
      <c r="F575" t="s">
        <v>2186</v>
      </c>
      <c r="G575" t="s">
        <v>39</v>
      </c>
      <c r="H575" t="s">
        <v>40</v>
      </c>
      <c r="I575" t="s">
        <v>41</v>
      </c>
      <c r="J575" t="s">
        <v>37</v>
      </c>
      <c r="K575" t="s">
        <v>37</v>
      </c>
      <c r="L575" t="s">
        <v>42</v>
      </c>
      <c r="M575" s="6">
        <v>45657.291666666664</v>
      </c>
      <c r="N575" t="s">
        <v>4267</v>
      </c>
      <c r="O575" s="1">
        <v>45657</v>
      </c>
      <c r="P575" s="1">
        <v>45657.488935185182</v>
      </c>
      <c r="Q575" t="s">
        <v>4267</v>
      </c>
      <c r="R575" s="6">
        <v>45657.416666666664</v>
      </c>
      <c r="S575" t="s">
        <v>43</v>
      </c>
      <c r="T575">
        <v>19.04</v>
      </c>
      <c r="U575">
        <v>0</v>
      </c>
      <c r="V575">
        <v>19.04</v>
      </c>
      <c r="W575">
        <v>0.95</v>
      </c>
      <c r="X575">
        <v>0</v>
      </c>
      <c r="Y575">
        <v>0</v>
      </c>
      <c r="Z575">
        <v>19.989999999999998</v>
      </c>
      <c r="AA575" t="s">
        <v>44</v>
      </c>
      <c r="AB575" t="s">
        <v>45</v>
      </c>
      <c r="AC575" t="s">
        <v>46</v>
      </c>
      <c r="AD575" t="s">
        <v>37</v>
      </c>
      <c r="AE575" t="s">
        <v>37</v>
      </c>
      <c r="AF575" t="s">
        <v>2233</v>
      </c>
      <c r="AG575" t="s">
        <v>37</v>
      </c>
      <c r="AH575" t="s">
        <v>2184</v>
      </c>
      <c r="AI575" t="s">
        <v>37</v>
      </c>
    </row>
    <row r="576" spans="1:35" x14ac:dyDescent="0.25">
      <c r="A576" t="s">
        <v>2262</v>
      </c>
      <c r="B576" t="s">
        <v>34</v>
      </c>
      <c r="C576" t="s">
        <v>2144</v>
      </c>
      <c r="D576" t="s">
        <v>2145</v>
      </c>
      <c r="E576" t="s">
        <v>37</v>
      </c>
      <c r="F576" t="s">
        <v>2146</v>
      </c>
      <c r="G576" t="s">
        <v>39</v>
      </c>
      <c r="H576" t="s">
        <v>40</v>
      </c>
      <c r="I576" t="s">
        <v>41</v>
      </c>
      <c r="J576" t="s">
        <v>37</v>
      </c>
      <c r="K576" t="s">
        <v>37</v>
      </c>
      <c r="L576" t="s">
        <v>42</v>
      </c>
      <c r="M576" s="6">
        <v>45657.291666666664</v>
      </c>
      <c r="N576" t="s">
        <v>4267</v>
      </c>
      <c r="O576" s="1">
        <v>45657</v>
      </c>
      <c r="P576" s="1">
        <v>45647.812557870369</v>
      </c>
      <c r="Q576" t="s">
        <v>4267</v>
      </c>
      <c r="R576" s="6">
        <v>45657.416666666664</v>
      </c>
      <c r="S576" t="s">
        <v>43</v>
      </c>
      <c r="T576">
        <v>38.08</v>
      </c>
      <c r="U576">
        <v>0</v>
      </c>
      <c r="V576">
        <v>38.08</v>
      </c>
      <c r="W576">
        <v>1.9</v>
      </c>
      <c r="X576">
        <v>0</v>
      </c>
      <c r="Y576">
        <v>0</v>
      </c>
      <c r="Z576">
        <v>39.979999999999997</v>
      </c>
      <c r="AA576" t="s">
        <v>44</v>
      </c>
      <c r="AB576" t="s">
        <v>45</v>
      </c>
      <c r="AC576" t="s">
        <v>46</v>
      </c>
      <c r="AD576" t="s">
        <v>37</v>
      </c>
      <c r="AE576" t="s">
        <v>37</v>
      </c>
      <c r="AF576" t="s">
        <v>2147</v>
      </c>
      <c r="AG576" t="s">
        <v>37</v>
      </c>
      <c r="AH576" t="s">
        <v>2144</v>
      </c>
      <c r="AI576" t="s">
        <v>37</v>
      </c>
    </row>
    <row r="577" spans="1:35" x14ac:dyDescent="0.25">
      <c r="A577" t="s">
        <v>2226</v>
      </c>
      <c r="B577" t="s">
        <v>34</v>
      </c>
      <c r="C577" t="s">
        <v>2227</v>
      </c>
      <c r="D577" t="s">
        <v>2228</v>
      </c>
      <c r="E577" t="s">
        <v>37</v>
      </c>
      <c r="F577" t="s">
        <v>2229</v>
      </c>
      <c r="G577" t="s">
        <v>39</v>
      </c>
      <c r="H577" t="s">
        <v>40</v>
      </c>
      <c r="I577" t="s">
        <v>41</v>
      </c>
      <c r="J577" t="s">
        <v>37</v>
      </c>
      <c r="K577" t="s">
        <v>37</v>
      </c>
      <c r="L577" t="s">
        <v>42</v>
      </c>
      <c r="M577" s="6">
        <v>45657.318680555552</v>
      </c>
      <c r="N577" t="s">
        <v>4267</v>
      </c>
      <c r="O577" s="1">
        <v>45657.027013888888</v>
      </c>
      <c r="P577" s="1">
        <v>45657.318749999999</v>
      </c>
      <c r="Q577" t="s">
        <v>4267</v>
      </c>
      <c r="R577" s="6">
        <v>45657.416666666664</v>
      </c>
      <c r="S577" t="s">
        <v>43</v>
      </c>
      <c r="T577">
        <v>19.04</v>
      </c>
      <c r="U577">
        <v>0</v>
      </c>
      <c r="V577">
        <v>19.04</v>
      </c>
      <c r="W577">
        <v>0.95</v>
      </c>
      <c r="X577">
        <v>0</v>
      </c>
      <c r="Y577">
        <v>0</v>
      </c>
      <c r="Z577">
        <v>19.989999999999998</v>
      </c>
      <c r="AA577" t="s">
        <v>44</v>
      </c>
      <c r="AB577" t="s">
        <v>45</v>
      </c>
      <c r="AC577" t="s">
        <v>46</v>
      </c>
      <c r="AD577" t="s">
        <v>37</v>
      </c>
      <c r="AE577" t="s">
        <v>37</v>
      </c>
      <c r="AF577" t="s">
        <v>2230</v>
      </c>
      <c r="AG577" t="s">
        <v>37</v>
      </c>
      <c r="AH577" t="s">
        <v>2227</v>
      </c>
      <c r="AI577" t="s">
        <v>37</v>
      </c>
    </row>
    <row r="578" spans="1:35" x14ac:dyDescent="0.25">
      <c r="A578" t="s">
        <v>2293</v>
      </c>
      <c r="B578" t="s">
        <v>34</v>
      </c>
      <c r="C578" t="s">
        <v>2189</v>
      </c>
      <c r="D578" t="s">
        <v>2190</v>
      </c>
      <c r="E578" t="s">
        <v>37</v>
      </c>
      <c r="F578" t="s">
        <v>2191</v>
      </c>
      <c r="G578" t="s">
        <v>39</v>
      </c>
      <c r="H578" t="s">
        <v>40</v>
      </c>
      <c r="I578" t="s">
        <v>41</v>
      </c>
      <c r="J578" t="s">
        <v>37</v>
      </c>
      <c r="K578" t="s">
        <v>37</v>
      </c>
      <c r="L578" t="s">
        <v>42</v>
      </c>
      <c r="M578" s="6">
        <v>45658.291666666664</v>
      </c>
      <c r="N578" t="s">
        <v>4263</v>
      </c>
      <c r="O578" s="1">
        <v>45658</v>
      </c>
      <c r="P578" s="1">
        <v>45653.490798611114</v>
      </c>
      <c r="Q578" t="s">
        <v>4263</v>
      </c>
      <c r="R578" s="6">
        <v>45658.416666666664</v>
      </c>
      <c r="S578" t="s">
        <v>43</v>
      </c>
      <c r="T578">
        <v>76.150000000000006</v>
      </c>
      <c r="U578">
        <v>0</v>
      </c>
      <c r="V578">
        <v>76.150000000000006</v>
      </c>
      <c r="W578">
        <v>3.81</v>
      </c>
      <c r="X578">
        <v>0</v>
      </c>
      <c r="Y578">
        <v>0</v>
      </c>
      <c r="Z578">
        <v>79.959999999999994</v>
      </c>
      <c r="AA578" t="s">
        <v>44</v>
      </c>
      <c r="AB578" t="s">
        <v>45</v>
      </c>
      <c r="AC578" t="s">
        <v>46</v>
      </c>
      <c r="AD578" t="s">
        <v>37</v>
      </c>
      <c r="AE578" t="s">
        <v>37</v>
      </c>
      <c r="AF578" t="s">
        <v>2192</v>
      </c>
      <c r="AG578" t="s">
        <v>37</v>
      </c>
      <c r="AH578" t="s">
        <v>2189</v>
      </c>
      <c r="AI578" t="s">
        <v>37</v>
      </c>
    </row>
    <row r="579" spans="1:35" x14ac:dyDescent="0.25">
      <c r="A579" t="s">
        <v>2294</v>
      </c>
      <c r="B579" t="s">
        <v>34</v>
      </c>
      <c r="C579" t="s">
        <v>416</v>
      </c>
      <c r="D579" t="s">
        <v>417</v>
      </c>
      <c r="E579" t="s">
        <v>37</v>
      </c>
      <c r="F579" t="s">
        <v>418</v>
      </c>
      <c r="G579" t="s">
        <v>39</v>
      </c>
      <c r="H579" t="s">
        <v>40</v>
      </c>
      <c r="I579" t="s">
        <v>41</v>
      </c>
      <c r="J579" t="s">
        <v>37</v>
      </c>
      <c r="K579" t="s">
        <v>37</v>
      </c>
      <c r="L579" t="s">
        <v>42</v>
      </c>
      <c r="M579" s="6">
        <v>45658.291666666664</v>
      </c>
      <c r="N579" t="s">
        <v>4263</v>
      </c>
      <c r="O579" s="1">
        <v>45658</v>
      </c>
      <c r="P579" s="1">
        <v>45653.583807870367</v>
      </c>
      <c r="Q579" t="s">
        <v>4263</v>
      </c>
      <c r="R579" s="6">
        <v>45658.416666666664</v>
      </c>
      <c r="S579" t="s">
        <v>43</v>
      </c>
      <c r="T579">
        <v>19.04</v>
      </c>
      <c r="U579">
        <v>0</v>
      </c>
      <c r="V579">
        <v>19.04</v>
      </c>
      <c r="W579">
        <v>0.95</v>
      </c>
      <c r="X579">
        <v>0</v>
      </c>
      <c r="Y579">
        <v>0</v>
      </c>
      <c r="Z579">
        <v>19.989999999999998</v>
      </c>
      <c r="AA579" t="s">
        <v>44</v>
      </c>
      <c r="AB579" t="s">
        <v>45</v>
      </c>
      <c r="AC579" t="s">
        <v>46</v>
      </c>
      <c r="AD579" t="s">
        <v>37</v>
      </c>
      <c r="AE579" t="s">
        <v>37</v>
      </c>
      <c r="AF579" t="s">
        <v>2295</v>
      </c>
      <c r="AG579" t="s">
        <v>37</v>
      </c>
      <c r="AH579" t="s">
        <v>416</v>
      </c>
      <c r="AI579" t="s">
        <v>37</v>
      </c>
    </row>
    <row r="580" spans="1:35" x14ac:dyDescent="0.25">
      <c r="A580" t="s">
        <v>2298</v>
      </c>
      <c r="B580" t="s">
        <v>34</v>
      </c>
      <c r="C580" t="s">
        <v>2227</v>
      </c>
      <c r="D580" t="s">
        <v>2228</v>
      </c>
      <c r="E580" t="s">
        <v>37</v>
      </c>
      <c r="F580" t="s">
        <v>2229</v>
      </c>
      <c r="G580" t="s">
        <v>39</v>
      </c>
      <c r="H580" t="s">
        <v>40</v>
      </c>
      <c r="I580" t="s">
        <v>41</v>
      </c>
      <c r="J580" t="s">
        <v>37</v>
      </c>
      <c r="K580" t="s">
        <v>37</v>
      </c>
      <c r="L580" t="s">
        <v>42</v>
      </c>
      <c r="M580" s="6">
        <v>45658.291666666664</v>
      </c>
      <c r="N580" t="s">
        <v>4263</v>
      </c>
      <c r="O580" s="1">
        <v>45658</v>
      </c>
      <c r="P580" s="1">
        <v>45657.667002314818</v>
      </c>
      <c r="Q580" t="s">
        <v>4263</v>
      </c>
      <c r="R580" s="6">
        <v>45658.416666666664</v>
      </c>
      <c r="S580" t="s">
        <v>43</v>
      </c>
      <c r="T580">
        <v>19.04</v>
      </c>
      <c r="U580">
        <v>0</v>
      </c>
      <c r="V580">
        <v>19.04</v>
      </c>
      <c r="W580">
        <v>0.95</v>
      </c>
      <c r="X580">
        <v>0</v>
      </c>
      <c r="Y580">
        <v>0</v>
      </c>
      <c r="Z580">
        <v>19.989999999999998</v>
      </c>
      <c r="AA580" t="s">
        <v>44</v>
      </c>
      <c r="AB580" t="s">
        <v>45</v>
      </c>
      <c r="AC580" t="s">
        <v>46</v>
      </c>
      <c r="AD580" t="s">
        <v>37</v>
      </c>
      <c r="AE580" t="s">
        <v>37</v>
      </c>
      <c r="AF580" t="s">
        <v>2299</v>
      </c>
      <c r="AG580" t="s">
        <v>37</v>
      </c>
      <c r="AH580" t="s">
        <v>2227</v>
      </c>
      <c r="AI580" t="s">
        <v>37</v>
      </c>
    </row>
    <row r="581" spans="1:35" x14ac:dyDescent="0.25">
      <c r="A581" t="s">
        <v>2393</v>
      </c>
      <c r="B581" t="s">
        <v>34</v>
      </c>
      <c r="C581" t="s">
        <v>1704</v>
      </c>
      <c r="D581" t="s">
        <v>1705</v>
      </c>
      <c r="E581" t="s">
        <v>37</v>
      </c>
      <c r="F581" t="s">
        <v>1706</v>
      </c>
      <c r="G581" t="s">
        <v>39</v>
      </c>
      <c r="H581" t="s">
        <v>40</v>
      </c>
      <c r="I581" t="s">
        <v>41</v>
      </c>
      <c r="J581" t="s">
        <v>37</v>
      </c>
      <c r="K581" t="s">
        <v>37</v>
      </c>
      <c r="L581" t="s">
        <v>42</v>
      </c>
      <c r="M581" s="6">
        <v>45658.291666666664</v>
      </c>
      <c r="N581" t="s">
        <v>4263</v>
      </c>
      <c r="O581" s="1">
        <v>45658</v>
      </c>
      <c r="P581" s="1">
        <v>45625.877557870372</v>
      </c>
      <c r="Q581" t="s">
        <v>4263</v>
      </c>
      <c r="R581" s="6">
        <v>45658.416666666664</v>
      </c>
      <c r="S581" t="s">
        <v>43</v>
      </c>
      <c r="T581">
        <v>19.04</v>
      </c>
      <c r="U581">
        <v>0</v>
      </c>
      <c r="V581">
        <v>19.04</v>
      </c>
      <c r="W581">
        <v>0.95</v>
      </c>
      <c r="X581">
        <v>0</v>
      </c>
      <c r="Y581">
        <v>0</v>
      </c>
      <c r="Z581">
        <v>19.989999999999998</v>
      </c>
      <c r="AA581" t="s">
        <v>44</v>
      </c>
      <c r="AB581" t="s">
        <v>45</v>
      </c>
      <c r="AC581" t="s">
        <v>46</v>
      </c>
      <c r="AD581" t="s">
        <v>37</v>
      </c>
      <c r="AE581" t="s">
        <v>37</v>
      </c>
      <c r="AF581" t="s">
        <v>2394</v>
      </c>
      <c r="AG581" t="s">
        <v>37</v>
      </c>
      <c r="AH581" t="s">
        <v>1704</v>
      </c>
      <c r="AI581" t="s">
        <v>37</v>
      </c>
    </row>
    <row r="582" spans="1:35" x14ac:dyDescent="0.25">
      <c r="A582" t="s">
        <v>2292</v>
      </c>
      <c r="B582" t="s">
        <v>34</v>
      </c>
      <c r="C582" t="s">
        <v>2189</v>
      </c>
      <c r="D582" t="s">
        <v>2190</v>
      </c>
      <c r="E582" t="s">
        <v>37</v>
      </c>
      <c r="F582" t="s">
        <v>2191</v>
      </c>
      <c r="G582" t="s">
        <v>39</v>
      </c>
      <c r="H582" t="s">
        <v>40</v>
      </c>
      <c r="I582" t="s">
        <v>41</v>
      </c>
      <c r="J582" t="s">
        <v>37</v>
      </c>
      <c r="K582" t="s">
        <v>37</v>
      </c>
      <c r="L582" t="s">
        <v>42</v>
      </c>
      <c r="M582" s="6">
        <v>45659.291666666664</v>
      </c>
      <c r="N582" t="s">
        <v>4264</v>
      </c>
      <c r="O582" s="1">
        <v>45659</v>
      </c>
      <c r="P582" s="1">
        <v>45653.490798611114</v>
      </c>
      <c r="Q582" t="s">
        <v>4264</v>
      </c>
      <c r="R582" s="6">
        <v>45659.416666666664</v>
      </c>
      <c r="S582" t="s">
        <v>43</v>
      </c>
      <c r="T582">
        <v>76.150000000000006</v>
      </c>
      <c r="U582">
        <v>0</v>
      </c>
      <c r="V582">
        <v>76.150000000000006</v>
      </c>
      <c r="W582">
        <v>3.81</v>
      </c>
      <c r="X582">
        <v>0</v>
      </c>
      <c r="Y582">
        <v>0</v>
      </c>
      <c r="Z582">
        <v>79.959999999999994</v>
      </c>
      <c r="AA582" t="s">
        <v>44</v>
      </c>
      <c r="AB582" t="s">
        <v>45</v>
      </c>
      <c r="AC582" t="s">
        <v>46</v>
      </c>
      <c r="AD582" t="s">
        <v>37</v>
      </c>
      <c r="AE582" t="s">
        <v>37</v>
      </c>
      <c r="AF582" t="s">
        <v>2192</v>
      </c>
      <c r="AG582" t="s">
        <v>37</v>
      </c>
      <c r="AH582" t="s">
        <v>2189</v>
      </c>
      <c r="AI582" t="s">
        <v>37</v>
      </c>
    </row>
    <row r="583" spans="1:35" x14ac:dyDescent="0.25">
      <c r="A583" t="s">
        <v>2296</v>
      </c>
      <c r="B583" t="s">
        <v>34</v>
      </c>
      <c r="C583" t="s">
        <v>1525</v>
      </c>
      <c r="D583" t="s">
        <v>1526</v>
      </c>
      <c r="E583" t="s">
        <v>37</v>
      </c>
      <c r="F583" t="s">
        <v>1527</v>
      </c>
      <c r="G583" t="s">
        <v>39</v>
      </c>
      <c r="H583" t="s">
        <v>40</v>
      </c>
      <c r="I583" t="s">
        <v>41</v>
      </c>
      <c r="J583" t="s">
        <v>37</v>
      </c>
      <c r="K583" t="s">
        <v>37</v>
      </c>
      <c r="L583" t="s">
        <v>42</v>
      </c>
      <c r="M583" s="6">
        <v>45659.291666666664</v>
      </c>
      <c r="N583" t="s">
        <v>4264</v>
      </c>
      <c r="O583" s="1">
        <v>45659</v>
      </c>
      <c r="P583" s="1">
        <v>45658.734872685185</v>
      </c>
      <c r="Q583" t="s">
        <v>4264</v>
      </c>
      <c r="R583" s="6">
        <v>45659.416666666664</v>
      </c>
      <c r="S583" t="s">
        <v>43</v>
      </c>
      <c r="T583">
        <v>19.04</v>
      </c>
      <c r="U583">
        <v>0</v>
      </c>
      <c r="V583">
        <v>19.04</v>
      </c>
      <c r="W583">
        <v>0.95</v>
      </c>
      <c r="X583">
        <v>0</v>
      </c>
      <c r="Y583">
        <v>0</v>
      </c>
      <c r="Z583">
        <v>19.989999999999998</v>
      </c>
      <c r="AA583" t="s">
        <v>44</v>
      </c>
      <c r="AB583" t="s">
        <v>45</v>
      </c>
      <c r="AC583" t="s">
        <v>46</v>
      </c>
      <c r="AD583" t="s">
        <v>37</v>
      </c>
      <c r="AE583" t="s">
        <v>37</v>
      </c>
      <c r="AF583" t="s">
        <v>2297</v>
      </c>
      <c r="AG583" t="s">
        <v>37</v>
      </c>
      <c r="AH583" t="s">
        <v>1525</v>
      </c>
      <c r="AI583" t="s">
        <v>37</v>
      </c>
    </row>
    <row r="584" spans="1:35" x14ac:dyDescent="0.25">
      <c r="A584" t="s">
        <v>2300</v>
      </c>
      <c r="B584" t="s">
        <v>34</v>
      </c>
      <c r="C584" t="s">
        <v>2301</v>
      </c>
      <c r="D584" t="s">
        <v>2302</v>
      </c>
      <c r="E584" t="s">
        <v>37</v>
      </c>
      <c r="F584" t="s">
        <v>2303</v>
      </c>
      <c r="G584" t="s">
        <v>39</v>
      </c>
      <c r="H584" t="s">
        <v>40</v>
      </c>
      <c r="I584" t="s">
        <v>41</v>
      </c>
      <c r="J584" t="s">
        <v>37</v>
      </c>
      <c r="K584" t="s">
        <v>37</v>
      </c>
      <c r="L584" t="s">
        <v>42</v>
      </c>
      <c r="M584" s="6">
        <v>45659.291666666664</v>
      </c>
      <c r="N584" t="s">
        <v>4264</v>
      </c>
      <c r="O584" s="1">
        <v>45659</v>
      </c>
      <c r="P584" s="1">
        <v>45658.843842592592</v>
      </c>
      <c r="Q584" t="s">
        <v>4264</v>
      </c>
      <c r="R584" s="6">
        <v>45659.416666666664</v>
      </c>
      <c r="S584" t="s">
        <v>43</v>
      </c>
      <c r="T584">
        <v>19.04</v>
      </c>
      <c r="U584">
        <v>0</v>
      </c>
      <c r="V584">
        <v>19.04</v>
      </c>
      <c r="W584">
        <v>0.95</v>
      </c>
      <c r="X584">
        <v>0</v>
      </c>
      <c r="Y584">
        <v>0</v>
      </c>
      <c r="Z584">
        <v>19.989999999999998</v>
      </c>
      <c r="AA584" t="s">
        <v>44</v>
      </c>
      <c r="AB584" t="s">
        <v>45</v>
      </c>
      <c r="AC584" t="s">
        <v>46</v>
      </c>
      <c r="AD584" t="s">
        <v>37</v>
      </c>
      <c r="AE584" t="s">
        <v>37</v>
      </c>
      <c r="AF584" t="s">
        <v>2304</v>
      </c>
      <c r="AG584" t="s">
        <v>37</v>
      </c>
      <c r="AH584" t="s">
        <v>2301</v>
      </c>
      <c r="AI584" t="s">
        <v>37</v>
      </c>
    </row>
    <row r="585" spans="1:35" x14ac:dyDescent="0.25">
      <c r="A585" t="s">
        <v>2285</v>
      </c>
      <c r="B585" t="s">
        <v>34</v>
      </c>
      <c r="C585" t="s">
        <v>437</v>
      </c>
      <c r="D585" t="s">
        <v>438</v>
      </c>
      <c r="E585" t="s">
        <v>37</v>
      </c>
      <c r="F585" t="s">
        <v>439</v>
      </c>
      <c r="G585" t="s">
        <v>39</v>
      </c>
      <c r="H585" t="s">
        <v>40</v>
      </c>
      <c r="I585" t="s">
        <v>41</v>
      </c>
      <c r="J585" t="s">
        <v>37</v>
      </c>
      <c r="K585" t="s">
        <v>37</v>
      </c>
      <c r="L585" t="s">
        <v>42</v>
      </c>
      <c r="M585" s="6">
        <v>45660.291666666664</v>
      </c>
      <c r="N585" t="s">
        <v>4268</v>
      </c>
      <c r="O585" s="1">
        <v>45660</v>
      </c>
      <c r="P585" s="1">
        <v>45659.862905092596</v>
      </c>
      <c r="Q585" t="s">
        <v>4268</v>
      </c>
      <c r="R585" s="6">
        <v>45660.416666666664</v>
      </c>
      <c r="S585" t="s">
        <v>43</v>
      </c>
      <c r="T585">
        <v>19.04</v>
      </c>
      <c r="U585">
        <v>0</v>
      </c>
      <c r="V585">
        <v>19.04</v>
      </c>
      <c r="W585">
        <v>0.95</v>
      </c>
      <c r="X585">
        <v>0</v>
      </c>
      <c r="Y585">
        <v>0</v>
      </c>
      <c r="Z585">
        <v>19.989999999999998</v>
      </c>
      <c r="AA585" t="s">
        <v>44</v>
      </c>
      <c r="AB585" t="s">
        <v>45</v>
      </c>
      <c r="AC585" t="s">
        <v>46</v>
      </c>
      <c r="AD585" t="s">
        <v>37</v>
      </c>
      <c r="AE585" t="s">
        <v>37</v>
      </c>
      <c r="AF585" t="s">
        <v>2286</v>
      </c>
      <c r="AG585" t="s">
        <v>37</v>
      </c>
      <c r="AH585" t="s">
        <v>437</v>
      </c>
      <c r="AI585" t="s">
        <v>37</v>
      </c>
    </row>
    <row r="586" spans="1:35" x14ac:dyDescent="0.25">
      <c r="A586" t="s">
        <v>2309</v>
      </c>
      <c r="B586" t="s">
        <v>34</v>
      </c>
      <c r="C586" t="s">
        <v>515</v>
      </c>
      <c r="D586" t="s">
        <v>516</v>
      </c>
      <c r="E586" t="s">
        <v>37</v>
      </c>
      <c r="F586" t="s">
        <v>517</v>
      </c>
      <c r="G586" t="s">
        <v>39</v>
      </c>
      <c r="H586" t="s">
        <v>40</v>
      </c>
      <c r="I586" t="s">
        <v>41</v>
      </c>
      <c r="J586" t="s">
        <v>37</v>
      </c>
      <c r="K586" t="s">
        <v>37</v>
      </c>
      <c r="L586" t="s">
        <v>42</v>
      </c>
      <c r="M586" s="6">
        <v>45660.291666666664</v>
      </c>
      <c r="N586" t="s">
        <v>4268</v>
      </c>
      <c r="O586" s="1">
        <v>45660</v>
      </c>
      <c r="P586" s="1">
        <v>45659.861793981479</v>
      </c>
      <c r="Q586" t="s">
        <v>4268</v>
      </c>
      <c r="R586" s="6">
        <v>45660.416666666664</v>
      </c>
      <c r="S586" t="s">
        <v>43</v>
      </c>
      <c r="T586">
        <v>19.04</v>
      </c>
      <c r="U586">
        <v>0</v>
      </c>
      <c r="V586">
        <v>19.04</v>
      </c>
      <c r="W586">
        <v>0.95</v>
      </c>
      <c r="X586">
        <v>0</v>
      </c>
      <c r="Y586">
        <v>0</v>
      </c>
      <c r="Z586">
        <v>19.989999999999998</v>
      </c>
      <c r="AA586" t="s">
        <v>44</v>
      </c>
      <c r="AB586" t="s">
        <v>45</v>
      </c>
      <c r="AC586" t="s">
        <v>46</v>
      </c>
      <c r="AD586" t="s">
        <v>37</v>
      </c>
      <c r="AE586" t="s">
        <v>37</v>
      </c>
      <c r="AF586" t="s">
        <v>2310</v>
      </c>
      <c r="AG586" t="s">
        <v>37</v>
      </c>
      <c r="AH586" t="s">
        <v>515</v>
      </c>
      <c r="AI586" t="s">
        <v>37</v>
      </c>
    </row>
    <row r="587" spans="1:35" x14ac:dyDescent="0.25">
      <c r="A587" t="s">
        <v>2314</v>
      </c>
      <c r="B587" t="s">
        <v>34</v>
      </c>
      <c r="C587" t="s">
        <v>2315</v>
      </c>
      <c r="D587" t="s">
        <v>2316</v>
      </c>
      <c r="E587" t="s">
        <v>37</v>
      </c>
      <c r="F587" t="s">
        <v>2317</v>
      </c>
      <c r="G587" t="s">
        <v>39</v>
      </c>
      <c r="H587" t="s">
        <v>40</v>
      </c>
      <c r="I587" t="s">
        <v>41</v>
      </c>
      <c r="J587" t="s">
        <v>37</v>
      </c>
      <c r="K587" t="s">
        <v>37</v>
      </c>
      <c r="L587" t="s">
        <v>42</v>
      </c>
      <c r="M587" s="6">
        <v>45660.291666666664</v>
      </c>
      <c r="N587" t="s">
        <v>4268</v>
      </c>
      <c r="O587" s="1">
        <v>45660</v>
      </c>
      <c r="P587" s="1">
        <v>45660.3753125</v>
      </c>
      <c r="Q587" t="s">
        <v>4268</v>
      </c>
      <c r="R587" s="6">
        <v>45660.416666666664</v>
      </c>
      <c r="S587" t="s">
        <v>43</v>
      </c>
      <c r="T587">
        <v>19.04</v>
      </c>
      <c r="U587">
        <v>0</v>
      </c>
      <c r="V587">
        <v>19.04</v>
      </c>
      <c r="W587">
        <v>0.95</v>
      </c>
      <c r="X587">
        <v>0</v>
      </c>
      <c r="Y587">
        <v>0</v>
      </c>
      <c r="Z587">
        <v>19.989999999999998</v>
      </c>
      <c r="AA587" t="s">
        <v>44</v>
      </c>
      <c r="AB587" t="s">
        <v>45</v>
      </c>
      <c r="AC587" t="s">
        <v>46</v>
      </c>
      <c r="AD587" t="s">
        <v>37</v>
      </c>
      <c r="AE587" t="s">
        <v>37</v>
      </c>
      <c r="AF587" t="s">
        <v>2318</v>
      </c>
      <c r="AG587" t="s">
        <v>37</v>
      </c>
      <c r="AH587" t="s">
        <v>2315</v>
      </c>
      <c r="AI587" t="s">
        <v>37</v>
      </c>
    </row>
    <row r="588" spans="1:35" x14ac:dyDescent="0.25">
      <c r="A588" t="s">
        <v>2400</v>
      </c>
      <c r="B588" t="s">
        <v>34</v>
      </c>
      <c r="C588" t="s">
        <v>2337</v>
      </c>
      <c r="D588" t="s">
        <v>2338</v>
      </c>
      <c r="E588" t="s">
        <v>37</v>
      </c>
      <c r="F588" t="s">
        <v>2401</v>
      </c>
      <c r="G588" t="s">
        <v>39</v>
      </c>
      <c r="H588" t="s">
        <v>40</v>
      </c>
      <c r="I588" t="s">
        <v>41</v>
      </c>
      <c r="J588" t="s">
        <v>37</v>
      </c>
      <c r="K588" t="s">
        <v>37</v>
      </c>
      <c r="L588" t="s">
        <v>42</v>
      </c>
      <c r="M588" s="6">
        <v>45660.291666666664</v>
      </c>
      <c r="N588" t="s">
        <v>4268</v>
      </c>
      <c r="O588" s="1">
        <v>45660</v>
      </c>
      <c r="P588" s="1">
        <v>45657.873148148145</v>
      </c>
      <c r="Q588" t="s">
        <v>4268</v>
      </c>
      <c r="R588" s="6">
        <v>45660.416666666664</v>
      </c>
      <c r="S588" t="s">
        <v>43</v>
      </c>
      <c r="T588">
        <v>19.04</v>
      </c>
      <c r="U588">
        <v>0</v>
      </c>
      <c r="V588">
        <v>19.04</v>
      </c>
      <c r="W588">
        <v>0.95</v>
      </c>
      <c r="X588">
        <v>0</v>
      </c>
      <c r="Y588">
        <v>0</v>
      </c>
      <c r="Z588">
        <v>19.989999999999998</v>
      </c>
      <c r="AA588" t="s">
        <v>44</v>
      </c>
      <c r="AB588" t="s">
        <v>115</v>
      </c>
      <c r="AC588" t="s">
        <v>116</v>
      </c>
      <c r="AD588" t="s">
        <v>37</v>
      </c>
      <c r="AE588" t="s">
        <v>37</v>
      </c>
      <c r="AF588" t="s">
        <v>2402</v>
      </c>
      <c r="AG588" t="s">
        <v>37</v>
      </c>
      <c r="AH588" t="s">
        <v>2337</v>
      </c>
      <c r="AI588" t="s">
        <v>37</v>
      </c>
    </row>
    <row r="589" spans="1:35" x14ac:dyDescent="0.25">
      <c r="A589" t="s">
        <v>2305</v>
      </c>
      <c r="B589" t="s">
        <v>34</v>
      </c>
      <c r="C589" t="s">
        <v>437</v>
      </c>
      <c r="D589" t="s">
        <v>438</v>
      </c>
      <c r="E589" t="s">
        <v>37</v>
      </c>
      <c r="F589" t="s">
        <v>439</v>
      </c>
      <c r="G589" t="s">
        <v>39</v>
      </c>
      <c r="H589" t="s">
        <v>40</v>
      </c>
      <c r="I589" t="s">
        <v>41</v>
      </c>
      <c r="J589" t="s">
        <v>37</v>
      </c>
      <c r="K589" t="s">
        <v>37</v>
      </c>
      <c r="L589" t="s">
        <v>42</v>
      </c>
      <c r="M589" s="6">
        <v>45661.291666666664</v>
      </c>
      <c r="N589" t="s">
        <v>4265</v>
      </c>
      <c r="O589" s="1">
        <v>45661</v>
      </c>
      <c r="P589" s="1">
        <v>45659.811666666668</v>
      </c>
      <c r="Q589" t="s">
        <v>4265</v>
      </c>
      <c r="R589" s="6">
        <v>45661.416666666664</v>
      </c>
      <c r="S589" t="s">
        <v>43</v>
      </c>
      <c r="T589">
        <v>23.8</v>
      </c>
      <c r="U589">
        <v>0</v>
      </c>
      <c r="V589">
        <v>23.8</v>
      </c>
      <c r="W589">
        <v>1.19</v>
      </c>
      <c r="X589">
        <v>0</v>
      </c>
      <c r="Y589">
        <v>0</v>
      </c>
      <c r="Z589">
        <v>24.99</v>
      </c>
      <c r="AA589" t="s">
        <v>44</v>
      </c>
      <c r="AB589" t="s">
        <v>45</v>
      </c>
      <c r="AC589" t="s">
        <v>46</v>
      </c>
      <c r="AD589" t="s">
        <v>37</v>
      </c>
      <c r="AE589" t="s">
        <v>37</v>
      </c>
      <c r="AF589" t="s">
        <v>2306</v>
      </c>
      <c r="AG589" t="s">
        <v>37</v>
      </c>
      <c r="AH589" t="s">
        <v>437</v>
      </c>
      <c r="AI589" t="s">
        <v>37</v>
      </c>
    </row>
    <row r="590" spans="1:35" x14ac:dyDescent="0.25">
      <c r="A590" t="s">
        <v>2319</v>
      </c>
      <c r="B590" t="s">
        <v>34</v>
      </c>
      <c r="C590" t="s">
        <v>1838</v>
      </c>
      <c r="D590" t="s">
        <v>1839</v>
      </c>
      <c r="E590" t="s">
        <v>37</v>
      </c>
      <c r="F590" t="s">
        <v>2320</v>
      </c>
      <c r="G590" t="s">
        <v>39</v>
      </c>
      <c r="H590" t="s">
        <v>40</v>
      </c>
      <c r="I590" t="s">
        <v>41</v>
      </c>
      <c r="J590" t="s">
        <v>37</v>
      </c>
      <c r="K590" t="s">
        <v>37</v>
      </c>
      <c r="L590" t="s">
        <v>42</v>
      </c>
      <c r="M590" s="6">
        <v>45661.291666666664</v>
      </c>
      <c r="N590" t="s">
        <v>4265</v>
      </c>
      <c r="O590" s="1">
        <v>45661</v>
      </c>
      <c r="P590" s="1">
        <v>45660.452465277776</v>
      </c>
      <c r="Q590" t="s">
        <v>4265</v>
      </c>
      <c r="R590" s="6">
        <v>45661.416666666664</v>
      </c>
      <c r="S590" t="s">
        <v>43</v>
      </c>
      <c r="T590">
        <v>23.8</v>
      </c>
      <c r="U590">
        <v>0</v>
      </c>
      <c r="V590">
        <v>23.8</v>
      </c>
      <c r="W590">
        <v>1.19</v>
      </c>
      <c r="X590">
        <v>0</v>
      </c>
      <c r="Y590">
        <v>0</v>
      </c>
      <c r="Z590">
        <v>24.99</v>
      </c>
      <c r="AA590" t="s">
        <v>44</v>
      </c>
      <c r="AB590" t="s">
        <v>45</v>
      </c>
      <c r="AC590" t="s">
        <v>46</v>
      </c>
      <c r="AD590" t="s">
        <v>37</v>
      </c>
      <c r="AE590" t="s">
        <v>37</v>
      </c>
      <c r="AF590" t="s">
        <v>2321</v>
      </c>
      <c r="AG590" t="s">
        <v>37</v>
      </c>
      <c r="AH590" t="s">
        <v>1842</v>
      </c>
      <c r="AI590" t="s">
        <v>37</v>
      </c>
    </row>
    <row r="591" spans="1:35" x14ac:dyDescent="0.25">
      <c r="A591" t="s">
        <v>2329</v>
      </c>
      <c r="B591" t="s">
        <v>34</v>
      </c>
      <c r="C591" t="s">
        <v>2330</v>
      </c>
      <c r="D591" t="s">
        <v>2331</v>
      </c>
      <c r="E591" t="s">
        <v>37</v>
      </c>
      <c r="F591" t="s">
        <v>2332</v>
      </c>
      <c r="G591" t="s">
        <v>39</v>
      </c>
      <c r="H591" t="s">
        <v>40</v>
      </c>
      <c r="I591" t="s">
        <v>41</v>
      </c>
      <c r="J591" t="s">
        <v>37</v>
      </c>
      <c r="K591" t="s">
        <v>37</v>
      </c>
      <c r="L591" t="s">
        <v>42</v>
      </c>
      <c r="M591" s="6">
        <v>45661.291666666664</v>
      </c>
      <c r="N591" t="s">
        <v>4265</v>
      </c>
      <c r="O591" s="1">
        <v>45661</v>
      </c>
      <c r="P591" s="1">
        <v>45661.516238425924</v>
      </c>
      <c r="Q591" t="s">
        <v>4265</v>
      </c>
      <c r="R591" s="6">
        <v>45661.416666666664</v>
      </c>
      <c r="S591" t="s">
        <v>43</v>
      </c>
      <c r="T591">
        <v>23.8</v>
      </c>
      <c r="U591">
        <v>0</v>
      </c>
      <c r="V591">
        <v>23.8</v>
      </c>
      <c r="W591">
        <v>1.19</v>
      </c>
      <c r="X591">
        <v>0</v>
      </c>
      <c r="Y591">
        <v>0</v>
      </c>
      <c r="Z591">
        <v>24.99</v>
      </c>
      <c r="AA591" t="s">
        <v>44</v>
      </c>
      <c r="AB591" t="s">
        <v>45</v>
      </c>
      <c r="AC591" t="s">
        <v>46</v>
      </c>
      <c r="AD591" t="s">
        <v>37</v>
      </c>
      <c r="AE591" t="s">
        <v>37</v>
      </c>
      <c r="AF591" t="s">
        <v>2333</v>
      </c>
      <c r="AG591" t="s">
        <v>37</v>
      </c>
      <c r="AH591" t="s">
        <v>2330</v>
      </c>
      <c r="AI591" t="s">
        <v>37</v>
      </c>
    </row>
    <row r="592" spans="1:35" x14ac:dyDescent="0.25">
      <c r="A592" t="s">
        <v>2327</v>
      </c>
      <c r="B592" t="s">
        <v>34</v>
      </c>
      <c r="C592" t="s">
        <v>515</v>
      </c>
      <c r="D592" t="s">
        <v>516</v>
      </c>
      <c r="E592" t="s">
        <v>37</v>
      </c>
      <c r="F592" t="s">
        <v>517</v>
      </c>
      <c r="G592" t="s">
        <v>39</v>
      </c>
      <c r="H592" t="s">
        <v>40</v>
      </c>
      <c r="I592" t="s">
        <v>41</v>
      </c>
      <c r="J592" t="s">
        <v>37</v>
      </c>
      <c r="K592" t="s">
        <v>37</v>
      </c>
      <c r="L592" t="s">
        <v>42</v>
      </c>
      <c r="M592" s="6">
        <v>45661.408321759256</v>
      </c>
      <c r="N592" t="s">
        <v>4265</v>
      </c>
      <c r="O592" s="1">
        <v>45661.116655092592</v>
      </c>
      <c r="P592" s="1">
        <v>45661.408368055556</v>
      </c>
      <c r="Q592" t="s">
        <v>4265</v>
      </c>
      <c r="R592" s="6">
        <v>45661.416666666664</v>
      </c>
      <c r="S592" t="s">
        <v>43</v>
      </c>
      <c r="T592">
        <v>23.8</v>
      </c>
      <c r="U592">
        <v>0</v>
      </c>
      <c r="V592">
        <v>23.8</v>
      </c>
      <c r="W592">
        <v>1.19</v>
      </c>
      <c r="X592">
        <v>0</v>
      </c>
      <c r="Y592">
        <v>0</v>
      </c>
      <c r="Z592">
        <v>24.99</v>
      </c>
      <c r="AA592" t="s">
        <v>44</v>
      </c>
      <c r="AB592" t="s">
        <v>45</v>
      </c>
      <c r="AC592" t="s">
        <v>46</v>
      </c>
      <c r="AD592" t="s">
        <v>37</v>
      </c>
      <c r="AE592" t="s">
        <v>37</v>
      </c>
      <c r="AF592" t="s">
        <v>2328</v>
      </c>
      <c r="AG592" t="s">
        <v>37</v>
      </c>
      <c r="AH592" t="s">
        <v>515</v>
      </c>
      <c r="AI592" t="s">
        <v>37</v>
      </c>
    </row>
    <row r="593" spans="1:35" x14ac:dyDescent="0.25">
      <c r="A593" t="s">
        <v>2395</v>
      </c>
      <c r="B593" t="s">
        <v>34</v>
      </c>
      <c r="C593" t="s">
        <v>2396</v>
      </c>
      <c r="D593" t="s">
        <v>2397</v>
      </c>
      <c r="E593" t="s">
        <v>37</v>
      </c>
      <c r="F593" t="s">
        <v>2398</v>
      </c>
      <c r="G593" t="s">
        <v>39</v>
      </c>
      <c r="H593" t="s">
        <v>40</v>
      </c>
      <c r="I593" t="s">
        <v>41</v>
      </c>
      <c r="J593" t="s">
        <v>37</v>
      </c>
      <c r="K593" t="s">
        <v>37</v>
      </c>
      <c r="L593" t="s">
        <v>42</v>
      </c>
      <c r="M593" s="6">
        <v>45665.291666666664</v>
      </c>
      <c r="N593" t="s">
        <v>4263</v>
      </c>
      <c r="O593" s="1">
        <v>45665</v>
      </c>
      <c r="P593" s="1">
        <v>45654.456817129627</v>
      </c>
      <c r="Q593" t="s">
        <v>4263</v>
      </c>
      <c r="R593" s="6">
        <v>45665.416666666664</v>
      </c>
      <c r="S593" t="s">
        <v>43</v>
      </c>
      <c r="T593">
        <v>19.04</v>
      </c>
      <c r="U593">
        <v>0</v>
      </c>
      <c r="V593">
        <v>19.04</v>
      </c>
      <c r="W593">
        <v>0.95</v>
      </c>
      <c r="X593">
        <v>0</v>
      </c>
      <c r="Y593">
        <v>0</v>
      </c>
      <c r="Z593">
        <v>19.989999999999998</v>
      </c>
      <c r="AA593" t="s">
        <v>44</v>
      </c>
      <c r="AB593" t="s">
        <v>115</v>
      </c>
      <c r="AC593" t="s">
        <v>116</v>
      </c>
      <c r="AD593" t="s">
        <v>37</v>
      </c>
      <c r="AE593" t="s">
        <v>37</v>
      </c>
      <c r="AF593" t="s">
        <v>2399</v>
      </c>
      <c r="AG593" t="s">
        <v>37</v>
      </c>
      <c r="AH593" t="s">
        <v>2396</v>
      </c>
      <c r="AI593" t="s">
        <v>37</v>
      </c>
    </row>
    <row r="594" spans="1:35" x14ac:dyDescent="0.25">
      <c r="A594" t="s">
        <v>2311</v>
      </c>
      <c r="B594" t="s">
        <v>34</v>
      </c>
      <c r="C594" t="s">
        <v>1429</v>
      </c>
      <c r="D594" t="s">
        <v>1430</v>
      </c>
      <c r="E594" t="s">
        <v>37</v>
      </c>
      <c r="F594" t="s">
        <v>1431</v>
      </c>
      <c r="G594" t="s">
        <v>39</v>
      </c>
      <c r="H594" t="s">
        <v>40</v>
      </c>
      <c r="I594" t="s">
        <v>41</v>
      </c>
      <c r="J594" t="s">
        <v>37</v>
      </c>
      <c r="K594" t="s">
        <v>37</v>
      </c>
      <c r="L594" t="s">
        <v>42</v>
      </c>
      <c r="M594" s="6">
        <v>45668.291666666664</v>
      </c>
      <c r="N594" t="s">
        <v>4265</v>
      </c>
      <c r="O594" s="1">
        <v>45668</v>
      </c>
      <c r="P594" s="1">
        <v>45667.474386574075</v>
      </c>
      <c r="Q594" t="s">
        <v>4265</v>
      </c>
      <c r="R594" s="6">
        <v>45668.416666666664</v>
      </c>
      <c r="S594" t="s">
        <v>43</v>
      </c>
      <c r="T594">
        <v>47.6</v>
      </c>
      <c r="U594">
        <v>0</v>
      </c>
      <c r="V594">
        <v>47.6</v>
      </c>
      <c r="W594">
        <v>2.38</v>
      </c>
      <c r="X594">
        <v>0</v>
      </c>
      <c r="Y594">
        <v>0</v>
      </c>
      <c r="Z594">
        <v>49.98</v>
      </c>
      <c r="AA594" t="s">
        <v>44</v>
      </c>
      <c r="AB594" t="s">
        <v>45</v>
      </c>
      <c r="AC594" t="s">
        <v>46</v>
      </c>
      <c r="AD594" t="s">
        <v>37</v>
      </c>
      <c r="AE594" t="s">
        <v>37</v>
      </c>
      <c r="AF594" t="s">
        <v>2312</v>
      </c>
      <c r="AG594" t="s">
        <v>37</v>
      </c>
      <c r="AH594" t="s">
        <v>1429</v>
      </c>
      <c r="AI594" t="s">
        <v>37</v>
      </c>
    </row>
    <row r="595" spans="1:35" x14ac:dyDescent="0.25">
      <c r="A595" t="s">
        <v>2322</v>
      </c>
      <c r="B595" t="s">
        <v>34</v>
      </c>
      <c r="C595" t="s">
        <v>2323</v>
      </c>
      <c r="D595" t="s">
        <v>2324</v>
      </c>
      <c r="E595" t="s">
        <v>37</v>
      </c>
      <c r="F595" t="s">
        <v>2325</v>
      </c>
      <c r="G595" t="s">
        <v>39</v>
      </c>
      <c r="H595" t="s">
        <v>40</v>
      </c>
      <c r="I595" t="s">
        <v>41</v>
      </c>
      <c r="J595" t="s">
        <v>37</v>
      </c>
      <c r="K595" t="s">
        <v>37</v>
      </c>
      <c r="L595" t="s">
        <v>42</v>
      </c>
      <c r="M595" s="6">
        <v>45668.291666666664</v>
      </c>
      <c r="N595" t="s">
        <v>4265</v>
      </c>
      <c r="O595" s="1">
        <v>45668</v>
      </c>
      <c r="P595" s="1">
        <v>45661.048495370371</v>
      </c>
      <c r="Q595" t="s">
        <v>4265</v>
      </c>
      <c r="R595" s="6">
        <v>45668.416666666664</v>
      </c>
      <c r="S595" t="s">
        <v>43</v>
      </c>
      <c r="T595">
        <v>23.8</v>
      </c>
      <c r="U595">
        <v>0</v>
      </c>
      <c r="V595">
        <v>23.8</v>
      </c>
      <c r="W595">
        <v>1.19</v>
      </c>
      <c r="X595">
        <v>0</v>
      </c>
      <c r="Y595">
        <v>0</v>
      </c>
      <c r="Z595">
        <v>24.99</v>
      </c>
      <c r="AA595" t="s">
        <v>44</v>
      </c>
      <c r="AB595" t="s">
        <v>45</v>
      </c>
      <c r="AC595" t="s">
        <v>46</v>
      </c>
      <c r="AD595" t="s">
        <v>37</v>
      </c>
      <c r="AE595" t="s">
        <v>37</v>
      </c>
      <c r="AF595" t="s">
        <v>2326</v>
      </c>
      <c r="AG595" t="s">
        <v>37</v>
      </c>
      <c r="AH595" t="s">
        <v>2323</v>
      </c>
      <c r="AI595" t="s">
        <v>37</v>
      </c>
    </row>
    <row r="596" spans="1:35" x14ac:dyDescent="0.25">
      <c r="A596" t="s">
        <v>2388</v>
      </c>
      <c r="B596" t="s">
        <v>34</v>
      </c>
      <c r="C596" t="s">
        <v>2389</v>
      </c>
      <c r="D596" t="s">
        <v>2390</v>
      </c>
      <c r="E596" t="s">
        <v>37</v>
      </c>
      <c r="F596" t="s">
        <v>2391</v>
      </c>
      <c r="G596" t="s">
        <v>39</v>
      </c>
      <c r="H596" t="s">
        <v>40</v>
      </c>
      <c r="I596" t="s">
        <v>41</v>
      </c>
      <c r="J596" t="s">
        <v>37</v>
      </c>
      <c r="K596" t="s">
        <v>37</v>
      </c>
      <c r="L596" t="s">
        <v>42</v>
      </c>
      <c r="M596" s="6">
        <v>45668.291666666664</v>
      </c>
      <c r="N596" t="s">
        <v>4265</v>
      </c>
      <c r="O596" s="1">
        <v>45668</v>
      </c>
      <c r="P596" s="1">
        <v>45665.318460648145</v>
      </c>
      <c r="Q596" t="s">
        <v>4265</v>
      </c>
      <c r="R596" s="6">
        <v>45668.416666666664</v>
      </c>
      <c r="S596" t="s">
        <v>43</v>
      </c>
      <c r="T596">
        <v>23.8</v>
      </c>
      <c r="U596">
        <v>0</v>
      </c>
      <c r="V596">
        <v>23.8</v>
      </c>
      <c r="W596">
        <v>1.19</v>
      </c>
      <c r="X596">
        <v>0</v>
      </c>
      <c r="Y596">
        <v>0</v>
      </c>
      <c r="Z596">
        <v>24.99</v>
      </c>
      <c r="AA596" t="s">
        <v>44</v>
      </c>
      <c r="AB596" t="s">
        <v>45</v>
      </c>
      <c r="AC596" t="s">
        <v>46</v>
      </c>
      <c r="AD596" t="s">
        <v>37</v>
      </c>
      <c r="AE596" t="s">
        <v>37</v>
      </c>
      <c r="AF596" t="s">
        <v>2392</v>
      </c>
      <c r="AG596" t="s">
        <v>37</v>
      </c>
      <c r="AH596" t="s">
        <v>2389</v>
      </c>
      <c r="AI596" t="s">
        <v>37</v>
      </c>
    </row>
    <row r="597" spans="1:35" x14ac:dyDescent="0.25">
      <c r="A597" t="s">
        <v>2313</v>
      </c>
      <c r="B597" t="s">
        <v>34</v>
      </c>
      <c r="C597" t="s">
        <v>1429</v>
      </c>
      <c r="D597" t="s">
        <v>1430</v>
      </c>
      <c r="E597" t="s">
        <v>37</v>
      </c>
      <c r="F597" t="s">
        <v>1431</v>
      </c>
      <c r="G597" t="s">
        <v>39</v>
      </c>
      <c r="H597" t="s">
        <v>40</v>
      </c>
      <c r="I597" t="s">
        <v>41</v>
      </c>
      <c r="J597" t="s">
        <v>37</v>
      </c>
      <c r="K597" t="s">
        <v>37</v>
      </c>
      <c r="L597" t="s">
        <v>42</v>
      </c>
      <c r="M597" s="6">
        <v>45669.291666666664</v>
      </c>
      <c r="N597" t="s">
        <v>4266</v>
      </c>
      <c r="O597" s="1">
        <v>45669</v>
      </c>
      <c r="P597" s="1">
        <v>45667.474386574075</v>
      </c>
      <c r="Q597" t="s">
        <v>4266</v>
      </c>
      <c r="R597" s="6">
        <v>45669.416666666664</v>
      </c>
      <c r="S597" t="s">
        <v>43</v>
      </c>
      <c r="T597">
        <v>47.6</v>
      </c>
      <c r="U597">
        <v>0</v>
      </c>
      <c r="V597">
        <v>47.6</v>
      </c>
      <c r="W597">
        <v>2.38</v>
      </c>
      <c r="X597">
        <v>0</v>
      </c>
      <c r="Y597">
        <v>0</v>
      </c>
      <c r="Z597">
        <v>49.98</v>
      </c>
      <c r="AA597" t="s">
        <v>44</v>
      </c>
      <c r="AB597" t="s">
        <v>45</v>
      </c>
      <c r="AC597" t="s">
        <v>46</v>
      </c>
      <c r="AD597" t="s">
        <v>37</v>
      </c>
      <c r="AE597" t="s">
        <v>37</v>
      </c>
      <c r="AF597" t="s">
        <v>2312</v>
      </c>
      <c r="AG597" t="s">
        <v>37</v>
      </c>
      <c r="AH597" t="s">
        <v>1429</v>
      </c>
      <c r="AI597" t="s">
        <v>37</v>
      </c>
    </row>
    <row r="598" spans="1:35" x14ac:dyDescent="0.25">
      <c r="A598" t="s">
        <v>2269</v>
      </c>
      <c r="B598" t="s">
        <v>34</v>
      </c>
      <c r="C598" t="s">
        <v>2110</v>
      </c>
      <c r="D598" t="s">
        <v>2111</v>
      </c>
      <c r="E598" t="s">
        <v>37</v>
      </c>
      <c r="F598" t="s">
        <v>2112</v>
      </c>
      <c r="G598" t="s">
        <v>39</v>
      </c>
      <c r="H598" t="s">
        <v>40</v>
      </c>
      <c r="I598" t="s">
        <v>41</v>
      </c>
      <c r="J598" t="s">
        <v>37</v>
      </c>
      <c r="K598" t="s">
        <v>37</v>
      </c>
      <c r="L598" t="s">
        <v>42</v>
      </c>
      <c r="M598" s="6">
        <v>45672.291666666664</v>
      </c>
      <c r="N598" t="s">
        <v>4263</v>
      </c>
      <c r="O598" s="1">
        <v>45672</v>
      </c>
      <c r="P598" s="1">
        <v>45672.461793981478</v>
      </c>
      <c r="Q598" t="s">
        <v>4263</v>
      </c>
      <c r="R598" s="6">
        <v>45672.416666666664</v>
      </c>
      <c r="S598" t="s">
        <v>43</v>
      </c>
      <c r="T598">
        <v>23.8</v>
      </c>
      <c r="U598">
        <v>0</v>
      </c>
      <c r="V598">
        <v>23.8</v>
      </c>
      <c r="W598">
        <v>1.19</v>
      </c>
      <c r="X598">
        <v>0</v>
      </c>
      <c r="Y598">
        <v>0</v>
      </c>
      <c r="Z598">
        <v>24.99</v>
      </c>
      <c r="AA598" t="s">
        <v>44</v>
      </c>
      <c r="AB598" t="s">
        <v>45</v>
      </c>
      <c r="AC598" t="s">
        <v>46</v>
      </c>
      <c r="AD598" t="s">
        <v>37</v>
      </c>
      <c r="AE598" t="s">
        <v>37</v>
      </c>
      <c r="AF598" t="s">
        <v>2270</v>
      </c>
      <c r="AG598" t="s">
        <v>37</v>
      </c>
      <c r="AH598" t="s">
        <v>2110</v>
      </c>
      <c r="AI598" t="s">
        <v>37</v>
      </c>
    </row>
    <row r="599" spans="1:35" x14ac:dyDescent="0.25">
      <c r="A599" t="s">
        <v>2263</v>
      </c>
      <c r="B599" t="s">
        <v>34</v>
      </c>
      <c r="C599" t="s">
        <v>2264</v>
      </c>
      <c r="D599" t="s">
        <v>2265</v>
      </c>
      <c r="E599" t="s">
        <v>37</v>
      </c>
      <c r="F599" t="s">
        <v>2266</v>
      </c>
      <c r="G599" t="s">
        <v>39</v>
      </c>
      <c r="H599" t="s">
        <v>40</v>
      </c>
      <c r="I599" t="s">
        <v>41</v>
      </c>
      <c r="J599" t="s">
        <v>37</v>
      </c>
      <c r="K599" t="s">
        <v>37</v>
      </c>
      <c r="L599" t="s">
        <v>42</v>
      </c>
      <c r="M599" s="6">
        <v>45673.291666666664</v>
      </c>
      <c r="N599" t="s">
        <v>4264</v>
      </c>
      <c r="O599" s="1">
        <v>45673</v>
      </c>
      <c r="P599" s="1">
        <v>45662.832233796296</v>
      </c>
      <c r="Q599" t="s">
        <v>4264</v>
      </c>
      <c r="R599" s="6">
        <v>45673.416666666664</v>
      </c>
      <c r="S599" t="s">
        <v>43</v>
      </c>
      <c r="T599">
        <v>19.04</v>
      </c>
      <c r="U599">
        <v>0</v>
      </c>
      <c r="V599">
        <v>19.04</v>
      </c>
      <c r="W599">
        <v>0.95</v>
      </c>
      <c r="X599">
        <v>0</v>
      </c>
      <c r="Y599">
        <v>0</v>
      </c>
      <c r="Z599">
        <v>19.989999999999998</v>
      </c>
      <c r="AA599" t="s">
        <v>44</v>
      </c>
      <c r="AB599" t="s">
        <v>115</v>
      </c>
      <c r="AC599" t="s">
        <v>116</v>
      </c>
      <c r="AD599" t="s">
        <v>37</v>
      </c>
      <c r="AE599" t="s">
        <v>37</v>
      </c>
      <c r="AF599" t="s">
        <v>2267</v>
      </c>
      <c r="AG599" t="s">
        <v>37</v>
      </c>
      <c r="AH599" t="s">
        <v>2268</v>
      </c>
      <c r="AI599" t="s">
        <v>37</v>
      </c>
    </row>
    <row r="600" spans="1:35" x14ac:dyDescent="0.25">
      <c r="A600" t="s">
        <v>2271</v>
      </c>
      <c r="B600" t="s">
        <v>34</v>
      </c>
      <c r="C600" t="s">
        <v>2272</v>
      </c>
      <c r="D600" t="s">
        <v>2273</v>
      </c>
      <c r="E600" t="s">
        <v>37</v>
      </c>
      <c r="F600" t="s">
        <v>2274</v>
      </c>
      <c r="G600" t="s">
        <v>39</v>
      </c>
      <c r="H600" t="s">
        <v>40</v>
      </c>
      <c r="I600" t="s">
        <v>41</v>
      </c>
      <c r="J600" t="s">
        <v>37</v>
      </c>
      <c r="K600" t="s">
        <v>37</v>
      </c>
      <c r="L600" t="s">
        <v>42</v>
      </c>
      <c r="M600" s="6">
        <v>45673.510254629633</v>
      </c>
      <c r="N600" t="s">
        <v>4264</v>
      </c>
      <c r="O600" s="1">
        <v>45673.218587962961</v>
      </c>
      <c r="P600" s="1">
        <v>45673.510277777779</v>
      </c>
      <c r="Q600" t="s">
        <v>4264</v>
      </c>
      <c r="R600" s="6">
        <v>45673.416666666664</v>
      </c>
      <c r="S600" t="s">
        <v>43</v>
      </c>
      <c r="T600">
        <v>23.8</v>
      </c>
      <c r="U600">
        <v>0</v>
      </c>
      <c r="V600">
        <v>23.8</v>
      </c>
      <c r="W600">
        <v>1.19</v>
      </c>
      <c r="X600">
        <v>0</v>
      </c>
      <c r="Y600">
        <v>0</v>
      </c>
      <c r="Z600">
        <v>24.99</v>
      </c>
      <c r="AA600" t="s">
        <v>44</v>
      </c>
      <c r="AB600" t="s">
        <v>45</v>
      </c>
      <c r="AC600" t="s">
        <v>46</v>
      </c>
      <c r="AD600" t="s">
        <v>37</v>
      </c>
      <c r="AE600" t="s">
        <v>37</v>
      </c>
      <c r="AF600" t="s">
        <v>2275</v>
      </c>
      <c r="AG600" t="s">
        <v>37</v>
      </c>
      <c r="AH600" t="s">
        <v>2272</v>
      </c>
      <c r="AI600" t="s">
        <v>37</v>
      </c>
    </row>
    <row r="601" spans="1:35" x14ac:dyDescent="0.25">
      <c r="A601" t="s">
        <v>2276</v>
      </c>
      <c r="B601" t="s">
        <v>34</v>
      </c>
      <c r="C601" t="s">
        <v>2277</v>
      </c>
      <c r="D601" t="s">
        <v>2278</v>
      </c>
      <c r="E601" t="s">
        <v>37</v>
      </c>
      <c r="F601" t="s">
        <v>2279</v>
      </c>
      <c r="G601" t="s">
        <v>39</v>
      </c>
      <c r="H601" t="s">
        <v>40</v>
      </c>
      <c r="I601" t="s">
        <v>41</v>
      </c>
      <c r="J601" t="s">
        <v>37</v>
      </c>
      <c r="K601" t="s">
        <v>37</v>
      </c>
      <c r="L601" t="s">
        <v>42</v>
      </c>
      <c r="M601" s="6">
        <v>45675.291666666664</v>
      </c>
      <c r="N601" t="s">
        <v>4265</v>
      </c>
      <c r="O601" s="1">
        <v>45675</v>
      </c>
      <c r="P601" s="1">
        <v>45675.41201388889</v>
      </c>
      <c r="Q601" t="s">
        <v>4265</v>
      </c>
      <c r="R601" s="6">
        <v>45675.416666666664</v>
      </c>
      <c r="S601" t="s">
        <v>43</v>
      </c>
      <c r="T601">
        <v>23.8</v>
      </c>
      <c r="U601">
        <v>0</v>
      </c>
      <c r="V601">
        <v>23.8</v>
      </c>
      <c r="W601">
        <v>1.19</v>
      </c>
      <c r="X601">
        <v>0</v>
      </c>
      <c r="Y601">
        <v>0</v>
      </c>
      <c r="Z601">
        <v>24.99</v>
      </c>
      <c r="AA601" t="s">
        <v>44</v>
      </c>
      <c r="AB601" t="s">
        <v>45</v>
      </c>
      <c r="AC601" t="s">
        <v>46</v>
      </c>
      <c r="AD601" t="s">
        <v>37</v>
      </c>
      <c r="AE601" t="s">
        <v>37</v>
      </c>
      <c r="AF601" t="s">
        <v>2280</v>
      </c>
      <c r="AG601" t="s">
        <v>37</v>
      </c>
      <c r="AH601" t="s">
        <v>2277</v>
      </c>
      <c r="AI601" t="s">
        <v>37</v>
      </c>
    </row>
    <row r="602" spans="1:35" x14ac:dyDescent="0.25">
      <c r="A602" t="s">
        <v>2283</v>
      </c>
      <c r="B602" t="s">
        <v>34</v>
      </c>
      <c r="C602" t="s">
        <v>1033</v>
      </c>
      <c r="D602" t="s">
        <v>1034</v>
      </c>
      <c r="E602" t="s">
        <v>37</v>
      </c>
      <c r="F602" t="s">
        <v>1035</v>
      </c>
      <c r="G602" t="s">
        <v>39</v>
      </c>
      <c r="H602" t="s">
        <v>40</v>
      </c>
      <c r="I602" t="s">
        <v>41</v>
      </c>
      <c r="J602" t="s">
        <v>37</v>
      </c>
      <c r="K602" t="s">
        <v>37</v>
      </c>
      <c r="L602" t="s">
        <v>42</v>
      </c>
      <c r="M602" s="6">
        <v>45675.291666666664</v>
      </c>
      <c r="N602" t="s">
        <v>4265</v>
      </c>
      <c r="O602" s="1">
        <v>45675</v>
      </c>
      <c r="P602" s="1">
        <v>45674.965381944443</v>
      </c>
      <c r="Q602" t="s">
        <v>4265</v>
      </c>
      <c r="R602" s="6">
        <v>45675.416666666664</v>
      </c>
      <c r="S602" t="s">
        <v>43</v>
      </c>
      <c r="T602">
        <v>23.8</v>
      </c>
      <c r="U602">
        <v>0</v>
      </c>
      <c r="V602">
        <v>23.8</v>
      </c>
      <c r="W602">
        <v>1.19</v>
      </c>
      <c r="X602">
        <v>0</v>
      </c>
      <c r="Y602">
        <v>0</v>
      </c>
      <c r="Z602">
        <v>24.99</v>
      </c>
      <c r="AA602" t="s">
        <v>44</v>
      </c>
      <c r="AB602" t="s">
        <v>45</v>
      </c>
      <c r="AC602" t="s">
        <v>46</v>
      </c>
      <c r="AD602" t="s">
        <v>37</v>
      </c>
      <c r="AE602" t="s">
        <v>37</v>
      </c>
      <c r="AF602" t="s">
        <v>2284</v>
      </c>
      <c r="AG602" t="s">
        <v>37</v>
      </c>
      <c r="AH602" t="s">
        <v>1033</v>
      </c>
      <c r="AI602" t="s">
        <v>37</v>
      </c>
    </row>
    <row r="603" spans="1:35" x14ac:dyDescent="0.25">
      <c r="A603" t="s">
        <v>2281</v>
      </c>
      <c r="B603" t="s">
        <v>34</v>
      </c>
      <c r="C603" t="s">
        <v>1636</v>
      </c>
      <c r="D603" t="s">
        <v>1637</v>
      </c>
      <c r="E603" t="s">
        <v>37</v>
      </c>
      <c r="F603" t="s">
        <v>1701</v>
      </c>
      <c r="G603" t="s">
        <v>39</v>
      </c>
      <c r="H603" t="s">
        <v>40</v>
      </c>
      <c r="I603" t="s">
        <v>41</v>
      </c>
      <c r="J603" t="s">
        <v>37</v>
      </c>
      <c r="K603" t="s">
        <v>37</v>
      </c>
      <c r="L603" t="s">
        <v>42</v>
      </c>
      <c r="M603" s="6">
        <v>45676.291666666664</v>
      </c>
      <c r="N603" t="s">
        <v>4266</v>
      </c>
      <c r="O603" s="1">
        <v>45676</v>
      </c>
      <c r="P603" s="1">
        <v>45675.45894675926</v>
      </c>
      <c r="Q603" t="s">
        <v>4266</v>
      </c>
      <c r="R603" s="6">
        <v>45676.416666666664</v>
      </c>
      <c r="S603" t="s">
        <v>43</v>
      </c>
      <c r="T603">
        <v>23.8</v>
      </c>
      <c r="U603">
        <v>0</v>
      </c>
      <c r="V603">
        <v>23.8</v>
      </c>
      <c r="W603">
        <v>1.19</v>
      </c>
      <c r="X603">
        <v>0</v>
      </c>
      <c r="Y603">
        <v>0</v>
      </c>
      <c r="Z603">
        <v>24.99</v>
      </c>
      <c r="AA603" t="s">
        <v>44</v>
      </c>
      <c r="AB603" t="s">
        <v>45</v>
      </c>
      <c r="AC603" t="s">
        <v>46</v>
      </c>
      <c r="AD603" t="s">
        <v>37</v>
      </c>
      <c r="AE603" t="s">
        <v>37</v>
      </c>
      <c r="AF603" t="s">
        <v>2282</v>
      </c>
      <c r="AG603" t="s">
        <v>37</v>
      </c>
      <c r="AH603" t="s">
        <v>1636</v>
      </c>
      <c r="AI603" t="s">
        <v>37</v>
      </c>
    </row>
    <row r="604" spans="1:35" x14ac:dyDescent="0.25">
      <c r="A604" t="s">
        <v>2287</v>
      </c>
      <c r="B604" t="s">
        <v>34</v>
      </c>
      <c r="C604" t="s">
        <v>2288</v>
      </c>
      <c r="D604" t="s">
        <v>2289</v>
      </c>
      <c r="E604" t="s">
        <v>37</v>
      </c>
      <c r="F604" t="s">
        <v>2290</v>
      </c>
      <c r="G604" t="s">
        <v>39</v>
      </c>
      <c r="H604" t="s">
        <v>40</v>
      </c>
      <c r="I604" t="s">
        <v>41</v>
      </c>
      <c r="J604" t="s">
        <v>37</v>
      </c>
      <c r="K604" t="s">
        <v>37</v>
      </c>
      <c r="L604" t="s">
        <v>42</v>
      </c>
      <c r="M604" s="6">
        <v>45682.291666666664</v>
      </c>
      <c r="N604" t="s">
        <v>4265</v>
      </c>
      <c r="O604" s="1">
        <v>45682</v>
      </c>
      <c r="P604" s="1">
        <v>45676.601122685184</v>
      </c>
      <c r="Q604" t="s">
        <v>4265</v>
      </c>
      <c r="R604" s="6">
        <v>45682.416666666664</v>
      </c>
      <c r="S604" t="s">
        <v>43</v>
      </c>
      <c r="T604">
        <v>23.8</v>
      </c>
      <c r="U604">
        <v>0</v>
      </c>
      <c r="V604">
        <v>23.8</v>
      </c>
      <c r="W604">
        <v>1.19</v>
      </c>
      <c r="X604">
        <v>0</v>
      </c>
      <c r="Y604">
        <v>0</v>
      </c>
      <c r="Z604">
        <v>24.99</v>
      </c>
      <c r="AA604" t="s">
        <v>44</v>
      </c>
      <c r="AB604" t="s">
        <v>45</v>
      </c>
      <c r="AC604" t="s">
        <v>46</v>
      </c>
      <c r="AD604" t="s">
        <v>37</v>
      </c>
      <c r="AE604" t="s">
        <v>37</v>
      </c>
      <c r="AF604" t="s">
        <v>2291</v>
      </c>
      <c r="AG604" t="s">
        <v>37</v>
      </c>
      <c r="AH604" t="s">
        <v>2288</v>
      </c>
      <c r="AI604" t="s">
        <v>37</v>
      </c>
    </row>
    <row r="605" spans="1:35" x14ac:dyDescent="0.25">
      <c r="A605" t="s">
        <v>2307</v>
      </c>
      <c r="B605" t="s">
        <v>34</v>
      </c>
      <c r="C605" t="s">
        <v>2235</v>
      </c>
      <c r="D605" t="s">
        <v>2236</v>
      </c>
      <c r="E605" t="s">
        <v>37</v>
      </c>
      <c r="F605" t="s">
        <v>2237</v>
      </c>
      <c r="G605" t="s">
        <v>39</v>
      </c>
      <c r="H605" t="s">
        <v>40</v>
      </c>
      <c r="I605" t="s">
        <v>41</v>
      </c>
      <c r="J605" t="s">
        <v>37</v>
      </c>
      <c r="K605" t="s">
        <v>37</v>
      </c>
      <c r="L605" t="s">
        <v>42</v>
      </c>
      <c r="M605" s="6">
        <v>45682.291666666664</v>
      </c>
      <c r="N605" t="s">
        <v>4265</v>
      </c>
      <c r="O605" s="1">
        <v>45682</v>
      </c>
      <c r="P605" s="1">
        <v>45676.870648148149</v>
      </c>
      <c r="Q605" t="s">
        <v>4265</v>
      </c>
      <c r="R605" s="6">
        <v>45682.416666666664</v>
      </c>
      <c r="S605" t="s">
        <v>43</v>
      </c>
      <c r="T605">
        <v>23.8</v>
      </c>
      <c r="U605">
        <v>0</v>
      </c>
      <c r="V605">
        <v>23.8</v>
      </c>
      <c r="W605">
        <v>1.19</v>
      </c>
      <c r="X605">
        <v>0</v>
      </c>
      <c r="Y605">
        <v>0</v>
      </c>
      <c r="Z605">
        <v>24.99</v>
      </c>
      <c r="AA605" t="s">
        <v>44</v>
      </c>
      <c r="AB605" t="s">
        <v>115</v>
      </c>
      <c r="AC605" t="s">
        <v>116</v>
      </c>
      <c r="AD605" t="s">
        <v>37</v>
      </c>
      <c r="AE605" t="s">
        <v>37</v>
      </c>
      <c r="AF605" t="s">
        <v>2308</v>
      </c>
      <c r="AG605" t="s">
        <v>37</v>
      </c>
      <c r="AH605" t="s">
        <v>2235</v>
      </c>
      <c r="AI605" t="s">
        <v>37</v>
      </c>
    </row>
    <row r="606" spans="1:35" x14ac:dyDescent="0.25">
      <c r="A606" t="s">
        <v>2334</v>
      </c>
      <c r="B606" t="s">
        <v>34</v>
      </c>
      <c r="C606" t="s">
        <v>663</v>
      </c>
      <c r="D606" t="s">
        <v>664</v>
      </c>
      <c r="E606" t="s">
        <v>37</v>
      </c>
      <c r="F606" t="s">
        <v>665</v>
      </c>
      <c r="G606" t="s">
        <v>39</v>
      </c>
      <c r="H606" t="s">
        <v>40</v>
      </c>
      <c r="I606" t="s">
        <v>41</v>
      </c>
      <c r="J606" t="s">
        <v>37</v>
      </c>
      <c r="K606" t="s">
        <v>37</v>
      </c>
      <c r="L606" t="s">
        <v>42</v>
      </c>
      <c r="M606" s="6">
        <v>45682.291666666664</v>
      </c>
      <c r="N606" t="s">
        <v>4265</v>
      </c>
      <c r="O606" s="1">
        <v>45682</v>
      </c>
      <c r="P606" s="1">
        <v>45681.474456018521</v>
      </c>
      <c r="Q606" t="s">
        <v>4265</v>
      </c>
      <c r="R606" s="6">
        <v>45682.416666666664</v>
      </c>
      <c r="S606" t="s">
        <v>43</v>
      </c>
      <c r="T606">
        <v>23.8</v>
      </c>
      <c r="U606">
        <v>0</v>
      </c>
      <c r="V606">
        <v>23.8</v>
      </c>
      <c r="W606">
        <v>1.19</v>
      </c>
      <c r="X606">
        <v>0</v>
      </c>
      <c r="Y606">
        <v>0</v>
      </c>
      <c r="Z606">
        <v>24.99</v>
      </c>
      <c r="AA606" t="s">
        <v>44</v>
      </c>
      <c r="AB606" t="s">
        <v>45</v>
      </c>
      <c r="AC606" t="s">
        <v>46</v>
      </c>
      <c r="AD606" t="s">
        <v>37</v>
      </c>
      <c r="AE606" t="s">
        <v>37</v>
      </c>
      <c r="AF606" t="s">
        <v>2335</v>
      </c>
      <c r="AG606" t="s">
        <v>37</v>
      </c>
      <c r="AH606" t="s">
        <v>663</v>
      </c>
      <c r="AI606" t="s">
        <v>37</v>
      </c>
    </row>
    <row r="607" spans="1:35" x14ac:dyDescent="0.25">
      <c r="A607" t="s">
        <v>2341</v>
      </c>
      <c r="B607" t="s">
        <v>34</v>
      </c>
      <c r="C607" t="s">
        <v>2342</v>
      </c>
      <c r="D607" t="s">
        <v>2343</v>
      </c>
      <c r="E607" t="s">
        <v>37</v>
      </c>
      <c r="F607" t="s">
        <v>2344</v>
      </c>
      <c r="G607" t="s">
        <v>39</v>
      </c>
      <c r="H607" t="s">
        <v>40</v>
      </c>
      <c r="I607" t="s">
        <v>41</v>
      </c>
      <c r="J607" t="s">
        <v>37</v>
      </c>
      <c r="K607" t="s">
        <v>37</v>
      </c>
      <c r="L607" t="s">
        <v>42</v>
      </c>
      <c r="M607" s="6">
        <v>45682.291666666664</v>
      </c>
      <c r="N607" t="s">
        <v>4265</v>
      </c>
      <c r="O607" s="1">
        <v>45682</v>
      </c>
      <c r="P607" s="1">
        <v>45681.961354166669</v>
      </c>
      <c r="Q607" t="s">
        <v>4265</v>
      </c>
      <c r="R607" s="6">
        <v>45682.416666666664</v>
      </c>
      <c r="S607" t="s">
        <v>43</v>
      </c>
      <c r="T607">
        <v>23.8</v>
      </c>
      <c r="U607">
        <v>0</v>
      </c>
      <c r="V607">
        <v>23.8</v>
      </c>
      <c r="W607">
        <v>1.19</v>
      </c>
      <c r="X607">
        <v>0</v>
      </c>
      <c r="Y607">
        <v>0</v>
      </c>
      <c r="Z607">
        <v>24.99</v>
      </c>
      <c r="AA607" t="s">
        <v>44</v>
      </c>
      <c r="AB607" t="s">
        <v>45</v>
      </c>
      <c r="AC607" t="s">
        <v>46</v>
      </c>
      <c r="AD607" t="s">
        <v>37</v>
      </c>
      <c r="AE607" t="s">
        <v>37</v>
      </c>
      <c r="AF607" t="s">
        <v>2345</v>
      </c>
      <c r="AG607" t="s">
        <v>37</v>
      </c>
      <c r="AH607" t="s">
        <v>2342</v>
      </c>
      <c r="AI607" t="s">
        <v>37</v>
      </c>
    </row>
    <row r="608" spans="1:35" x14ac:dyDescent="0.25">
      <c r="A608" t="s">
        <v>2346</v>
      </c>
      <c r="B608" t="s">
        <v>34</v>
      </c>
      <c r="C608" t="s">
        <v>2347</v>
      </c>
      <c r="D608" t="s">
        <v>2348</v>
      </c>
      <c r="E608" t="s">
        <v>37</v>
      </c>
      <c r="F608" t="s">
        <v>2349</v>
      </c>
      <c r="G608" t="s">
        <v>39</v>
      </c>
      <c r="H608" t="s">
        <v>40</v>
      </c>
      <c r="I608" t="s">
        <v>41</v>
      </c>
      <c r="J608" t="s">
        <v>37</v>
      </c>
      <c r="K608" t="s">
        <v>37</v>
      </c>
      <c r="L608" t="s">
        <v>42</v>
      </c>
      <c r="M608" s="6">
        <v>45682.291666666664</v>
      </c>
      <c r="N608" t="s">
        <v>4265</v>
      </c>
      <c r="O608" s="1">
        <v>45682</v>
      </c>
      <c r="P608" s="1">
        <v>45682.400775462964</v>
      </c>
      <c r="Q608" t="s">
        <v>4265</v>
      </c>
      <c r="R608" s="6">
        <v>45682.416666666664</v>
      </c>
      <c r="S608" t="s">
        <v>43</v>
      </c>
      <c r="T608">
        <v>23.8</v>
      </c>
      <c r="U608">
        <v>0</v>
      </c>
      <c r="V608">
        <v>23.8</v>
      </c>
      <c r="W608">
        <v>1.19</v>
      </c>
      <c r="X608">
        <v>0</v>
      </c>
      <c r="Y608">
        <v>0</v>
      </c>
      <c r="Z608">
        <v>24.99</v>
      </c>
      <c r="AA608" t="s">
        <v>44</v>
      </c>
      <c r="AB608" t="s">
        <v>45</v>
      </c>
      <c r="AC608" t="s">
        <v>46</v>
      </c>
      <c r="AD608" t="s">
        <v>37</v>
      </c>
      <c r="AE608" t="s">
        <v>37</v>
      </c>
      <c r="AF608" t="s">
        <v>2350</v>
      </c>
      <c r="AG608" t="s">
        <v>37</v>
      </c>
      <c r="AH608" t="s">
        <v>2351</v>
      </c>
      <c r="AI608" t="s">
        <v>37</v>
      </c>
    </row>
    <row r="609" spans="1:35" x14ac:dyDescent="0.25">
      <c r="A609" t="s">
        <v>2352</v>
      </c>
      <c r="B609" t="s">
        <v>34</v>
      </c>
      <c r="C609" t="s">
        <v>1664</v>
      </c>
      <c r="D609" t="s">
        <v>1665</v>
      </c>
      <c r="E609" t="s">
        <v>37</v>
      </c>
      <c r="F609" t="s">
        <v>1666</v>
      </c>
      <c r="G609" t="s">
        <v>39</v>
      </c>
      <c r="H609" t="s">
        <v>40</v>
      </c>
      <c r="I609" t="s">
        <v>41</v>
      </c>
      <c r="J609" t="s">
        <v>37</v>
      </c>
      <c r="K609" t="s">
        <v>37</v>
      </c>
      <c r="L609" t="s">
        <v>42</v>
      </c>
      <c r="M609" s="6">
        <v>45682.291666666664</v>
      </c>
      <c r="N609" t="s">
        <v>4265</v>
      </c>
      <c r="O609" s="1">
        <v>45682</v>
      </c>
      <c r="P609" s="1">
        <v>45682.433923611112</v>
      </c>
      <c r="Q609" t="s">
        <v>4265</v>
      </c>
      <c r="R609" s="6">
        <v>45682.416666666664</v>
      </c>
      <c r="S609" t="s">
        <v>43</v>
      </c>
      <c r="T609">
        <v>23.8</v>
      </c>
      <c r="U609">
        <v>0</v>
      </c>
      <c r="V609">
        <v>23.8</v>
      </c>
      <c r="W609">
        <v>1.19</v>
      </c>
      <c r="X609">
        <v>0</v>
      </c>
      <c r="Y609">
        <v>0</v>
      </c>
      <c r="Z609">
        <v>24.99</v>
      </c>
      <c r="AA609" t="s">
        <v>44</v>
      </c>
      <c r="AB609" t="s">
        <v>45</v>
      </c>
      <c r="AC609" t="s">
        <v>46</v>
      </c>
      <c r="AD609" t="s">
        <v>37</v>
      </c>
      <c r="AE609" t="s">
        <v>37</v>
      </c>
      <c r="AF609" t="s">
        <v>2353</v>
      </c>
      <c r="AG609" t="s">
        <v>37</v>
      </c>
      <c r="AH609" t="s">
        <v>1664</v>
      </c>
      <c r="AI609" t="s">
        <v>37</v>
      </c>
    </row>
    <row r="610" spans="1:35" x14ac:dyDescent="0.25">
      <c r="A610" t="s">
        <v>2354</v>
      </c>
      <c r="B610" t="s">
        <v>34</v>
      </c>
      <c r="C610" t="s">
        <v>2355</v>
      </c>
      <c r="D610" t="s">
        <v>2356</v>
      </c>
      <c r="E610" t="s">
        <v>37</v>
      </c>
      <c r="F610" t="s">
        <v>2357</v>
      </c>
      <c r="G610" t="s">
        <v>39</v>
      </c>
      <c r="H610" t="s">
        <v>40</v>
      </c>
      <c r="I610" t="s">
        <v>41</v>
      </c>
      <c r="J610" t="s">
        <v>37</v>
      </c>
      <c r="K610" t="s">
        <v>37</v>
      </c>
      <c r="L610" t="s">
        <v>42</v>
      </c>
      <c r="M610" s="6">
        <v>45682.44258101852</v>
      </c>
      <c r="N610" t="s">
        <v>4265</v>
      </c>
      <c r="O610" s="1">
        <v>45682.150914351849</v>
      </c>
      <c r="P610" s="1">
        <v>45682.442627314813</v>
      </c>
      <c r="Q610" t="s">
        <v>4265</v>
      </c>
      <c r="R610" s="6">
        <v>45682.416666666664</v>
      </c>
      <c r="S610" t="s">
        <v>43</v>
      </c>
      <c r="T610">
        <v>23.8</v>
      </c>
      <c r="U610">
        <v>0</v>
      </c>
      <c r="V610">
        <v>23.8</v>
      </c>
      <c r="W610">
        <v>1.19</v>
      </c>
      <c r="X610">
        <v>0</v>
      </c>
      <c r="Y610">
        <v>0</v>
      </c>
      <c r="Z610">
        <v>24.99</v>
      </c>
      <c r="AA610" t="s">
        <v>44</v>
      </c>
      <c r="AB610" t="s">
        <v>45</v>
      </c>
      <c r="AC610" t="s">
        <v>46</v>
      </c>
      <c r="AD610" t="s">
        <v>37</v>
      </c>
      <c r="AE610" t="s">
        <v>37</v>
      </c>
      <c r="AF610" t="s">
        <v>2358</v>
      </c>
      <c r="AG610" t="s">
        <v>37</v>
      </c>
      <c r="AH610" t="s">
        <v>2355</v>
      </c>
      <c r="AI610" t="s">
        <v>37</v>
      </c>
    </row>
    <row r="611" spans="1:35" x14ac:dyDescent="0.25">
      <c r="A611" t="s">
        <v>2359</v>
      </c>
      <c r="B611" t="s">
        <v>34</v>
      </c>
      <c r="C611" t="s">
        <v>2355</v>
      </c>
      <c r="D611" t="s">
        <v>2356</v>
      </c>
      <c r="E611" t="s">
        <v>37</v>
      </c>
      <c r="F611" t="s">
        <v>2360</v>
      </c>
      <c r="G611" t="s">
        <v>39</v>
      </c>
      <c r="H611" t="s">
        <v>40</v>
      </c>
      <c r="I611" t="s">
        <v>41</v>
      </c>
      <c r="J611" t="s">
        <v>37</v>
      </c>
      <c r="K611" t="s">
        <v>37</v>
      </c>
      <c r="L611" t="s">
        <v>42</v>
      </c>
      <c r="M611" s="6">
        <v>45682.509594907409</v>
      </c>
      <c r="N611" t="s">
        <v>4265</v>
      </c>
      <c r="O611" s="1">
        <v>45682.217928240738</v>
      </c>
      <c r="P611" s="1">
        <v>45682.509641203702</v>
      </c>
      <c r="Q611" t="s">
        <v>4265</v>
      </c>
      <c r="R611" s="6">
        <v>45682.416666666664</v>
      </c>
      <c r="S611" t="s">
        <v>43</v>
      </c>
      <c r="T611">
        <v>23.8</v>
      </c>
      <c r="U611">
        <v>0</v>
      </c>
      <c r="V611">
        <v>23.8</v>
      </c>
      <c r="W611">
        <v>1.19</v>
      </c>
      <c r="X611">
        <v>0</v>
      </c>
      <c r="Y611">
        <v>0</v>
      </c>
      <c r="Z611">
        <v>24.99</v>
      </c>
      <c r="AA611" t="s">
        <v>44</v>
      </c>
      <c r="AB611" t="s">
        <v>45</v>
      </c>
      <c r="AC611" t="s">
        <v>46</v>
      </c>
      <c r="AD611" t="s">
        <v>37</v>
      </c>
      <c r="AE611" t="s">
        <v>37</v>
      </c>
      <c r="AF611" t="s">
        <v>2361</v>
      </c>
      <c r="AG611" t="s">
        <v>37</v>
      </c>
      <c r="AH611" t="s">
        <v>2355</v>
      </c>
      <c r="AI611" t="s">
        <v>37</v>
      </c>
    </row>
    <row r="612" spans="1:35" x14ac:dyDescent="0.25">
      <c r="A612" t="s">
        <v>2362</v>
      </c>
      <c r="B612" t="s">
        <v>34</v>
      </c>
      <c r="C612" t="s">
        <v>2363</v>
      </c>
      <c r="D612" t="s">
        <v>2364</v>
      </c>
      <c r="E612" t="s">
        <v>37</v>
      </c>
      <c r="F612" t="s">
        <v>2365</v>
      </c>
      <c r="G612" t="s">
        <v>39</v>
      </c>
      <c r="H612" t="s">
        <v>40</v>
      </c>
      <c r="I612" t="s">
        <v>41</v>
      </c>
      <c r="J612" t="s">
        <v>37</v>
      </c>
      <c r="K612" t="s">
        <v>37</v>
      </c>
      <c r="L612" t="s">
        <v>42</v>
      </c>
      <c r="M612" s="6">
        <v>45683.291666666664</v>
      </c>
      <c r="N612" t="s">
        <v>4266</v>
      </c>
      <c r="O612" s="1">
        <v>45683</v>
      </c>
      <c r="P612" s="1">
        <v>45682.881990740738</v>
      </c>
      <c r="Q612" t="s">
        <v>4266</v>
      </c>
      <c r="R612" s="6">
        <v>45683.416666666664</v>
      </c>
      <c r="S612" t="s">
        <v>43</v>
      </c>
      <c r="T612">
        <v>23.8</v>
      </c>
      <c r="U612">
        <v>0</v>
      </c>
      <c r="V612">
        <v>23.8</v>
      </c>
      <c r="W612">
        <v>1.19</v>
      </c>
      <c r="X612">
        <v>0</v>
      </c>
      <c r="Y612">
        <v>0</v>
      </c>
      <c r="Z612">
        <v>24.99</v>
      </c>
      <c r="AA612" t="s">
        <v>44</v>
      </c>
      <c r="AB612" t="s">
        <v>45</v>
      </c>
      <c r="AC612" t="s">
        <v>46</v>
      </c>
      <c r="AD612" t="s">
        <v>37</v>
      </c>
      <c r="AE612" t="s">
        <v>37</v>
      </c>
      <c r="AF612" t="s">
        <v>2366</v>
      </c>
      <c r="AG612" t="s">
        <v>37</v>
      </c>
      <c r="AH612" t="s">
        <v>2367</v>
      </c>
      <c r="AI612" t="s">
        <v>37</v>
      </c>
    </row>
    <row r="613" spans="1:35" x14ac:dyDescent="0.25">
      <c r="A613" t="s">
        <v>2368</v>
      </c>
      <c r="B613" t="s">
        <v>34</v>
      </c>
      <c r="C613" t="s">
        <v>1517</v>
      </c>
      <c r="D613" t="s">
        <v>1518</v>
      </c>
      <c r="E613" t="s">
        <v>37</v>
      </c>
      <c r="F613" t="s">
        <v>2369</v>
      </c>
      <c r="G613" t="s">
        <v>39</v>
      </c>
      <c r="H613" t="s">
        <v>40</v>
      </c>
      <c r="I613" t="s">
        <v>41</v>
      </c>
      <c r="J613" t="s">
        <v>37</v>
      </c>
      <c r="K613" t="s">
        <v>37</v>
      </c>
      <c r="L613" t="s">
        <v>42</v>
      </c>
      <c r="M613" s="6">
        <v>45683.334467592591</v>
      </c>
      <c r="N613" t="s">
        <v>4266</v>
      </c>
      <c r="O613" s="1">
        <v>45683.042800925927</v>
      </c>
      <c r="P613" s="1">
        <v>45683.334513888891</v>
      </c>
      <c r="Q613" t="s">
        <v>4266</v>
      </c>
      <c r="R613" s="6">
        <v>45683.416666666664</v>
      </c>
      <c r="S613" t="s">
        <v>43</v>
      </c>
      <c r="T613">
        <v>23.8</v>
      </c>
      <c r="U613">
        <v>0</v>
      </c>
      <c r="V613">
        <v>23.8</v>
      </c>
      <c r="W613">
        <v>1.19</v>
      </c>
      <c r="X613">
        <v>0</v>
      </c>
      <c r="Y613">
        <v>0</v>
      </c>
      <c r="Z613">
        <v>24.99</v>
      </c>
      <c r="AA613" t="s">
        <v>44</v>
      </c>
      <c r="AB613" t="s">
        <v>45</v>
      </c>
      <c r="AC613" t="s">
        <v>46</v>
      </c>
      <c r="AD613" t="s">
        <v>37</v>
      </c>
      <c r="AE613" t="s">
        <v>37</v>
      </c>
      <c r="AF613" t="s">
        <v>2370</v>
      </c>
      <c r="AG613" t="s">
        <v>37</v>
      </c>
      <c r="AH613" t="s">
        <v>1517</v>
      </c>
      <c r="AI613" t="s">
        <v>37</v>
      </c>
    </row>
    <row r="614" spans="1:35" x14ac:dyDescent="0.25">
      <c r="A614" t="s">
        <v>2371</v>
      </c>
      <c r="B614" t="s">
        <v>34</v>
      </c>
      <c r="C614" t="s">
        <v>2372</v>
      </c>
      <c r="D614" t="s">
        <v>2373</v>
      </c>
      <c r="E614" t="s">
        <v>37</v>
      </c>
      <c r="F614" t="s">
        <v>2374</v>
      </c>
      <c r="G614" t="s">
        <v>39</v>
      </c>
      <c r="H614" t="s">
        <v>40</v>
      </c>
      <c r="I614" t="s">
        <v>41</v>
      </c>
      <c r="J614" t="s">
        <v>37</v>
      </c>
      <c r="K614" t="s">
        <v>37</v>
      </c>
      <c r="L614" t="s">
        <v>42</v>
      </c>
      <c r="M614" s="6">
        <v>45683.381006944444</v>
      </c>
      <c r="N614" t="s">
        <v>4266</v>
      </c>
      <c r="O614" s="1">
        <v>45683.08934027778</v>
      </c>
      <c r="P614" s="1">
        <v>45683.381076388891</v>
      </c>
      <c r="Q614" t="s">
        <v>4266</v>
      </c>
      <c r="R614" s="6">
        <v>45683.416666666664</v>
      </c>
      <c r="S614" t="s">
        <v>43</v>
      </c>
      <c r="T614">
        <v>23.8</v>
      </c>
      <c r="U614">
        <v>0</v>
      </c>
      <c r="V614">
        <v>23.8</v>
      </c>
      <c r="W614">
        <v>1.19</v>
      </c>
      <c r="X614">
        <v>0</v>
      </c>
      <c r="Y614">
        <v>0</v>
      </c>
      <c r="Z614">
        <v>24.99</v>
      </c>
      <c r="AA614" t="s">
        <v>44</v>
      </c>
      <c r="AB614" t="s">
        <v>45</v>
      </c>
      <c r="AC614" t="s">
        <v>46</v>
      </c>
      <c r="AD614" t="s">
        <v>37</v>
      </c>
      <c r="AE614" t="s">
        <v>37</v>
      </c>
      <c r="AF614" t="s">
        <v>2375</v>
      </c>
      <c r="AG614" t="s">
        <v>37</v>
      </c>
      <c r="AH614" t="s">
        <v>2372</v>
      </c>
      <c r="AI614" t="s">
        <v>37</v>
      </c>
    </row>
    <row r="615" spans="1:35" x14ac:dyDescent="0.25">
      <c r="A615" t="s">
        <v>2376</v>
      </c>
      <c r="B615" t="s">
        <v>34</v>
      </c>
      <c r="C615" t="s">
        <v>2355</v>
      </c>
      <c r="D615" t="s">
        <v>2356</v>
      </c>
      <c r="E615" t="s">
        <v>37</v>
      </c>
      <c r="F615" t="s">
        <v>2360</v>
      </c>
      <c r="G615" t="s">
        <v>39</v>
      </c>
      <c r="H615" t="s">
        <v>40</v>
      </c>
      <c r="I615" t="s">
        <v>41</v>
      </c>
      <c r="J615" t="s">
        <v>37</v>
      </c>
      <c r="K615" t="s">
        <v>37</v>
      </c>
      <c r="L615" t="s">
        <v>42</v>
      </c>
      <c r="M615" s="6">
        <v>45683.420451388891</v>
      </c>
      <c r="N615" t="s">
        <v>4266</v>
      </c>
      <c r="O615" s="1">
        <v>45683.128784722219</v>
      </c>
      <c r="P615" s="1">
        <v>45683.42050925926</v>
      </c>
      <c r="Q615" t="s">
        <v>4266</v>
      </c>
      <c r="R615" s="6">
        <v>45683.416666666664</v>
      </c>
      <c r="S615" t="s">
        <v>43</v>
      </c>
      <c r="T615">
        <v>23.8</v>
      </c>
      <c r="U615">
        <v>0</v>
      </c>
      <c r="V615">
        <v>23.8</v>
      </c>
      <c r="W615">
        <v>1.19</v>
      </c>
      <c r="X615">
        <v>0</v>
      </c>
      <c r="Y615">
        <v>0</v>
      </c>
      <c r="Z615">
        <v>24.99</v>
      </c>
      <c r="AA615" t="s">
        <v>44</v>
      </c>
      <c r="AB615" t="s">
        <v>45</v>
      </c>
      <c r="AC615" t="s">
        <v>46</v>
      </c>
      <c r="AD615" t="s">
        <v>37</v>
      </c>
      <c r="AE615" t="s">
        <v>37</v>
      </c>
      <c r="AF615" t="s">
        <v>2377</v>
      </c>
      <c r="AG615" t="s">
        <v>37</v>
      </c>
      <c r="AH615" t="s">
        <v>2355</v>
      </c>
      <c r="AI615" t="s">
        <v>37</v>
      </c>
    </row>
    <row r="616" spans="1:35" x14ac:dyDescent="0.25">
      <c r="A616" t="s">
        <v>2378</v>
      </c>
      <c r="B616" t="s">
        <v>34</v>
      </c>
      <c r="C616" t="s">
        <v>2355</v>
      </c>
      <c r="D616" t="s">
        <v>2356</v>
      </c>
      <c r="E616" t="s">
        <v>37</v>
      </c>
      <c r="F616" t="s">
        <v>2357</v>
      </c>
      <c r="G616" t="s">
        <v>39</v>
      </c>
      <c r="H616" t="s">
        <v>40</v>
      </c>
      <c r="I616" t="s">
        <v>41</v>
      </c>
      <c r="J616" t="s">
        <v>37</v>
      </c>
      <c r="K616" t="s">
        <v>37</v>
      </c>
      <c r="L616" t="s">
        <v>42</v>
      </c>
      <c r="M616" s="6">
        <v>45683.422546296293</v>
      </c>
      <c r="N616" t="s">
        <v>4266</v>
      </c>
      <c r="O616" s="1">
        <v>45683.130879629629</v>
      </c>
      <c r="P616" s="1">
        <v>45683.422592592593</v>
      </c>
      <c r="Q616" t="s">
        <v>4266</v>
      </c>
      <c r="R616" s="6">
        <v>45683.416666666664</v>
      </c>
      <c r="S616" t="s">
        <v>43</v>
      </c>
      <c r="T616">
        <v>23.8</v>
      </c>
      <c r="U616">
        <v>0</v>
      </c>
      <c r="V616">
        <v>23.8</v>
      </c>
      <c r="W616">
        <v>1.19</v>
      </c>
      <c r="X616">
        <v>0</v>
      </c>
      <c r="Y616">
        <v>0</v>
      </c>
      <c r="Z616">
        <v>24.99</v>
      </c>
      <c r="AA616" t="s">
        <v>44</v>
      </c>
      <c r="AB616" t="s">
        <v>45</v>
      </c>
      <c r="AC616" t="s">
        <v>46</v>
      </c>
      <c r="AD616" t="s">
        <v>37</v>
      </c>
      <c r="AE616" t="s">
        <v>37</v>
      </c>
      <c r="AF616" t="s">
        <v>2379</v>
      </c>
      <c r="AG616" t="s">
        <v>37</v>
      </c>
      <c r="AH616" t="s">
        <v>2355</v>
      </c>
      <c r="AI616" t="s">
        <v>37</v>
      </c>
    </row>
    <row r="617" spans="1:35" x14ac:dyDescent="0.25">
      <c r="A617" t="s">
        <v>2336</v>
      </c>
      <c r="B617" t="s">
        <v>34</v>
      </c>
      <c r="C617" t="s">
        <v>2337</v>
      </c>
      <c r="D617" t="s">
        <v>2338</v>
      </c>
      <c r="E617" t="s">
        <v>37</v>
      </c>
      <c r="F617" t="s">
        <v>2339</v>
      </c>
      <c r="G617" t="s">
        <v>39</v>
      </c>
      <c r="H617" t="s">
        <v>40</v>
      </c>
      <c r="I617" t="s">
        <v>41</v>
      </c>
      <c r="J617" t="s">
        <v>37</v>
      </c>
      <c r="K617" t="s">
        <v>37</v>
      </c>
      <c r="L617" t="s">
        <v>42</v>
      </c>
      <c r="M617" s="6">
        <v>45688.291666666664</v>
      </c>
      <c r="N617" t="s">
        <v>4268</v>
      </c>
      <c r="O617" s="1">
        <v>45688</v>
      </c>
      <c r="P617" s="1">
        <v>45681.850763888891</v>
      </c>
      <c r="Q617" t="s">
        <v>4268</v>
      </c>
      <c r="R617" s="6">
        <v>45688.416666666664</v>
      </c>
      <c r="S617" t="s">
        <v>43</v>
      </c>
      <c r="T617">
        <v>23.8</v>
      </c>
      <c r="U617">
        <v>0</v>
      </c>
      <c r="V617">
        <v>23.8</v>
      </c>
      <c r="W617">
        <v>1.19</v>
      </c>
      <c r="X617">
        <v>0</v>
      </c>
      <c r="Y617">
        <v>0</v>
      </c>
      <c r="Z617">
        <v>24.99</v>
      </c>
      <c r="AA617" t="s">
        <v>44</v>
      </c>
      <c r="AB617" t="s">
        <v>115</v>
      </c>
      <c r="AC617" t="s">
        <v>116</v>
      </c>
      <c r="AD617" t="s">
        <v>37</v>
      </c>
      <c r="AE617" t="s">
        <v>37</v>
      </c>
      <c r="AF617" t="s">
        <v>2340</v>
      </c>
      <c r="AG617" t="s">
        <v>37</v>
      </c>
      <c r="AH617" t="s">
        <v>2337</v>
      </c>
      <c r="AI617" t="s">
        <v>37</v>
      </c>
    </row>
    <row r="618" spans="1:35" x14ac:dyDescent="0.25">
      <c r="A618" t="s">
        <v>2380</v>
      </c>
      <c r="B618" t="s">
        <v>34</v>
      </c>
      <c r="C618" t="s">
        <v>2381</v>
      </c>
      <c r="D618" t="s">
        <v>2382</v>
      </c>
      <c r="E618" t="s">
        <v>37</v>
      </c>
      <c r="F618" t="s">
        <v>2383</v>
      </c>
      <c r="G618" t="s">
        <v>39</v>
      </c>
      <c r="H618" t="s">
        <v>40</v>
      </c>
      <c r="I618" t="s">
        <v>41</v>
      </c>
      <c r="J618" t="s">
        <v>37</v>
      </c>
      <c r="K618" t="s">
        <v>37</v>
      </c>
      <c r="L618" t="s">
        <v>42</v>
      </c>
      <c r="M618" s="6">
        <v>45688.291666666664</v>
      </c>
      <c r="N618" t="s">
        <v>4268</v>
      </c>
      <c r="O618" s="1">
        <v>45688</v>
      </c>
      <c r="P618" s="1">
        <v>45683.796481481484</v>
      </c>
      <c r="Q618" t="s">
        <v>4268</v>
      </c>
      <c r="R618" s="6">
        <v>45688.416666666664</v>
      </c>
      <c r="S618" t="s">
        <v>43</v>
      </c>
      <c r="T618">
        <v>23.8</v>
      </c>
      <c r="U618">
        <v>0</v>
      </c>
      <c r="V618">
        <v>23.8</v>
      </c>
      <c r="W618">
        <v>1.19</v>
      </c>
      <c r="X618">
        <v>0</v>
      </c>
      <c r="Y618">
        <v>0</v>
      </c>
      <c r="Z618">
        <v>24.99</v>
      </c>
      <c r="AA618" t="s">
        <v>44</v>
      </c>
      <c r="AB618" t="s">
        <v>45</v>
      </c>
      <c r="AC618" t="s">
        <v>46</v>
      </c>
      <c r="AD618" t="s">
        <v>37</v>
      </c>
      <c r="AE618" t="s">
        <v>37</v>
      </c>
      <c r="AF618" t="s">
        <v>2384</v>
      </c>
      <c r="AG618" t="s">
        <v>37</v>
      </c>
      <c r="AH618" t="s">
        <v>2385</v>
      </c>
      <c r="AI618" t="s">
        <v>37</v>
      </c>
    </row>
    <row r="619" spans="1:35" x14ac:dyDescent="0.25">
      <c r="A619" t="s">
        <v>2386</v>
      </c>
      <c r="B619" t="s">
        <v>34</v>
      </c>
      <c r="C619" t="s">
        <v>531</v>
      </c>
      <c r="D619" t="s">
        <v>532</v>
      </c>
      <c r="E619" t="s">
        <v>37</v>
      </c>
      <c r="F619" t="s">
        <v>533</v>
      </c>
      <c r="G619" t="s">
        <v>39</v>
      </c>
      <c r="H619" t="s">
        <v>40</v>
      </c>
      <c r="I619" t="s">
        <v>41</v>
      </c>
      <c r="J619" t="s">
        <v>37</v>
      </c>
      <c r="K619" t="s">
        <v>37</v>
      </c>
      <c r="L619" t="s">
        <v>42</v>
      </c>
      <c r="M619" s="6">
        <v>45688.291666666664</v>
      </c>
      <c r="N619" t="s">
        <v>4268</v>
      </c>
      <c r="O619" s="1">
        <v>45688</v>
      </c>
      <c r="P619" s="1">
        <v>45685.893194444441</v>
      </c>
      <c r="Q619" t="s">
        <v>4268</v>
      </c>
      <c r="R619" s="6">
        <v>45688.416666666664</v>
      </c>
      <c r="S619" t="s">
        <v>43</v>
      </c>
      <c r="T619">
        <v>23.8</v>
      </c>
      <c r="U619">
        <v>0</v>
      </c>
      <c r="V619">
        <v>23.8</v>
      </c>
      <c r="W619">
        <v>1.19</v>
      </c>
      <c r="X619">
        <v>0</v>
      </c>
      <c r="Y619">
        <v>0</v>
      </c>
      <c r="Z619">
        <v>24.99</v>
      </c>
      <c r="AA619" t="s">
        <v>44</v>
      </c>
      <c r="AB619" t="s">
        <v>45</v>
      </c>
      <c r="AC619" t="s">
        <v>46</v>
      </c>
      <c r="AD619" t="s">
        <v>37</v>
      </c>
      <c r="AE619" t="s">
        <v>37</v>
      </c>
      <c r="AF619" t="s">
        <v>2387</v>
      </c>
      <c r="AG619" t="s">
        <v>37</v>
      </c>
      <c r="AH619" t="s">
        <v>531</v>
      </c>
      <c r="AI619" t="s">
        <v>37</v>
      </c>
    </row>
    <row r="620" spans="1:35" x14ac:dyDescent="0.25">
      <c r="A620" t="s">
        <v>2403</v>
      </c>
      <c r="B620" t="s">
        <v>34</v>
      </c>
      <c r="C620" t="s">
        <v>2404</v>
      </c>
      <c r="D620" t="s">
        <v>2405</v>
      </c>
      <c r="E620" t="s">
        <v>37</v>
      </c>
      <c r="F620" t="s">
        <v>2406</v>
      </c>
      <c r="G620" t="s">
        <v>39</v>
      </c>
      <c r="H620" t="s">
        <v>40</v>
      </c>
      <c r="I620" t="s">
        <v>41</v>
      </c>
      <c r="J620" t="s">
        <v>37</v>
      </c>
      <c r="K620" t="s">
        <v>37</v>
      </c>
      <c r="L620" t="s">
        <v>42</v>
      </c>
      <c r="M620" s="6">
        <v>45689.291666666664</v>
      </c>
      <c r="N620" t="s">
        <v>4265</v>
      </c>
      <c r="O620" s="1">
        <v>45689</v>
      </c>
      <c r="P620" s="1">
        <v>45683.3203587963</v>
      </c>
      <c r="Q620" t="s">
        <v>4265</v>
      </c>
      <c r="R620" s="6">
        <v>45689.416666666664</v>
      </c>
      <c r="S620" t="s">
        <v>43</v>
      </c>
      <c r="T620">
        <v>23.8</v>
      </c>
      <c r="U620">
        <v>0</v>
      </c>
      <c r="V620">
        <v>23.8</v>
      </c>
      <c r="W620">
        <v>1.19</v>
      </c>
      <c r="X620">
        <v>0</v>
      </c>
      <c r="Y620">
        <v>0</v>
      </c>
      <c r="Z620">
        <v>24.99</v>
      </c>
      <c r="AA620" t="s">
        <v>44</v>
      </c>
      <c r="AB620" t="s">
        <v>45</v>
      </c>
      <c r="AC620" t="s">
        <v>46</v>
      </c>
      <c r="AD620" t="s">
        <v>37</v>
      </c>
      <c r="AE620" t="s">
        <v>37</v>
      </c>
      <c r="AF620" t="s">
        <v>2407</v>
      </c>
      <c r="AG620" t="s">
        <v>37</v>
      </c>
      <c r="AH620" t="s">
        <v>2404</v>
      </c>
      <c r="AI620" t="s">
        <v>37</v>
      </c>
    </row>
    <row r="621" spans="1:35" x14ac:dyDescent="0.25">
      <c r="A621" t="s">
        <v>2413</v>
      </c>
      <c r="B621" t="s">
        <v>34</v>
      </c>
      <c r="C621" t="s">
        <v>1429</v>
      </c>
      <c r="D621" t="s">
        <v>1430</v>
      </c>
      <c r="E621" t="s">
        <v>37</v>
      </c>
      <c r="F621" t="s">
        <v>1431</v>
      </c>
      <c r="G621" t="s">
        <v>39</v>
      </c>
      <c r="H621" t="s">
        <v>40</v>
      </c>
      <c r="I621" t="s">
        <v>41</v>
      </c>
      <c r="J621" t="s">
        <v>37</v>
      </c>
      <c r="K621" t="s">
        <v>37</v>
      </c>
      <c r="L621" t="s">
        <v>42</v>
      </c>
      <c r="M621" s="6">
        <v>45689.291666666664</v>
      </c>
      <c r="N621" t="s">
        <v>4265</v>
      </c>
      <c r="O621" s="1">
        <v>45689</v>
      </c>
      <c r="P621" s="1">
        <v>45689.318101851852</v>
      </c>
      <c r="Q621" t="s">
        <v>4265</v>
      </c>
      <c r="R621" s="6">
        <v>45689.416666666664</v>
      </c>
      <c r="S621" t="s">
        <v>43</v>
      </c>
      <c r="T621">
        <v>23.8</v>
      </c>
      <c r="U621">
        <v>0</v>
      </c>
      <c r="V621">
        <v>23.8</v>
      </c>
      <c r="W621">
        <v>1.19</v>
      </c>
      <c r="X621">
        <v>0</v>
      </c>
      <c r="Y621">
        <v>0</v>
      </c>
      <c r="Z621">
        <v>24.99</v>
      </c>
      <c r="AA621" t="s">
        <v>44</v>
      </c>
      <c r="AB621" t="s">
        <v>45</v>
      </c>
      <c r="AC621" t="s">
        <v>46</v>
      </c>
      <c r="AD621" t="s">
        <v>37</v>
      </c>
      <c r="AE621" t="s">
        <v>37</v>
      </c>
      <c r="AF621" t="s">
        <v>2414</v>
      </c>
      <c r="AG621" t="s">
        <v>37</v>
      </c>
      <c r="AH621" t="s">
        <v>1429</v>
      </c>
      <c r="AI621" t="s">
        <v>37</v>
      </c>
    </row>
    <row r="622" spans="1:35" x14ac:dyDescent="0.25">
      <c r="A622" t="s">
        <v>2415</v>
      </c>
      <c r="B622" t="s">
        <v>34</v>
      </c>
      <c r="C622" t="s">
        <v>1916</v>
      </c>
      <c r="D622" t="s">
        <v>1917</v>
      </c>
      <c r="E622" t="s">
        <v>37</v>
      </c>
      <c r="F622" t="s">
        <v>1918</v>
      </c>
      <c r="G622" t="s">
        <v>39</v>
      </c>
      <c r="H622" t="s">
        <v>40</v>
      </c>
      <c r="I622" t="s">
        <v>41</v>
      </c>
      <c r="J622" t="s">
        <v>37</v>
      </c>
      <c r="K622" t="s">
        <v>37</v>
      </c>
      <c r="L622" t="s">
        <v>42</v>
      </c>
      <c r="M622" s="6">
        <v>45689.291666666664</v>
      </c>
      <c r="N622" t="s">
        <v>4265</v>
      </c>
      <c r="O622" s="1">
        <v>45689</v>
      </c>
      <c r="P622" s="1">
        <v>45686.273148148146</v>
      </c>
      <c r="Q622" t="s">
        <v>4265</v>
      </c>
      <c r="R622" s="6">
        <v>45689.416666666664</v>
      </c>
      <c r="S622" t="s">
        <v>43</v>
      </c>
      <c r="T622">
        <v>23.8</v>
      </c>
      <c r="U622">
        <v>0</v>
      </c>
      <c r="V622">
        <v>23.8</v>
      </c>
      <c r="W622">
        <v>1.19</v>
      </c>
      <c r="X622">
        <v>0</v>
      </c>
      <c r="Y622">
        <v>0</v>
      </c>
      <c r="Z622">
        <v>24.99</v>
      </c>
      <c r="AA622" t="s">
        <v>44</v>
      </c>
      <c r="AB622" t="s">
        <v>45</v>
      </c>
      <c r="AC622" t="s">
        <v>46</v>
      </c>
      <c r="AD622" t="s">
        <v>37</v>
      </c>
      <c r="AE622" t="s">
        <v>37</v>
      </c>
      <c r="AF622" t="s">
        <v>2416</v>
      </c>
      <c r="AG622" t="s">
        <v>37</v>
      </c>
      <c r="AH622" t="s">
        <v>1916</v>
      </c>
      <c r="AI622" t="s">
        <v>37</v>
      </c>
    </row>
    <row r="623" spans="1:35" x14ac:dyDescent="0.25">
      <c r="A623" t="s">
        <v>2419</v>
      </c>
      <c r="B623" t="s">
        <v>34</v>
      </c>
      <c r="C623" t="s">
        <v>613</v>
      </c>
      <c r="D623" t="s">
        <v>614</v>
      </c>
      <c r="E623" t="s">
        <v>37</v>
      </c>
      <c r="F623" t="s">
        <v>615</v>
      </c>
      <c r="G623" t="s">
        <v>39</v>
      </c>
      <c r="H623" t="s">
        <v>40</v>
      </c>
      <c r="I623" t="s">
        <v>41</v>
      </c>
      <c r="J623" t="s">
        <v>37</v>
      </c>
      <c r="K623" t="s">
        <v>37</v>
      </c>
      <c r="L623" t="s">
        <v>42</v>
      </c>
      <c r="M623" s="6">
        <v>45695.291666666664</v>
      </c>
      <c r="N623" t="s">
        <v>4268</v>
      </c>
      <c r="O623" s="1">
        <v>45695</v>
      </c>
      <c r="P623" s="1">
        <v>45693.875034722223</v>
      </c>
      <c r="Q623" t="s">
        <v>4268</v>
      </c>
      <c r="R623" s="6">
        <v>45695.416666666664</v>
      </c>
      <c r="S623" t="s">
        <v>43</v>
      </c>
      <c r="T623">
        <v>23.8</v>
      </c>
      <c r="U623">
        <v>0</v>
      </c>
      <c r="V623">
        <v>23.8</v>
      </c>
      <c r="W623">
        <v>1.19</v>
      </c>
      <c r="X623">
        <v>0</v>
      </c>
      <c r="Y623">
        <v>0</v>
      </c>
      <c r="Z623">
        <v>24.99</v>
      </c>
      <c r="AA623" t="s">
        <v>44</v>
      </c>
      <c r="AB623" t="s">
        <v>45</v>
      </c>
      <c r="AC623" t="s">
        <v>46</v>
      </c>
      <c r="AD623" t="s">
        <v>37</v>
      </c>
      <c r="AE623" t="s">
        <v>37</v>
      </c>
      <c r="AF623" t="s">
        <v>2420</v>
      </c>
      <c r="AG623" t="s">
        <v>37</v>
      </c>
      <c r="AH623" t="s">
        <v>613</v>
      </c>
      <c r="AI623" t="s">
        <v>37</v>
      </c>
    </row>
    <row r="624" spans="1:35" x14ac:dyDescent="0.25">
      <c r="A624" t="s">
        <v>2408</v>
      </c>
      <c r="B624" t="s">
        <v>34</v>
      </c>
      <c r="C624" t="s">
        <v>2409</v>
      </c>
      <c r="D624" t="s">
        <v>2410</v>
      </c>
      <c r="E624" t="s">
        <v>37</v>
      </c>
      <c r="F624" t="s">
        <v>2411</v>
      </c>
      <c r="G624" t="s">
        <v>39</v>
      </c>
      <c r="H624" t="s">
        <v>40</v>
      </c>
      <c r="I624" t="s">
        <v>41</v>
      </c>
      <c r="J624" t="s">
        <v>37</v>
      </c>
      <c r="K624" t="s">
        <v>37</v>
      </c>
      <c r="L624" t="s">
        <v>42</v>
      </c>
      <c r="M624" s="6">
        <v>45703.291666666664</v>
      </c>
      <c r="N624" t="s">
        <v>4265</v>
      </c>
      <c r="O624" s="1">
        <v>45703</v>
      </c>
      <c r="P624" s="1">
        <v>45679.657083333332</v>
      </c>
      <c r="Q624" t="s">
        <v>4265</v>
      </c>
      <c r="R624" s="6">
        <v>45703.416666666664</v>
      </c>
      <c r="S624" t="s">
        <v>43</v>
      </c>
      <c r="T624">
        <v>23.8</v>
      </c>
      <c r="U624">
        <v>0</v>
      </c>
      <c r="V624">
        <v>23.8</v>
      </c>
      <c r="W624">
        <v>1.19</v>
      </c>
      <c r="X624">
        <v>0</v>
      </c>
      <c r="Y624">
        <v>0</v>
      </c>
      <c r="Z624">
        <v>24.99</v>
      </c>
      <c r="AA624" t="s">
        <v>44</v>
      </c>
      <c r="AB624" t="s">
        <v>45</v>
      </c>
      <c r="AC624" t="s">
        <v>46</v>
      </c>
      <c r="AD624" t="s">
        <v>37</v>
      </c>
      <c r="AE624" t="s">
        <v>37</v>
      </c>
      <c r="AF624" t="s">
        <v>2412</v>
      </c>
      <c r="AG624" t="s">
        <v>37</v>
      </c>
      <c r="AH624" t="s">
        <v>2409</v>
      </c>
      <c r="AI624" t="s">
        <v>37</v>
      </c>
    </row>
    <row r="625" spans="1:35" x14ac:dyDescent="0.25">
      <c r="A625" t="s">
        <v>2417</v>
      </c>
      <c r="B625" t="s">
        <v>34</v>
      </c>
      <c r="C625" t="s">
        <v>107</v>
      </c>
      <c r="D625" t="s">
        <v>108</v>
      </c>
      <c r="E625" t="s">
        <v>37</v>
      </c>
      <c r="F625" t="s">
        <v>109</v>
      </c>
      <c r="G625" t="s">
        <v>39</v>
      </c>
      <c r="H625" t="s">
        <v>40</v>
      </c>
      <c r="I625" t="s">
        <v>41</v>
      </c>
      <c r="J625" t="s">
        <v>37</v>
      </c>
      <c r="K625" t="s">
        <v>37</v>
      </c>
      <c r="L625" t="s">
        <v>42</v>
      </c>
      <c r="M625" s="6">
        <v>45704.291666666664</v>
      </c>
      <c r="N625" t="s">
        <v>4266</v>
      </c>
      <c r="O625" s="1">
        <v>45704</v>
      </c>
      <c r="P625" s="1">
        <v>45701.369722222225</v>
      </c>
      <c r="Q625" t="s">
        <v>4266</v>
      </c>
      <c r="R625" s="6">
        <v>45704.416666666664</v>
      </c>
      <c r="S625" t="s">
        <v>43</v>
      </c>
      <c r="T625">
        <v>23.8</v>
      </c>
      <c r="U625">
        <v>0</v>
      </c>
      <c r="V625">
        <v>23.8</v>
      </c>
      <c r="W625">
        <v>1.19</v>
      </c>
      <c r="X625">
        <v>0</v>
      </c>
      <c r="Y625">
        <v>0</v>
      </c>
      <c r="Z625">
        <v>24.99</v>
      </c>
      <c r="AA625" t="s">
        <v>44</v>
      </c>
      <c r="AB625" t="s">
        <v>45</v>
      </c>
      <c r="AC625" t="s">
        <v>46</v>
      </c>
      <c r="AD625" t="s">
        <v>37</v>
      </c>
      <c r="AE625" t="s">
        <v>37</v>
      </c>
      <c r="AF625" t="s">
        <v>2418</v>
      </c>
      <c r="AG625" t="s">
        <v>37</v>
      </c>
      <c r="AH625" t="s">
        <v>107</v>
      </c>
      <c r="AI625" t="s">
        <v>37</v>
      </c>
    </row>
    <row r="626" spans="1:35" x14ac:dyDescent="0.25">
      <c r="A626" t="s">
        <v>2421</v>
      </c>
      <c r="B626" t="s">
        <v>34</v>
      </c>
      <c r="C626" t="s">
        <v>1901</v>
      </c>
      <c r="D626" t="s">
        <v>1902</v>
      </c>
      <c r="E626" t="s">
        <v>37</v>
      </c>
      <c r="F626" t="s">
        <v>1903</v>
      </c>
      <c r="G626" t="s">
        <v>39</v>
      </c>
      <c r="H626" t="s">
        <v>40</v>
      </c>
      <c r="I626" t="s">
        <v>41</v>
      </c>
      <c r="J626" t="s">
        <v>37</v>
      </c>
      <c r="K626" t="s">
        <v>37</v>
      </c>
      <c r="L626" t="s">
        <v>42</v>
      </c>
      <c r="M626" s="6">
        <v>45704.291666666664</v>
      </c>
      <c r="N626" t="s">
        <v>4266</v>
      </c>
      <c r="O626" s="1">
        <v>45704</v>
      </c>
      <c r="P626" s="1">
        <v>45702.303912037038</v>
      </c>
      <c r="Q626" t="s">
        <v>4266</v>
      </c>
      <c r="R626" s="6">
        <v>45704.416666666664</v>
      </c>
      <c r="S626" t="s">
        <v>43</v>
      </c>
      <c r="T626">
        <v>23.8</v>
      </c>
      <c r="U626">
        <v>0</v>
      </c>
      <c r="V626">
        <v>23.8</v>
      </c>
      <c r="W626">
        <v>1.19</v>
      </c>
      <c r="X626">
        <v>0</v>
      </c>
      <c r="Y626">
        <v>0</v>
      </c>
      <c r="Z626">
        <v>24.99</v>
      </c>
      <c r="AA626" t="s">
        <v>44</v>
      </c>
      <c r="AB626" t="s">
        <v>45</v>
      </c>
      <c r="AC626" t="s">
        <v>46</v>
      </c>
      <c r="AD626" t="s">
        <v>37</v>
      </c>
      <c r="AE626" t="s">
        <v>37</v>
      </c>
      <c r="AF626" t="s">
        <v>2422</v>
      </c>
      <c r="AG626" t="s">
        <v>37</v>
      </c>
      <c r="AH626" t="s">
        <v>1901</v>
      </c>
      <c r="AI626" t="s">
        <v>37</v>
      </c>
    </row>
    <row r="627" spans="1:35" x14ac:dyDescent="0.25">
      <c r="A627" t="s">
        <v>2423</v>
      </c>
      <c r="B627" t="s">
        <v>34</v>
      </c>
      <c r="C627" t="s">
        <v>2424</v>
      </c>
      <c r="D627" t="s">
        <v>2425</v>
      </c>
      <c r="E627" t="s">
        <v>37</v>
      </c>
      <c r="F627" t="s">
        <v>2426</v>
      </c>
      <c r="G627" t="s">
        <v>39</v>
      </c>
      <c r="H627" t="s">
        <v>40</v>
      </c>
      <c r="I627" t="s">
        <v>41</v>
      </c>
      <c r="J627" t="s">
        <v>37</v>
      </c>
      <c r="K627" t="s">
        <v>37</v>
      </c>
      <c r="L627" t="s">
        <v>42</v>
      </c>
      <c r="M627" s="6">
        <v>45704.291666666664</v>
      </c>
      <c r="N627" t="s">
        <v>4266</v>
      </c>
      <c r="O627" s="1">
        <v>45704</v>
      </c>
      <c r="P627" s="1">
        <v>45703.855347222219</v>
      </c>
      <c r="Q627" t="s">
        <v>4266</v>
      </c>
      <c r="R627" s="6">
        <v>45704.416666666664</v>
      </c>
      <c r="S627" t="s">
        <v>43</v>
      </c>
      <c r="T627">
        <v>23.8</v>
      </c>
      <c r="U627">
        <v>0</v>
      </c>
      <c r="V627">
        <v>23.8</v>
      </c>
      <c r="W627">
        <v>1.19</v>
      </c>
      <c r="X627">
        <v>0</v>
      </c>
      <c r="Y627">
        <v>0</v>
      </c>
      <c r="Z627">
        <v>24.99</v>
      </c>
      <c r="AA627" t="s">
        <v>44</v>
      </c>
      <c r="AB627" t="s">
        <v>45</v>
      </c>
      <c r="AC627" t="s">
        <v>46</v>
      </c>
      <c r="AD627" t="s">
        <v>37</v>
      </c>
      <c r="AE627" t="s">
        <v>37</v>
      </c>
      <c r="AF627" t="s">
        <v>2427</v>
      </c>
      <c r="AG627" t="s">
        <v>37</v>
      </c>
      <c r="AH627" t="s">
        <v>2424</v>
      </c>
      <c r="AI627" t="s">
        <v>37</v>
      </c>
    </row>
    <row r="628" spans="1:35" x14ac:dyDescent="0.25">
      <c r="A628" t="s">
        <v>2428</v>
      </c>
      <c r="B628" t="s">
        <v>34</v>
      </c>
      <c r="C628" t="s">
        <v>1049</v>
      </c>
      <c r="D628" t="s">
        <v>1050</v>
      </c>
      <c r="E628" t="s">
        <v>37</v>
      </c>
      <c r="F628" t="s">
        <v>1051</v>
      </c>
      <c r="G628" t="s">
        <v>39</v>
      </c>
      <c r="H628" t="s">
        <v>40</v>
      </c>
      <c r="I628" t="s">
        <v>41</v>
      </c>
      <c r="J628" t="s">
        <v>37</v>
      </c>
      <c r="K628" t="s">
        <v>37</v>
      </c>
      <c r="L628" t="s">
        <v>42</v>
      </c>
      <c r="M628" s="6">
        <v>45704.291666666664</v>
      </c>
      <c r="N628" t="s">
        <v>4266</v>
      </c>
      <c r="O628" s="1">
        <v>45704</v>
      </c>
      <c r="P628" s="1">
        <v>45704.495821759258</v>
      </c>
      <c r="Q628" t="s">
        <v>4266</v>
      </c>
      <c r="R628" s="6">
        <v>45704.416666666664</v>
      </c>
      <c r="S628" t="s">
        <v>43</v>
      </c>
      <c r="T628">
        <v>23.8</v>
      </c>
      <c r="U628">
        <v>0</v>
      </c>
      <c r="V628">
        <v>23.8</v>
      </c>
      <c r="W628">
        <v>1.19</v>
      </c>
      <c r="X628">
        <v>0</v>
      </c>
      <c r="Y628">
        <v>0</v>
      </c>
      <c r="Z628">
        <v>24.99</v>
      </c>
      <c r="AA628" t="s">
        <v>44</v>
      </c>
      <c r="AB628" t="s">
        <v>45</v>
      </c>
      <c r="AC628" t="s">
        <v>46</v>
      </c>
      <c r="AD628" t="s">
        <v>37</v>
      </c>
      <c r="AE628" t="s">
        <v>37</v>
      </c>
      <c r="AF628" t="s">
        <v>2429</v>
      </c>
      <c r="AG628" t="s">
        <v>37</v>
      </c>
      <c r="AH628" t="s">
        <v>1053</v>
      </c>
      <c r="AI628" t="s">
        <v>37</v>
      </c>
    </row>
    <row r="629" spans="1:35" x14ac:dyDescent="0.25">
      <c r="A629" t="s">
        <v>2444</v>
      </c>
      <c r="B629" t="s">
        <v>34</v>
      </c>
      <c r="C629" t="s">
        <v>2445</v>
      </c>
      <c r="D629" t="s">
        <v>2446</v>
      </c>
      <c r="E629" t="s">
        <v>37</v>
      </c>
      <c r="F629" t="s">
        <v>2447</v>
      </c>
      <c r="G629" t="s">
        <v>39</v>
      </c>
      <c r="H629" t="s">
        <v>40</v>
      </c>
      <c r="I629" t="s">
        <v>41</v>
      </c>
      <c r="J629" t="s">
        <v>37</v>
      </c>
      <c r="K629" t="s">
        <v>37</v>
      </c>
      <c r="L629" t="s">
        <v>42</v>
      </c>
      <c r="M629" s="6">
        <v>45705.291666666664</v>
      </c>
      <c r="N629" t="s">
        <v>4262</v>
      </c>
      <c r="O629" s="1">
        <v>45705</v>
      </c>
      <c r="P629" s="1">
        <v>45699.295937499999</v>
      </c>
      <c r="Q629" t="s">
        <v>4262</v>
      </c>
      <c r="R629" s="6">
        <v>45705.416666666664</v>
      </c>
      <c r="S629" t="s">
        <v>43</v>
      </c>
      <c r="T629">
        <v>23.8</v>
      </c>
      <c r="U629">
        <v>0</v>
      </c>
      <c r="V629">
        <v>23.8</v>
      </c>
      <c r="W629">
        <v>1.19</v>
      </c>
      <c r="X629">
        <v>0</v>
      </c>
      <c r="Y629">
        <v>0</v>
      </c>
      <c r="Z629">
        <v>24.99</v>
      </c>
      <c r="AA629" t="s">
        <v>44</v>
      </c>
      <c r="AB629" t="s">
        <v>45</v>
      </c>
      <c r="AC629" t="s">
        <v>46</v>
      </c>
      <c r="AD629" t="s">
        <v>37</v>
      </c>
      <c r="AE629" t="s">
        <v>37</v>
      </c>
      <c r="AF629" t="s">
        <v>2448</v>
      </c>
      <c r="AG629" t="s">
        <v>37</v>
      </c>
      <c r="AH629" t="s">
        <v>2445</v>
      </c>
      <c r="AI629" t="s">
        <v>37</v>
      </c>
    </row>
    <row r="630" spans="1:35" x14ac:dyDescent="0.25">
      <c r="A630" t="s">
        <v>2430</v>
      </c>
      <c r="B630" t="s">
        <v>34</v>
      </c>
      <c r="C630" t="s">
        <v>2431</v>
      </c>
      <c r="D630" t="s">
        <v>2432</v>
      </c>
      <c r="E630" t="s">
        <v>37</v>
      </c>
      <c r="F630" t="s">
        <v>2433</v>
      </c>
      <c r="G630" t="s">
        <v>39</v>
      </c>
      <c r="H630" t="s">
        <v>40</v>
      </c>
      <c r="I630" t="s">
        <v>41</v>
      </c>
      <c r="J630" t="s">
        <v>37</v>
      </c>
      <c r="K630" t="s">
        <v>37</v>
      </c>
      <c r="L630" t="s">
        <v>42</v>
      </c>
      <c r="M630" s="6">
        <v>45710.291666666664</v>
      </c>
      <c r="N630" t="s">
        <v>4265</v>
      </c>
      <c r="O630" s="1">
        <v>45710</v>
      </c>
      <c r="P630" s="1">
        <v>45696.637673611112</v>
      </c>
      <c r="Q630" t="s">
        <v>4265</v>
      </c>
      <c r="R630" s="6">
        <v>45710.416666666664</v>
      </c>
      <c r="S630" t="s">
        <v>43</v>
      </c>
      <c r="T630">
        <v>47.6</v>
      </c>
      <c r="U630">
        <v>0</v>
      </c>
      <c r="V630">
        <v>47.6</v>
      </c>
      <c r="W630">
        <v>2.38</v>
      </c>
      <c r="X630">
        <v>0</v>
      </c>
      <c r="Y630">
        <v>0</v>
      </c>
      <c r="Z630">
        <v>49.98</v>
      </c>
      <c r="AA630" t="s">
        <v>44</v>
      </c>
      <c r="AB630" t="s">
        <v>45</v>
      </c>
      <c r="AC630" t="s">
        <v>46</v>
      </c>
      <c r="AD630" t="s">
        <v>37</v>
      </c>
      <c r="AE630" t="s">
        <v>37</v>
      </c>
      <c r="AF630" t="s">
        <v>2434</v>
      </c>
      <c r="AG630" t="s">
        <v>37</v>
      </c>
      <c r="AH630" t="s">
        <v>2435</v>
      </c>
      <c r="AI630" t="s">
        <v>37</v>
      </c>
    </row>
    <row r="631" spans="1:35" x14ac:dyDescent="0.25">
      <c r="A631" t="s">
        <v>2437</v>
      </c>
      <c r="B631" t="s">
        <v>34</v>
      </c>
      <c r="C631" t="s">
        <v>2045</v>
      </c>
      <c r="D631" t="s">
        <v>2046</v>
      </c>
      <c r="E631" t="s">
        <v>37</v>
      </c>
      <c r="F631" t="s">
        <v>2047</v>
      </c>
      <c r="G631" t="s">
        <v>39</v>
      </c>
      <c r="H631" t="s">
        <v>40</v>
      </c>
      <c r="I631" t="s">
        <v>41</v>
      </c>
      <c r="J631" t="s">
        <v>37</v>
      </c>
      <c r="K631" t="s">
        <v>37</v>
      </c>
      <c r="L631" t="s">
        <v>42</v>
      </c>
      <c r="M631" s="6">
        <v>45710.291666666664</v>
      </c>
      <c r="N631" t="s">
        <v>4265</v>
      </c>
      <c r="O631" s="1">
        <v>45710</v>
      </c>
      <c r="P631" s="1">
        <v>45697.712638888886</v>
      </c>
      <c r="Q631" t="s">
        <v>4265</v>
      </c>
      <c r="R631" s="6">
        <v>45710.416666666664</v>
      </c>
      <c r="S631" t="s">
        <v>43</v>
      </c>
      <c r="T631">
        <v>23.8</v>
      </c>
      <c r="U631">
        <v>0</v>
      </c>
      <c r="V631">
        <v>23.8</v>
      </c>
      <c r="W631">
        <v>1.19</v>
      </c>
      <c r="X631">
        <v>0</v>
      </c>
      <c r="Y631">
        <v>0</v>
      </c>
      <c r="Z631">
        <v>24.99</v>
      </c>
      <c r="AA631" t="s">
        <v>44</v>
      </c>
      <c r="AB631" t="s">
        <v>45</v>
      </c>
      <c r="AC631" t="s">
        <v>46</v>
      </c>
      <c r="AD631" t="s">
        <v>37</v>
      </c>
      <c r="AE631" t="s">
        <v>37</v>
      </c>
      <c r="AF631" t="s">
        <v>2438</v>
      </c>
      <c r="AG631" t="s">
        <v>37</v>
      </c>
      <c r="AH631" t="s">
        <v>2045</v>
      </c>
      <c r="AI631" t="s">
        <v>37</v>
      </c>
    </row>
    <row r="632" spans="1:35" x14ac:dyDescent="0.25">
      <c r="A632" t="s">
        <v>2439</v>
      </c>
      <c r="B632" t="s">
        <v>34</v>
      </c>
      <c r="C632" t="s">
        <v>2440</v>
      </c>
      <c r="D632" t="s">
        <v>2441</v>
      </c>
      <c r="E632" t="s">
        <v>37</v>
      </c>
      <c r="F632" t="s">
        <v>2442</v>
      </c>
      <c r="G632" t="s">
        <v>39</v>
      </c>
      <c r="H632" t="s">
        <v>40</v>
      </c>
      <c r="I632" t="s">
        <v>41</v>
      </c>
      <c r="J632" t="s">
        <v>37</v>
      </c>
      <c r="K632" t="s">
        <v>37</v>
      </c>
      <c r="L632" t="s">
        <v>42</v>
      </c>
      <c r="M632" s="6">
        <v>45710.291666666664</v>
      </c>
      <c r="N632" t="s">
        <v>4265</v>
      </c>
      <c r="O632" s="1">
        <v>45710</v>
      </c>
      <c r="P632" s="1">
        <v>45708.877696759257</v>
      </c>
      <c r="Q632" t="s">
        <v>4265</v>
      </c>
      <c r="R632" s="6">
        <v>45710.416666666664</v>
      </c>
      <c r="S632" t="s">
        <v>43</v>
      </c>
      <c r="T632">
        <v>23.8</v>
      </c>
      <c r="U632">
        <v>0</v>
      </c>
      <c r="V632">
        <v>23.8</v>
      </c>
      <c r="W632">
        <v>1.19</v>
      </c>
      <c r="X632">
        <v>0</v>
      </c>
      <c r="Y632">
        <v>0</v>
      </c>
      <c r="Z632">
        <v>24.99</v>
      </c>
      <c r="AA632" t="s">
        <v>44</v>
      </c>
      <c r="AB632" t="s">
        <v>45</v>
      </c>
      <c r="AC632" t="s">
        <v>46</v>
      </c>
      <c r="AD632" t="s">
        <v>37</v>
      </c>
      <c r="AE632" t="s">
        <v>37</v>
      </c>
      <c r="AF632" t="s">
        <v>2443</v>
      </c>
      <c r="AG632" t="s">
        <v>37</v>
      </c>
      <c r="AH632" t="s">
        <v>2440</v>
      </c>
      <c r="AI632" t="s">
        <v>37</v>
      </c>
    </row>
    <row r="633" spans="1:35" x14ac:dyDescent="0.25">
      <c r="A633" t="s">
        <v>2436</v>
      </c>
      <c r="B633" t="s">
        <v>34</v>
      </c>
      <c r="C633" t="s">
        <v>2431</v>
      </c>
      <c r="D633" t="s">
        <v>2432</v>
      </c>
      <c r="E633" t="s">
        <v>37</v>
      </c>
      <c r="F633" t="s">
        <v>2433</v>
      </c>
      <c r="G633" t="s">
        <v>39</v>
      </c>
      <c r="H633" t="s">
        <v>40</v>
      </c>
      <c r="I633" t="s">
        <v>41</v>
      </c>
      <c r="J633" t="s">
        <v>37</v>
      </c>
      <c r="K633" t="s">
        <v>37</v>
      </c>
      <c r="L633" t="s">
        <v>42</v>
      </c>
      <c r="M633" s="6">
        <v>45711.291666666664</v>
      </c>
      <c r="N633" t="s">
        <v>4266</v>
      </c>
      <c r="O633" s="1">
        <v>45711</v>
      </c>
      <c r="P633" s="1">
        <v>45696.637673611112</v>
      </c>
      <c r="Q633" t="s">
        <v>4266</v>
      </c>
      <c r="R633" s="6">
        <v>45711.416666666664</v>
      </c>
      <c r="S633" t="s">
        <v>43</v>
      </c>
      <c r="T633">
        <v>47.6</v>
      </c>
      <c r="U633">
        <v>0</v>
      </c>
      <c r="V633">
        <v>47.6</v>
      </c>
      <c r="W633">
        <v>2.38</v>
      </c>
      <c r="X633">
        <v>0</v>
      </c>
      <c r="Y633">
        <v>0</v>
      </c>
      <c r="Z633">
        <v>49.98</v>
      </c>
      <c r="AA633" t="s">
        <v>44</v>
      </c>
      <c r="AB633" t="s">
        <v>45</v>
      </c>
      <c r="AC633" t="s">
        <v>46</v>
      </c>
      <c r="AD633" t="s">
        <v>37</v>
      </c>
      <c r="AE633" t="s">
        <v>37</v>
      </c>
      <c r="AF633" t="s">
        <v>2434</v>
      </c>
      <c r="AG633" t="s">
        <v>37</v>
      </c>
      <c r="AH633" t="s">
        <v>2435</v>
      </c>
      <c r="AI633" t="s">
        <v>37</v>
      </c>
    </row>
    <row r="634" spans="1:35" x14ac:dyDescent="0.25">
      <c r="A634" t="s">
        <v>2449</v>
      </c>
      <c r="B634" t="s">
        <v>34</v>
      </c>
      <c r="C634" t="s">
        <v>586</v>
      </c>
      <c r="D634" t="s">
        <v>587</v>
      </c>
      <c r="E634" t="s">
        <v>37</v>
      </c>
      <c r="F634" t="s">
        <v>2450</v>
      </c>
      <c r="G634" t="s">
        <v>39</v>
      </c>
      <c r="H634" t="s">
        <v>40</v>
      </c>
      <c r="I634" t="s">
        <v>41</v>
      </c>
      <c r="J634" t="s">
        <v>37</v>
      </c>
      <c r="K634" t="s">
        <v>37</v>
      </c>
      <c r="L634" t="s">
        <v>42</v>
      </c>
      <c r="M634" s="6">
        <v>45716.291666666664</v>
      </c>
      <c r="N634" t="s">
        <v>4268</v>
      </c>
      <c r="O634" s="1">
        <v>45716</v>
      </c>
      <c r="P634" s="1">
        <v>45714.409456018519</v>
      </c>
      <c r="Q634" t="s">
        <v>4268</v>
      </c>
      <c r="R634" s="6">
        <v>45716.416666666664</v>
      </c>
      <c r="S634" t="s">
        <v>43</v>
      </c>
      <c r="T634">
        <v>23.8</v>
      </c>
      <c r="U634">
        <v>0</v>
      </c>
      <c r="V634">
        <v>23.8</v>
      </c>
      <c r="W634">
        <v>1.19</v>
      </c>
      <c r="X634">
        <v>0</v>
      </c>
      <c r="Y634">
        <v>0</v>
      </c>
      <c r="Z634">
        <v>24.99</v>
      </c>
      <c r="AA634" t="s">
        <v>44</v>
      </c>
      <c r="AB634" t="s">
        <v>45</v>
      </c>
      <c r="AC634" t="s">
        <v>46</v>
      </c>
      <c r="AD634" t="s">
        <v>37</v>
      </c>
      <c r="AE634" t="s">
        <v>37</v>
      </c>
      <c r="AF634" t="s">
        <v>2451</v>
      </c>
      <c r="AG634" t="s">
        <v>37</v>
      </c>
      <c r="AH634" t="s">
        <v>586</v>
      </c>
      <c r="AI634" t="s">
        <v>37</v>
      </c>
    </row>
    <row r="635" spans="1:35" x14ac:dyDescent="0.25">
      <c r="A635" t="s">
        <v>2452</v>
      </c>
      <c r="B635" t="s">
        <v>34</v>
      </c>
      <c r="C635" t="s">
        <v>1838</v>
      </c>
      <c r="D635" t="s">
        <v>1839</v>
      </c>
      <c r="E635" t="s">
        <v>37</v>
      </c>
      <c r="F635" t="s">
        <v>2320</v>
      </c>
      <c r="G635" t="s">
        <v>39</v>
      </c>
      <c r="H635" t="s">
        <v>40</v>
      </c>
      <c r="I635" t="s">
        <v>41</v>
      </c>
      <c r="J635" t="s">
        <v>37</v>
      </c>
      <c r="K635" t="s">
        <v>37</v>
      </c>
      <c r="L635" t="s">
        <v>42</v>
      </c>
      <c r="M635" s="6">
        <v>45716.291666666664</v>
      </c>
      <c r="N635" t="s">
        <v>4268</v>
      </c>
      <c r="O635" s="1">
        <v>45716</v>
      </c>
      <c r="P635" s="1">
        <v>45716.403449074074</v>
      </c>
      <c r="Q635" t="s">
        <v>4268</v>
      </c>
      <c r="R635" s="6">
        <v>45716.416666666664</v>
      </c>
      <c r="S635" t="s">
        <v>43</v>
      </c>
      <c r="T635">
        <v>23.8</v>
      </c>
      <c r="U635">
        <v>0</v>
      </c>
      <c r="V635">
        <v>23.8</v>
      </c>
      <c r="W635">
        <v>1.19</v>
      </c>
      <c r="X635">
        <v>0</v>
      </c>
      <c r="Y635">
        <v>0</v>
      </c>
      <c r="Z635">
        <v>24.99</v>
      </c>
      <c r="AA635" t="s">
        <v>44</v>
      </c>
      <c r="AB635" t="s">
        <v>45</v>
      </c>
      <c r="AC635" t="s">
        <v>46</v>
      </c>
      <c r="AD635" t="s">
        <v>37</v>
      </c>
      <c r="AE635" t="s">
        <v>37</v>
      </c>
      <c r="AF635" t="s">
        <v>2453</v>
      </c>
      <c r="AG635" t="s">
        <v>37</v>
      </c>
      <c r="AH635" t="s">
        <v>1842</v>
      </c>
      <c r="AI635" t="s">
        <v>37</v>
      </c>
    </row>
    <row r="636" spans="1:35" x14ac:dyDescent="0.25">
      <c r="A636" t="s">
        <v>2456</v>
      </c>
      <c r="B636" t="s">
        <v>34</v>
      </c>
      <c r="C636" t="s">
        <v>2457</v>
      </c>
      <c r="D636" t="s">
        <v>2458</v>
      </c>
      <c r="E636" t="s">
        <v>37</v>
      </c>
      <c r="F636" t="s">
        <v>2459</v>
      </c>
      <c r="G636" t="s">
        <v>39</v>
      </c>
      <c r="H636" t="s">
        <v>40</v>
      </c>
      <c r="I636" t="s">
        <v>41</v>
      </c>
      <c r="J636" t="s">
        <v>37</v>
      </c>
      <c r="K636" t="s">
        <v>37</v>
      </c>
      <c r="L636" t="s">
        <v>42</v>
      </c>
      <c r="M636" s="6">
        <v>45723.291666666664</v>
      </c>
      <c r="N636" t="s">
        <v>4268</v>
      </c>
      <c r="O636" s="1">
        <v>45723</v>
      </c>
      <c r="P636" s="1">
        <v>45721.881493055553</v>
      </c>
      <c r="Q636" t="s">
        <v>4268</v>
      </c>
      <c r="R636" s="6">
        <v>45723.416666666664</v>
      </c>
      <c r="S636" t="s">
        <v>43</v>
      </c>
      <c r="T636">
        <v>23.8</v>
      </c>
      <c r="U636">
        <v>0</v>
      </c>
      <c r="V636">
        <v>23.8</v>
      </c>
      <c r="W636">
        <v>1.19</v>
      </c>
      <c r="X636">
        <v>0</v>
      </c>
      <c r="Y636">
        <v>0</v>
      </c>
      <c r="Z636">
        <v>24.99</v>
      </c>
      <c r="AA636" t="s">
        <v>44</v>
      </c>
      <c r="AB636" t="s">
        <v>45</v>
      </c>
      <c r="AC636" t="s">
        <v>46</v>
      </c>
      <c r="AD636" t="s">
        <v>37</v>
      </c>
      <c r="AE636" t="s">
        <v>37</v>
      </c>
      <c r="AF636" t="s">
        <v>2460</v>
      </c>
      <c r="AG636" t="s">
        <v>37</v>
      </c>
      <c r="AH636" t="s">
        <v>2457</v>
      </c>
      <c r="AI636" t="s">
        <v>37</v>
      </c>
    </row>
    <row r="637" spans="1:35" x14ac:dyDescent="0.25">
      <c r="A637" t="s">
        <v>2485</v>
      </c>
      <c r="B637" t="s">
        <v>34</v>
      </c>
      <c r="C637" t="s">
        <v>1901</v>
      </c>
      <c r="D637" t="s">
        <v>1902</v>
      </c>
      <c r="E637" t="s">
        <v>37</v>
      </c>
      <c r="F637" t="s">
        <v>2486</v>
      </c>
      <c r="G637" t="s">
        <v>39</v>
      </c>
      <c r="H637" t="s">
        <v>40</v>
      </c>
      <c r="I637" t="s">
        <v>41</v>
      </c>
      <c r="J637" t="s">
        <v>37</v>
      </c>
      <c r="K637" t="s">
        <v>37</v>
      </c>
      <c r="L637" t="s">
        <v>42</v>
      </c>
      <c r="M637" s="6">
        <v>45724.291666666664</v>
      </c>
      <c r="N637" t="s">
        <v>4265</v>
      </c>
      <c r="O637" s="1">
        <v>45724</v>
      </c>
      <c r="P637" s="1">
        <v>45723.881944444445</v>
      </c>
      <c r="Q637" t="s">
        <v>4265</v>
      </c>
      <c r="R637" s="6">
        <v>45724.416666666664</v>
      </c>
      <c r="S637" t="s">
        <v>43</v>
      </c>
      <c r="T637">
        <v>23.8</v>
      </c>
      <c r="U637">
        <v>0</v>
      </c>
      <c r="V637">
        <v>23.8</v>
      </c>
      <c r="W637">
        <v>1.19</v>
      </c>
      <c r="X637">
        <v>0</v>
      </c>
      <c r="Y637">
        <v>0</v>
      </c>
      <c r="Z637">
        <v>24.99</v>
      </c>
      <c r="AA637" t="s">
        <v>44</v>
      </c>
      <c r="AB637" t="s">
        <v>45</v>
      </c>
      <c r="AC637" t="s">
        <v>46</v>
      </c>
      <c r="AD637" t="s">
        <v>37</v>
      </c>
      <c r="AE637" t="s">
        <v>37</v>
      </c>
      <c r="AF637" t="s">
        <v>2487</v>
      </c>
      <c r="AG637" t="s">
        <v>37</v>
      </c>
      <c r="AH637" t="s">
        <v>1901</v>
      </c>
      <c r="AI637" t="s">
        <v>37</v>
      </c>
    </row>
    <row r="638" spans="1:35" x14ac:dyDescent="0.25">
      <c r="A638" t="s">
        <v>2488</v>
      </c>
      <c r="B638" t="s">
        <v>34</v>
      </c>
      <c r="C638" t="s">
        <v>2489</v>
      </c>
      <c r="D638" t="s">
        <v>2490</v>
      </c>
      <c r="E638" t="s">
        <v>37</v>
      </c>
      <c r="F638" t="s">
        <v>2491</v>
      </c>
      <c r="G638" t="s">
        <v>39</v>
      </c>
      <c r="H638" t="s">
        <v>40</v>
      </c>
      <c r="I638" t="s">
        <v>41</v>
      </c>
      <c r="J638" t="s">
        <v>37</v>
      </c>
      <c r="K638" t="s">
        <v>37</v>
      </c>
      <c r="L638" t="s">
        <v>42</v>
      </c>
      <c r="M638" s="6">
        <v>45725.291666666664</v>
      </c>
      <c r="N638" t="s">
        <v>4265</v>
      </c>
      <c r="O638" s="1">
        <v>45724.958333333336</v>
      </c>
      <c r="P638" s="1">
        <v>45725.376273148147</v>
      </c>
      <c r="Q638" t="s">
        <v>4266</v>
      </c>
      <c r="R638" s="6">
        <v>45725.416666666664</v>
      </c>
      <c r="S638" t="s">
        <v>43</v>
      </c>
      <c r="T638">
        <v>23.8</v>
      </c>
      <c r="U638">
        <v>0</v>
      </c>
      <c r="V638">
        <v>23.8</v>
      </c>
      <c r="W638">
        <v>1.19</v>
      </c>
      <c r="X638">
        <v>0</v>
      </c>
      <c r="Y638">
        <v>0</v>
      </c>
      <c r="Z638">
        <v>24.99</v>
      </c>
      <c r="AA638" t="s">
        <v>44</v>
      </c>
      <c r="AB638" t="s">
        <v>45</v>
      </c>
      <c r="AC638" t="s">
        <v>46</v>
      </c>
      <c r="AD638" t="s">
        <v>37</v>
      </c>
      <c r="AE638" t="s">
        <v>37</v>
      </c>
      <c r="AF638" t="s">
        <v>2492</v>
      </c>
      <c r="AG638" t="s">
        <v>37</v>
      </c>
      <c r="AH638" t="s">
        <v>2493</v>
      </c>
      <c r="AI638" t="s">
        <v>37</v>
      </c>
    </row>
    <row r="639" spans="1:35" x14ac:dyDescent="0.25">
      <c r="A639" t="s">
        <v>2454</v>
      </c>
      <c r="B639" t="s">
        <v>34</v>
      </c>
      <c r="C639" t="s">
        <v>1525</v>
      </c>
      <c r="D639" t="s">
        <v>1526</v>
      </c>
      <c r="E639" t="s">
        <v>37</v>
      </c>
      <c r="F639" t="s">
        <v>1527</v>
      </c>
      <c r="G639" t="s">
        <v>39</v>
      </c>
      <c r="H639" t="s">
        <v>40</v>
      </c>
      <c r="I639" t="s">
        <v>41</v>
      </c>
      <c r="J639" t="s">
        <v>37</v>
      </c>
      <c r="K639" t="s">
        <v>37</v>
      </c>
      <c r="L639" t="s">
        <v>42</v>
      </c>
      <c r="M639" s="6">
        <v>45731.291666666664</v>
      </c>
      <c r="N639" t="s">
        <v>4265</v>
      </c>
      <c r="O639" s="1">
        <v>45731</v>
      </c>
      <c r="P639" s="1">
        <v>45729.845625000002</v>
      </c>
      <c r="Q639" t="s">
        <v>4265</v>
      </c>
      <c r="R639" s="6">
        <v>45731.416666666664</v>
      </c>
      <c r="S639" t="s">
        <v>43</v>
      </c>
      <c r="T639">
        <v>23.8</v>
      </c>
      <c r="U639">
        <v>0</v>
      </c>
      <c r="V639">
        <v>23.8</v>
      </c>
      <c r="W639">
        <v>1.19</v>
      </c>
      <c r="X639">
        <v>0</v>
      </c>
      <c r="Y639">
        <v>0</v>
      </c>
      <c r="Z639">
        <v>24.99</v>
      </c>
      <c r="AA639" t="s">
        <v>44</v>
      </c>
      <c r="AB639" t="s">
        <v>45</v>
      </c>
      <c r="AC639" t="s">
        <v>46</v>
      </c>
      <c r="AD639" t="s">
        <v>37</v>
      </c>
      <c r="AE639" t="s">
        <v>37</v>
      </c>
      <c r="AF639" t="s">
        <v>2455</v>
      </c>
      <c r="AG639" t="s">
        <v>37</v>
      </c>
      <c r="AH639" t="s">
        <v>1525</v>
      </c>
      <c r="AI639" t="s">
        <v>37</v>
      </c>
    </row>
    <row r="640" spans="1:35" x14ac:dyDescent="0.25">
      <c r="A640" t="s">
        <v>2461</v>
      </c>
      <c r="B640" t="s">
        <v>34</v>
      </c>
      <c r="C640" t="s">
        <v>2462</v>
      </c>
      <c r="D640" t="s">
        <v>2463</v>
      </c>
      <c r="E640" t="s">
        <v>37</v>
      </c>
      <c r="F640" t="s">
        <v>2464</v>
      </c>
      <c r="G640" t="s">
        <v>39</v>
      </c>
      <c r="H640" t="s">
        <v>40</v>
      </c>
      <c r="I640" t="s">
        <v>41</v>
      </c>
      <c r="J640" t="s">
        <v>37</v>
      </c>
      <c r="K640" t="s">
        <v>37</v>
      </c>
      <c r="L640" t="s">
        <v>42</v>
      </c>
      <c r="M640" s="6">
        <v>45731.291666666664</v>
      </c>
      <c r="N640" t="s">
        <v>4265</v>
      </c>
      <c r="O640" s="1">
        <v>45731</v>
      </c>
      <c r="P640" s="1">
        <v>45730.545034722221</v>
      </c>
      <c r="Q640" t="s">
        <v>4265</v>
      </c>
      <c r="R640" s="6">
        <v>45731.416666666664</v>
      </c>
      <c r="S640" t="s">
        <v>43</v>
      </c>
      <c r="T640">
        <v>23.8</v>
      </c>
      <c r="U640">
        <v>0</v>
      </c>
      <c r="V640">
        <v>23.8</v>
      </c>
      <c r="W640">
        <v>1.19</v>
      </c>
      <c r="X640">
        <v>0</v>
      </c>
      <c r="Y640">
        <v>0</v>
      </c>
      <c r="Z640">
        <v>24.99</v>
      </c>
      <c r="AA640" t="s">
        <v>44</v>
      </c>
      <c r="AB640" t="s">
        <v>45</v>
      </c>
      <c r="AC640" t="s">
        <v>46</v>
      </c>
      <c r="AD640" t="s">
        <v>37</v>
      </c>
      <c r="AE640" t="s">
        <v>37</v>
      </c>
      <c r="AF640" t="s">
        <v>2465</v>
      </c>
      <c r="AG640" t="s">
        <v>37</v>
      </c>
      <c r="AH640" t="s">
        <v>2466</v>
      </c>
      <c r="AI640" t="s">
        <v>37</v>
      </c>
    </row>
    <row r="641" spans="1:35" x14ac:dyDescent="0.25">
      <c r="A641" t="s">
        <v>2467</v>
      </c>
      <c r="B641" t="s">
        <v>34</v>
      </c>
      <c r="C641" t="s">
        <v>2468</v>
      </c>
      <c r="D641" t="s">
        <v>2469</v>
      </c>
      <c r="E641" t="s">
        <v>37</v>
      </c>
      <c r="F641" t="s">
        <v>2470</v>
      </c>
      <c r="G641" t="s">
        <v>39</v>
      </c>
      <c r="H641" t="s">
        <v>40</v>
      </c>
      <c r="I641" t="s">
        <v>41</v>
      </c>
      <c r="J641" t="s">
        <v>37</v>
      </c>
      <c r="K641" t="s">
        <v>37</v>
      </c>
      <c r="L641" t="s">
        <v>42</v>
      </c>
      <c r="M641" s="6">
        <v>45731.291666666664</v>
      </c>
      <c r="N641" t="s">
        <v>4265</v>
      </c>
      <c r="O641" s="1">
        <v>45731</v>
      </c>
      <c r="P641" s="1">
        <v>45730.745925925927</v>
      </c>
      <c r="Q641" t="s">
        <v>4265</v>
      </c>
      <c r="R641" s="6">
        <v>45731.416666666664</v>
      </c>
      <c r="S641" t="s">
        <v>43</v>
      </c>
      <c r="T641">
        <v>23.8</v>
      </c>
      <c r="U641">
        <v>0</v>
      </c>
      <c r="V641">
        <v>23.8</v>
      </c>
      <c r="W641">
        <v>1.19</v>
      </c>
      <c r="X641">
        <v>0</v>
      </c>
      <c r="Y641">
        <v>0</v>
      </c>
      <c r="Z641">
        <v>24.99</v>
      </c>
      <c r="AA641" t="s">
        <v>44</v>
      </c>
      <c r="AB641" t="s">
        <v>45</v>
      </c>
      <c r="AC641" t="s">
        <v>46</v>
      </c>
      <c r="AD641" t="s">
        <v>37</v>
      </c>
      <c r="AE641" t="s">
        <v>37</v>
      </c>
      <c r="AF641" t="s">
        <v>2471</v>
      </c>
      <c r="AG641" t="s">
        <v>37</v>
      </c>
      <c r="AH641" t="s">
        <v>2468</v>
      </c>
      <c r="AI641" t="s">
        <v>37</v>
      </c>
    </row>
    <row r="642" spans="1:35" x14ac:dyDescent="0.25">
      <c r="A642" t="s">
        <v>2472</v>
      </c>
      <c r="B642" t="s">
        <v>34</v>
      </c>
      <c r="C642" t="s">
        <v>2473</v>
      </c>
      <c r="D642" t="s">
        <v>2474</v>
      </c>
      <c r="E642" t="s">
        <v>37</v>
      </c>
      <c r="F642" t="s">
        <v>2475</v>
      </c>
      <c r="G642" t="s">
        <v>39</v>
      </c>
      <c r="H642" t="s">
        <v>40</v>
      </c>
      <c r="I642" t="s">
        <v>41</v>
      </c>
      <c r="J642" t="s">
        <v>37</v>
      </c>
      <c r="K642" t="s">
        <v>37</v>
      </c>
      <c r="L642" t="s">
        <v>42</v>
      </c>
      <c r="M642" s="6">
        <v>45731.291666666664</v>
      </c>
      <c r="N642" t="s">
        <v>4265</v>
      </c>
      <c r="O642" s="1">
        <v>45731</v>
      </c>
      <c r="P642" s="1">
        <v>45730.851817129631</v>
      </c>
      <c r="Q642" t="s">
        <v>4265</v>
      </c>
      <c r="R642" s="6">
        <v>45731.416666666664</v>
      </c>
      <c r="S642" t="s">
        <v>43</v>
      </c>
      <c r="T642">
        <v>23.8</v>
      </c>
      <c r="U642">
        <v>0</v>
      </c>
      <c r="V642">
        <v>23.8</v>
      </c>
      <c r="W642">
        <v>1.19</v>
      </c>
      <c r="X642">
        <v>0</v>
      </c>
      <c r="Y642">
        <v>0</v>
      </c>
      <c r="Z642">
        <v>24.99</v>
      </c>
      <c r="AA642" t="s">
        <v>44</v>
      </c>
      <c r="AB642" t="s">
        <v>45</v>
      </c>
      <c r="AC642" t="s">
        <v>46</v>
      </c>
      <c r="AD642" t="s">
        <v>37</v>
      </c>
      <c r="AE642" t="s">
        <v>37</v>
      </c>
      <c r="AF642" t="s">
        <v>2476</v>
      </c>
      <c r="AG642" t="s">
        <v>37</v>
      </c>
      <c r="AH642" t="s">
        <v>2473</v>
      </c>
      <c r="AI642" t="s">
        <v>37</v>
      </c>
    </row>
    <row r="643" spans="1:35" x14ac:dyDescent="0.25">
      <c r="A643" t="s">
        <v>2477</v>
      </c>
      <c r="B643" t="s">
        <v>34</v>
      </c>
      <c r="C643" t="s">
        <v>2478</v>
      </c>
      <c r="D643" t="s">
        <v>2479</v>
      </c>
      <c r="E643" t="s">
        <v>37</v>
      </c>
      <c r="F643" t="s">
        <v>2480</v>
      </c>
      <c r="G643" t="s">
        <v>39</v>
      </c>
      <c r="H643" t="s">
        <v>40</v>
      </c>
      <c r="I643" t="s">
        <v>41</v>
      </c>
      <c r="J643" t="s">
        <v>37</v>
      </c>
      <c r="K643" t="s">
        <v>37</v>
      </c>
      <c r="L643" t="s">
        <v>42</v>
      </c>
      <c r="M643" s="6">
        <v>45731.291666666664</v>
      </c>
      <c r="N643" t="s">
        <v>4265</v>
      </c>
      <c r="O643" s="1">
        <v>45731</v>
      </c>
      <c r="P643" s="1">
        <v>45731.288425925923</v>
      </c>
      <c r="Q643" t="s">
        <v>4265</v>
      </c>
      <c r="R643" s="6">
        <v>45731.416666666664</v>
      </c>
      <c r="S643" t="s">
        <v>43</v>
      </c>
      <c r="T643">
        <v>47.6</v>
      </c>
      <c r="U643">
        <v>0</v>
      </c>
      <c r="V643">
        <v>47.6</v>
      </c>
      <c r="W643">
        <v>2.38</v>
      </c>
      <c r="X643">
        <v>0</v>
      </c>
      <c r="Y643">
        <v>0</v>
      </c>
      <c r="Z643">
        <v>49.98</v>
      </c>
      <c r="AA643" t="s">
        <v>44</v>
      </c>
      <c r="AB643" t="s">
        <v>45</v>
      </c>
      <c r="AC643" t="s">
        <v>46</v>
      </c>
      <c r="AD643" t="s">
        <v>37</v>
      </c>
      <c r="AE643" t="s">
        <v>37</v>
      </c>
      <c r="AF643" t="s">
        <v>2481</v>
      </c>
      <c r="AG643" t="s">
        <v>37</v>
      </c>
      <c r="AH643" t="s">
        <v>2478</v>
      </c>
      <c r="AI643" t="s">
        <v>37</v>
      </c>
    </row>
    <row r="644" spans="1:35" x14ac:dyDescent="0.25">
      <c r="A644" t="s">
        <v>2483</v>
      </c>
      <c r="B644" t="s">
        <v>34</v>
      </c>
      <c r="C644" t="s">
        <v>1375</v>
      </c>
      <c r="D644" t="s">
        <v>1376</v>
      </c>
      <c r="E644" t="s">
        <v>37</v>
      </c>
      <c r="F644" t="s">
        <v>1377</v>
      </c>
      <c r="G644" t="s">
        <v>39</v>
      </c>
      <c r="H644" t="s">
        <v>40</v>
      </c>
      <c r="I644" t="s">
        <v>41</v>
      </c>
      <c r="J644" t="s">
        <v>37</v>
      </c>
      <c r="K644" t="s">
        <v>37</v>
      </c>
      <c r="L644" t="s">
        <v>42</v>
      </c>
      <c r="M644" s="6">
        <v>45731.291666666664</v>
      </c>
      <c r="N644" t="s">
        <v>4265</v>
      </c>
      <c r="O644" s="1">
        <v>45731</v>
      </c>
      <c r="P644" s="1">
        <v>45731.381423611114</v>
      </c>
      <c r="Q644" t="s">
        <v>4265</v>
      </c>
      <c r="R644" s="6">
        <v>45731.416666666664</v>
      </c>
      <c r="S644" t="s">
        <v>43</v>
      </c>
      <c r="T644">
        <v>23.8</v>
      </c>
      <c r="U644">
        <v>0</v>
      </c>
      <c r="V644">
        <v>23.8</v>
      </c>
      <c r="W644">
        <v>1.19</v>
      </c>
      <c r="X644">
        <v>0</v>
      </c>
      <c r="Y644">
        <v>0</v>
      </c>
      <c r="Z644">
        <v>24.99</v>
      </c>
      <c r="AA644" t="s">
        <v>44</v>
      </c>
      <c r="AB644" t="s">
        <v>45</v>
      </c>
      <c r="AC644" t="s">
        <v>46</v>
      </c>
      <c r="AD644" t="s">
        <v>37</v>
      </c>
      <c r="AE644" t="s">
        <v>37</v>
      </c>
      <c r="AF644" t="s">
        <v>2484</v>
      </c>
      <c r="AG644" t="s">
        <v>37</v>
      </c>
      <c r="AH644" t="s">
        <v>1375</v>
      </c>
      <c r="AI644" t="s">
        <v>37</v>
      </c>
    </row>
    <row r="645" spans="1:35" x14ac:dyDescent="0.25">
      <c r="A645" t="s">
        <v>2482</v>
      </c>
      <c r="B645" t="s">
        <v>34</v>
      </c>
      <c r="C645" t="s">
        <v>2478</v>
      </c>
      <c r="D645" t="s">
        <v>2479</v>
      </c>
      <c r="E645" t="s">
        <v>37</v>
      </c>
      <c r="F645" t="s">
        <v>2480</v>
      </c>
      <c r="G645" t="s">
        <v>39</v>
      </c>
      <c r="H645" t="s">
        <v>40</v>
      </c>
      <c r="I645" t="s">
        <v>41</v>
      </c>
      <c r="J645" t="s">
        <v>37</v>
      </c>
      <c r="K645" t="s">
        <v>37</v>
      </c>
      <c r="L645" t="s">
        <v>42</v>
      </c>
      <c r="M645" s="6">
        <v>45732.291666666664</v>
      </c>
      <c r="N645" t="s">
        <v>4266</v>
      </c>
      <c r="O645" s="1">
        <v>45732</v>
      </c>
      <c r="P645" s="1">
        <v>45731.288425925923</v>
      </c>
      <c r="Q645" t="s">
        <v>4266</v>
      </c>
      <c r="R645" s="6">
        <v>45732.416666666664</v>
      </c>
      <c r="S645" t="s">
        <v>43</v>
      </c>
      <c r="T645">
        <v>47.6</v>
      </c>
      <c r="U645">
        <v>0</v>
      </c>
      <c r="V645">
        <v>47.6</v>
      </c>
      <c r="W645">
        <v>2.38</v>
      </c>
      <c r="X645">
        <v>0</v>
      </c>
      <c r="Y645">
        <v>0</v>
      </c>
      <c r="Z645">
        <v>49.98</v>
      </c>
      <c r="AA645" t="s">
        <v>44</v>
      </c>
      <c r="AB645" t="s">
        <v>45</v>
      </c>
      <c r="AC645" t="s">
        <v>46</v>
      </c>
      <c r="AD645" t="s">
        <v>37</v>
      </c>
      <c r="AE645" t="s">
        <v>37</v>
      </c>
      <c r="AF645" t="s">
        <v>2481</v>
      </c>
      <c r="AG645" t="s">
        <v>37</v>
      </c>
      <c r="AH645" t="s">
        <v>2478</v>
      </c>
      <c r="AI645" t="s">
        <v>37</v>
      </c>
    </row>
    <row r="646" spans="1:35" x14ac:dyDescent="0.25">
      <c r="A646" t="s">
        <v>2497</v>
      </c>
      <c r="B646" t="s">
        <v>34</v>
      </c>
      <c r="C646" t="s">
        <v>2498</v>
      </c>
      <c r="D646" t="s">
        <v>2499</v>
      </c>
      <c r="E646" t="s">
        <v>37</v>
      </c>
      <c r="F646" t="s">
        <v>2500</v>
      </c>
      <c r="G646" t="s">
        <v>39</v>
      </c>
      <c r="H646" t="s">
        <v>40</v>
      </c>
      <c r="I646" t="s">
        <v>41</v>
      </c>
      <c r="J646" t="s">
        <v>37</v>
      </c>
      <c r="K646" t="s">
        <v>37</v>
      </c>
      <c r="L646" t="s">
        <v>42</v>
      </c>
      <c r="M646" s="6">
        <v>45732.291666666664</v>
      </c>
      <c r="N646" t="s">
        <v>4266</v>
      </c>
      <c r="O646" s="1">
        <v>45732</v>
      </c>
      <c r="P646" s="1">
        <v>45732.435370370367</v>
      </c>
      <c r="Q646" t="s">
        <v>4266</v>
      </c>
      <c r="R646" s="6">
        <v>45732.416666666664</v>
      </c>
      <c r="S646" t="s">
        <v>43</v>
      </c>
      <c r="T646">
        <v>23.8</v>
      </c>
      <c r="U646">
        <v>0</v>
      </c>
      <c r="V646">
        <v>23.8</v>
      </c>
      <c r="W646">
        <v>1.19</v>
      </c>
      <c r="X646">
        <v>0</v>
      </c>
      <c r="Y646">
        <v>0</v>
      </c>
      <c r="Z646">
        <v>24.99</v>
      </c>
      <c r="AA646" t="s">
        <v>44</v>
      </c>
      <c r="AB646" t="s">
        <v>45</v>
      </c>
      <c r="AC646" t="s">
        <v>46</v>
      </c>
      <c r="AD646" t="s">
        <v>37</v>
      </c>
      <c r="AE646" t="s">
        <v>37</v>
      </c>
      <c r="AF646" t="s">
        <v>2501</v>
      </c>
      <c r="AG646" t="s">
        <v>37</v>
      </c>
      <c r="AH646" t="s">
        <v>2498</v>
      </c>
      <c r="AI646" t="s">
        <v>37</v>
      </c>
    </row>
    <row r="647" spans="1:35" x14ac:dyDescent="0.25">
      <c r="A647" t="s">
        <v>2494</v>
      </c>
      <c r="B647" t="s">
        <v>34</v>
      </c>
      <c r="C647" t="s">
        <v>2235</v>
      </c>
      <c r="D647" t="s">
        <v>2236</v>
      </c>
      <c r="E647" t="s">
        <v>37</v>
      </c>
      <c r="F647" t="s">
        <v>2495</v>
      </c>
      <c r="G647" t="s">
        <v>39</v>
      </c>
      <c r="H647" t="s">
        <v>40</v>
      </c>
      <c r="I647" t="s">
        <v>41</v>
      </c>
      <c r="J647" t="s">
        <v>37</v>
      </c>
      <c r="K647" t="s">
        <v>37</v>
      </c>
      <c r="L647" t="s">
        <v>42</v>
      </c>
      <c r="M647" s="6">
        <v>45732.431238425925</v>
      </c>
      <c r="N647" t="s">
        <v>4266</v>
      </c>
      <c r="O647" s="1">
        <v>45732.13957175926</v>
      </c>
      <c r="P647" s="1">
        <v>45732.473298611112</v>
      </c>
      <c r="Q647" t="s">
        <v>4266</v>
      </c>
      <c r="R647" s="6">
        <v>45732.416666666664</v>
      </c>
      <c r="S647" t="s">
        <v>43</v>
      </c>
      <c r="T647">
        <v>23.8</v>
      </c>
      <c r="U647">
        <v>0</v>
      </c>
      <c r="V647">
        <v>23.8</v>
      </c>
      <c r="W647">
        <v>1.19</v>
      </c>
      <c r="X647">
        <v>0</v>
      </c>
      <c r="Y647">
        <v>0</v>
      </c>
      <c r="Z647">
        <v>24.99</v>
      </c>
      <c r="AA647" t="s">
        <v>44</v>
      </c>
      <c r="AB647" t="s">
        <v>115</v>
      </c>
      <c r="AC647" t="s">
        <v>116</v>
      </c>
      <c r="AD647" t="s">
        <v>37</v>
      </c>
      <c r="AE647" t="s">
        <v>37</v>
      </c>
      <c r="AF647" t="s">
        <v>2496</v>
      </c>
      <c r="AG647" t="s">
        <v>37</v>
      </c>
      <c r="AH647" t="s">
        <v>2235</v>
      </c>
      <c r="AI647" t="s">
        <v>37</v>
      </c>
    </row>
    <row r="648" spans="1:35" x14ac:dyDescent="0.25">
      <c r="A648" t="s">
        <v>2502</v>
      </c>
      <c r="B648" t="s">
        <v>34</v>
      </c>
      <c r="C648" t="s">
        <v>2503</v>
      </c>
      <c r="D648" t="s">
        <v>2504</v>
      </c>
      <c r="E648" t="s">
        <v>37</v>
      </c>
      <c r="F648" t="s">
        <v>660</v>
      </c>
      <c r="G648" t="s">
        <v>39</v>
      </c>
      <c r="H648" t="s">
        <v>40</v>
      </c>
      <c r="I648" t="s">
        <v>41</v>
      </c>
      <c r="J648" t="s">
        <v>37</v>
      </c>
      <c r="K648" t="s">
        <v>37</v>
      </c>
      <c r="L648" t="s">
        <v>42</v>
      </c>
      <c r="M648" s="6">
        <v>45738.291666666664</v>
      </c>
      <c r="N648" t="s">
        <v>4265</v>
      </c>
      <c r="O648" s="1">
        <v>45738</v>
      </c>
      <c r="P648" s="1">
        <v>45737.814988425926</v>
      </c>
      <c r="Q648" t="s">
        <v>4265</v>
      </c>
      <c r="R648" s="6">
        <v>45738.416666666664</v>
      </c>
      <c r="S648" t="s">
        <v>43</v>
      </c>
      <c r="T648">
        <v>23.8</v>
      </c>
      <c r="U648">
        <v>0</v>
      </c>
      <c r="V648">
        <v>23.8</v>
      </c>
      <c r="W648">
        <v>1.19</v>
      </c>
      <c r="X648">
        <v>0</v>
      </c>
      <c r="Y648">
        <v>0</v>
      </c>
      <c r="Z648">
        <v>24.99</v>
      </c>
      <c r="AA648" t="s">
        <v>44</v>
      </c>
      <c r="AB648" t="s">
        <v>45</v>
      </c>
      <c r="AC648" t="s">
        <v>46</v>
      </c>
      <c r="AD648" t="s">
        <v>37</v>
      </c>
      <c r="AE648" t="s">
        <v>37</v>
      </c>
      <c r="AF648" t="s">
        <v>2505</v>
      </c>
      <c r="AG648" t="s">
        <v>37</v>
      </c>
      <c r="AH648" t="s">
        <v>2503</v>
      </c>
      <c r="AI648" t="s">
        <v>37</v>
      </c>
    </row>
    <row r="649" spans="1:35" x14ac:dyDescent="0.25">
      <c r="A649" t="s">
        <v>2506</v>
      </c>
      <c r="B649" t="s">
        <v>34</v>
      </c>
      <c r="C649" t="s">
        <v>1525</v>
      </c>
      <c r="D649" t="s">
        <v>1526</v>
      </c>
      <c r="E649" t="s">
        <v>37</v>
      </c>
      <c r="F649" t="s">
        <v>1527</v>
      </c>
      <c r="G649" t="s">
        <v>39</v>
      </c>
      <c r="H649" t="s">
        <v>40</v>
      </c>
      <c r="I649" t="s">
        <v>41</v>
      </c>
      <c r="J649" t="s">
        <v>37</v>
      </c>
      <c r="K649" t="s">
        <v>37</v>
      </c>
      <c r="L649" t="s">
        <v>42</v>
      </c>
      <c r="M649" s="6">
        <v>45739.291666666664</v>
      </c>
      <c r="N649" t="s">
        <v>4266</v>
      </c>
      <c r="O649" s="1">
        <v>45739</v>
      </c>
      <c r="P649" s="1">
        <v>45739.341932870368</v>
      </c>
      <c r="Q649" t="s">
        <v>4266</v>
      </c>
      <c r="R649" s="6">
        <v>45739.416666666664</v>
      </c>
      <c r="S649" t="s">
        <v>43</v>
      </c>
      <c r="T649">
        <v>23.8</v>
      </c>
      <c r="U649">
        <v>0</v>
      </c>
      <c r="V649">
        <v>23.8</v>
      </c>
      <c r="W649">
        <v>1.19</v>
      </c>
      <c r="X649">
        <v>0</v>
      </c>
      <c r="Y649">
        <v>0</v>
      </c>
      <c r="Z649">
        <v>24.99</v>
      </c>
      <c r="AA649" t="s">
        <v>44</v>
      </c>
      <c r="AB649" t="s">
        <v>45</v>
      </c>
      <c r="AC649" t="s">
        <v>46</v>
      </c>
      <c r="AD649" t="s">
        <v>37</v>
      </c>
      <c r="AE649" t="s">
        <v>37</v>
      </c>
      <c r="AF649" t="s">
        <v>2507</v>
      </c>
      <c r="AG649" t="s">
        <v>37</v>
      </c>
      <c r="AH649" t="s">
        <v>1525</v>
      </c>
      <c r="AI649" t="s">
        <v>37</v>
      </c>
    </row>
    <row r="650" spans="1:35" x14ac:dyDescent="0.25">
      <c r="A650" t="s">
        <v>2508</v>
      </c>
      <c r="B650" t="s">
        <v>34</v>
      </c>
      <c r="C650" t="s">
        <v>808</v>
      </c>
      <c r="D650" t="s">
        <v>809</v>
      </c>
      <c r="E650" t="s">
        <v>37</v>
      </c>
      <c r="F650" t="s">
        <v>810</v>
      </c>
      <c r="G650" t="s">
        <v>39</v>
      </c>
      <c r="H650" t="s">
        <v>40</v>
      </c>
      <c r="I650" t="s">
        <v>41</v>
      </c>
      <c r="J650" t="s">
        <v>37</v>
      </c>
      <c r="K650" t="s">
        <v>37</v>
      </c>
      <c r="L650" t="s">
        <v>42</v>
      </c>
      <c r="M650" s="6">
        <v>45746.291666666664</v>
      </c>
      <c r="N650" t="s">
        <v>4266</v>
      </c>
      <c r="O650" s="1">
        <v>45746</v>
      </c>
      <c r="P650" s="1">
        <v>45746.388692129629</v>
      </c>
      <c r="Q650" t="s">
        <v>4266</v>
      </c>
      <c r="R650" s="6">
        <v>45746.416666666664</v>
      </c>
      <c r="S650" t="s">
        <v>43</v>
      </c>
      <c r="T650">
        <v>23.8</v>
      </c>
      <c r="U650">
        <v>0</v>
      </c>
      <c r="V650">
        <v>23.8</v>
      </c>
      <c r="W650">
        <v>1.19</v>
      </c>
      <c r="X650">
        <v>0</v>
      </c>
      <c r="Y650">
        <v>0</v>
      </c>
      <c r="Z650">
        <v>24.99</v>
      </c>
      <c r="AA650" t="s">
        <v>44</v>
      </c>
      <c r="AB650" t="s">
        <v>45</v>
      </c>
      <c r="AC650" t="s">
        <v>46</v>
      </c>
      <c r="AD650" t="s">
        <v>37</v>
      </c>
      <c r="AE650" t="s">
        <v>37</v>
      </c>
      <c r="AF650" t="s">
        <v>2509</v>
      </c>
      <c r="AG650" t="s">
        <v>37</v>
      </c>
      <c r="AH650" t="s">
        <v>808</v>
      </c>
      <c r="AI650" t="s">
        <v>37</v>
      </c>
    </row>
    <row r="651" spans="1:35" x14ac:dyDescent="0.25">
      <c r="A651" t="s">
        <v>2510</v>
      </c>
      <c r="B651" t="s">
        <v>34</v>
      </c>
      <c r="C651" t="s">
        <v>2372</v>
      </c>
      <c r="D651" t="s">
        <v>2373</v>
      </c>
      <c r="E651" t="s">
        <v>37</v>
      </c>
      <c r="F651" t="s">
        <v>2374</v>
      </c>
      <c r="G651" t="s">
        <v>39</v>
      </c>
      <c r="H651" t="s">
        <v>40</v>
      </c>
      <c r="I651" t="s">
        <v>41</v>
      </c>
      <c r="J651" t="s">
        <v>37</v>
      </c>
      <c r="K651" t="s">
        <v>37</v>
      </c>
      <c r="L651" t="s">
        <v>42</v>
      </c>
      <c r="M651" s="6">
        <v>45746.291666666664</v>
      </c>
      <c r="N651" t="s">
        <v>4266</v>
      </c>
      <c r="O651" s="1">
        <v>45746</v>
      </c>
      <c r="P651" s="1">
        <v>45746.449062500003</v>
      </c>
      <c r="Q651" t="s">
        <v>4266</v>
      </c>
      <c r="R651" s="6">
        <v>45746.416666666664</v>
      </c>
      <c r="S651" t="s">
        <v>43</v>
      </c>
      <c r="T651">
        <v>23.8</v>
      </c>
      <c r="U651">
        <v>0</v>
      </c>
      <c r="V651">
        <v>23.8</v>
      </c>
      <c r="W651">
        <v>1.19</v>
      </c>
      <c r="X651">
        <v>0</v>
      </c>
      <c r="Y651">
        <v>0</v>
      </c>
      <c r="Z651">
        <v>24.99</v>
      </c>
      <c r="AA651" t="s">
        <v>44</v>
      </c>
      <c r="AB651" t="s">
        <v>45</v>
      </c>
      <c r="AC651" t="s">
        <v>46</v>
      </c>
      <c r="AD651" t="s">
        <v>37</v>
      </c>
      <c r="AE651" t="s">
        <v>37</v>
      </c>
      <c r="AF651" t="s">
        <v>2511</v>
      </c>
      <c r="AG651" t="s">
        <v>37</v>
      </c>
      <c r="AH651" t="s">
        <v>2372</v>
      </c>
      <c r="AI651" t="s">
        <v>37</v>
      </c>
    </row>
    <row r="652" spans="1:35" x14ac:dyDescent="0.25">
      <c r="A652" t="s">
        <v>2512</v>
      </c>
      <c r="B652" t="s">
        <v>34</v>
      </c>
      <c r="C652" t="s">
        <v>2513</v>
      </c>
      <c r="D652" t="s">
        <v>2514</v>
      </c>
      <c r="E652" t="s">
        <v>37</v>
      </c>
      <c r="F652" t="s">
        <v>2515</v>
      </c>
      <c r="G652" t="s">
        <v>39</v>
      </c>
      <c r="H652" t="s">
        <v>40</v>
      </c>
      <c r="I652" t="s">
        <v>41</v>
      </c>
      <c r="J652" t="s">
        <v>37</v>
      </c>
      <c r="K652" t="s">
        <v>37</v>
      </c>
      <c r="L652" t="s">
        <v>42</v>
      </c>
      <c r="M652" s="6">
        <v>45751.291666666664</v>
      </c>
      <c r="N652" t="s">
        <v>4268</v>
      </c>
      <c r="O652" s="1">
        <v>45751</v>
      </c>
      <c r="P652" s="1">
        <v>45749.725624999999</v>
      </c>
      <c r="Q652" t="s">
        <v>4268</v>
      </c>
      <c r="R652" s="6">
        <v>45751.416666666664</v>
      </c>
      <c r="S652" t="s">
        <v>43</v>
      </c>
      <c r="T652">
        <v>23.8</v>
      </c>
      <c r="U652">
        <v>0</v>
      </c>
      <c r="V652">
        <v>23.8</v>
      </c>
      <c r="W652">
        <v>1.19</v>
      </c>
      <c r="X652">
        <v>0</v>
      </c>
      <c r="Y652">
        <v>0</v>
      </c>
      <c r="Z652">
        <v>24.99</v>
      </c>
      <c r="AA652" t="s">
        <v>44</v>
      </c>
      <c r="AB652" t="s">
        <v>45</v>
      </c>
      <c r="AC652" t="s">
        <v>46</v>
      </c>
      <c r="AD652" t="s">
        <v>37</v>
      </c>
      <c r="AE652" t="s">
        <v>37</v>
      </c>
      <c r="AF652" t="s">
        <v>2516</v>
      </c>
      <c r="AG652" t="s">
        <v>37</v>
      </c>
      <c r="AH652" t="s">
        <v>2517</v>
      </c>
      <c r="AI652" t="s">
        <v>37</v>
      </c>
    </row>
    <row r="653" spans="1:35" x14ac:dyDescent="0.25">
      <c r="A653" t="s">
        <v>2518</v>
      </c>
      <c r="B653" t="s">
        <v>34</v>
      </c>
      <c r="C653" t="s">
        <v>1660</v>
      </c>
      <c r="D653" t="s">
        <v>1661</v>
      </c>
      <c r="E653" t="s">
        <v>37</v>
      </c>
      <c r="F653" t="s">
        <v>2519</v>
      </c>
      <c r="G653" t="s">
        <v>39</v>
      </c>
      <c r="H653" t="s">
        <v>40</v>
      </c>
      <c r="I653" t="s">
        <v>41</v>
      </c>
      <c r="J653" t="s">
        <v>37</v>
      </c>
      <c r="K653" t="s">
        <v>37</v>
      </c>
      <c r="L653" t="s">
        <v>42</v>
      </c>
      <c r="M653" s="6">
        <v>45753.291666666664</v>
      </c>
      <c r="N653" t="s">
        <v>4266</v>
      </c>
      <c r="O653" s="1">
        <v>45753</v>
      </c>
      <c r="P653" s="1">
        <v>45751.661643518521</v>
      </c>
      <c r="Q653" t="s">
        <v>4266</v>
      </c>
      <c r="R653" s="6">
        <v>45753.416666666664</v>
      </c>
      <c r="S653" t="s">
        <v>43</v>
      </c>
      <c r="T653">
        <v>23.8</v>
      </c>
      <c r="U653">
        <v>0</v>
      </c>
      <c r="V653">
        <v>23.8</v>
      </c>
      <c r="W653">
        <v>1.19</v>
      </c>
      <c r="X653">
        <v>0</v>
      </c>
      <c r="Y653">
        <v>0</v>
      </c>
      <c r="Z653">
        <v>24.99</v>
      </c>
      <c r="AA653" t="s">
        <v>44</v>
      </c>
      <c r="AB653" t="s">
        <v>45</v>
      </c>
      <c r="AC653" t="s">
        <v>46</v>
      </c>
      <c r="AD653" t="s">
        <v>37</v>
      </c>
      <c r="AE653" t="s">
        <v>37</v>
      </c>
      <c r="AF653" t="s">
        <v>2520</v>
      </c>
      <c r="AG653" t="s">
        <v>37</v>
      </c>
      <c r="AH653" t="s">
        <v>1660</v>
      </c>
      <c r="AI653" t="s">
        <v>37</v>
      </c>
    </row>
    <row r="654" spans="1:35" x14ac:dyDescent="0.25">
      <c r="A654" t="s">
        <v>2521</v>
      </c>
      <c r="B654" t="s">
        <v>34</v>
      </c>
      <c r="C654" t="s">
        <v>978</v>
      </c>
      <c r="D654" t="s">
        <v>979</v>
      </c>
      <c r="E654" t="s">
        <v>37</v>
      </c>
      <c r="F654" t="s">
        <v>980</v>
      </c>
      <c r="G654" t="s">
        <v>39</v>
      </c>
      <c r="H654" t="s">
        <v>40</v>
      </c>
      <c r="I654" t="s">
        <v>41</v>
      </c>
      <c r="J654" t="s">
        <v>37</v>
      </c>
      <c r="K654" t="s">
        <v>37</v>
      </c>
      <c r="L654" t="s">
        <v>42</v>
      </c>
      <c r="M654" s="6">
        <v>45758.291666666664</v>
      </c>
      <c r="N654" t="s">
        <v>4268</v>
      </c>
      <c r="O654" s="1">
        <v>45758</v>
      </c>
      <c r="P654" s="1">
        <v>45757.597094907411</v>
      </c>
      <c r="Q654" t="s">
        <v>4268</v>
      </c>
      <c r="R654" s="6">
        <v>45758.416666666664</v>
      </c>
      <c r="S654" t="s">
        <v>43</v>
      </c>
      <c r="T654">
        <v>23.8</v>
      </c>
      <c r="U654">
        <v>0</v>
      </c>
      <c r="V654">
        <v>23.8</v>
      </c>
      <c r="W654">
        <v>1.19</v>
      </c>
      <c r="X654">
        <v>0</v>
      </c>
      <c r="Y654">
        <v>0</v>
      </c>
      <c r="Z654">
        <v>24.99</v>
      </c>
      <c r="AA654" t="s">
        <v>44</v>
      </c>
      <c r="AB654" t="s">
        <v>45</v>
      </c>
      <c r="AC654" t="s">
        <v>46</v>
      </c>
      <c r="AD654" t="s">
        <v>37</v>
      </c>
      <c r="AE654" t="s">
        <v>37</v>
      </c>
      <c r="AF654" t="s">
        <v>2522</v>
      </c>
      <c r="AG654" t="s">
        <v>37</v>
      </c>
      <c r="AH654" t="s">
        <v>978</v>
      </c>
      <c r="AI654" t="s">
        <v>37</v>
      </c>
    </row>
    <row r="655" spans="1:35" x14ac:dyDescent="0.25">
      <c r="A655" t="s">
        <v>2523</v>
      </c>
      <c r="B655" t="s">
        <v>34</v>
      </c>
      <c r="C655" t="s">
        <v>2524</v>
      </c>
      <c r="D655" t="s">
        <v>2525</v>
      </c>
      <c r="E655" t="s">
        <v>37</v>
      </c>
      <c r="F655" t="s">
        <v>2526</v>
      </c>
      <c r="G655" t="s">
        <v>39</v>
      </c>
      <c r="H655" t="s">
        <v>40</v>
      </c>
      <c r="I655" t="s">
        <v>41</v>
      </c>
      <c r="J655" t="s">
        <v>37</v>
      </c>
      <c r="K655" t="s">
        <v>37</v>
      </c>
      <c r="L655" t="s">
        <v>42</v>
      </c>
      <c r="M655" s="6">
        <v>45758.291666666664</v>
      </c>
      <c r="N655" t="s">
        <v>4268</v>
      </c>
      <c r="O655" s="1">
        <v>45758</v>
      </c>
      <c r="P655" s="1">
        <v>45758.361840277779</v>
      </c>
      <c r="Q655" t="s">
        <v>4268</v>
      </c>
      <c r="R655" s="6">
        <v>45758.416666666664</v>
      </c>
      <c r="S655" t="s">
        <v>43</v>
      </c>
      <c r="T655">
        <v>23.8</v>
      </c>
      <c r="U655">
        <v>0</v>
      </c>
      <c r="V655">
        <v>23.8</v>
      </c>
      <c r="W655">
        <v>1.19</v>
      </c>
      <c r="X655">
        <v>0</v>
      </c>
      <c r="Y655">
        <v>0</v>
      </c>
      <c r="Z655">
        <v>24.99</v>
      </c>
      <c r="AA655" t="s">
        <v>44</v>
      </c>
      <c r="AB655" t="s">
        <v>45</v>
      </c>
      <c r="AC655" t="s">
        <v>46</v>
      </c>
      <c r="AD655" t="s">
        <v>37</v>
      </c>
      <c r="AE655" t="s">
        <v>37</v>
      </c>
      <c r="AF655" t="s">
        <v>2527</v>
      </c>
      <c r="AG655" t="s">
        <v>37</v>
      </c>
      <c r="AH655" t="s">
        <v>2524</v>
      </c>
      <c r="AI655" t="s">
        <v>37</v>
      </c>
    </row>
    <row r="656" spans="1:35" x14ac:dyDescent="0.25">
      <c r="A656" t="s">
        <v>2528</v>
      </c>
      <c r="B656" t="s">
        <v>34</v>
      </c>
      <c r="C656" t="s">
        <v>107</v>
      </c>
      <c r="D656" t="s">
        <v>108</v>
      </c>
      <c r="E656" t="s">
        <v>37</v>
      </c>
      <c r="F656" t="s">
        <v>109</v>
      </c>
      <c r="G656" t="s">
        <v>39</v>
      </c>
      <c r="H656" t="s">
        <v>40</v>
      </c>
      <c r="I656" t="s">
        <v>41</v>
      </c>
      <c r="J656" t="s">
        <v>37</v>
      </c>
      <c r="K656" t="s">
        <v>37</v>
      </c>
      <c r="L656" t="s">
        <v>42</v>
      </c>
      <c r="M656" s="6">
        <v>45759.291666666664</v>
      </c>
      <c r="N656" t="s">
        <v>4265</v>
      </c>
      <c r="O656" s="1">
        <v>45759</v>
      </c>
      <c r="P656" s="1">
        <v>45758.867071759261</v>
      </c>
      <c r="Q656" t="s">
        <v>4265</v>
      </c>
      <c r="R656" s="6">
        <v>45759.416666666664</v>
      </c>
      <c r="S656" t="s">
        <v>43</v>
      </c>
      <c r="T656">
        <v>23.8</v>
      </c>
      <c r="U656">
        <v>0</v>
      </c>
      <c r="V656">
        <v>23.8</v>
      </c>
      <c r="W656">
        <v>1.19</v>
      </c>
      <c r="X656">
        <v>0</v>
      </c>
      <c r="Y656">
        <v>0</v>
      </c>
      <c r="Z656">
        <v>24.99</v>
      </c>
      <c r="AA656" t="s">
        <v>44</v>
      </c>
      <c r="AB656" t="s">
        <v>45</v>
      </c>
      <c r="AC656" t="s">
        <v>46</v>
      </c>
      <c r="AD656" t="s">
        <v>37</v>
      </c>
      <c r="AE656" t="s">
        <v>37</v>
      </c>
      <c r="AF656" t="s">
        <v>2529</v>
      </c>
      <c r="AG656" t="s">
        <v>37</v>
      </c>
      <c r="AH656" t="s">
        <v>107</v>
      </c>
      <c r="AI656" t="s">
        <v>37</v>
      </c>
    </row>
    <row r="657" spans="1:35" x14ac:dyDescent="0.25">
      <c r="A657" t="s">
        <v>2530</v>
      </c>
      <c r="B657" t="s">
        <v>34</v>
      </c>
      <c r="C657" t="s">
        <v>1838</v>
      </c>
      <c r="D657" t="s">
        <v>1839</v>
      </c>
      <c r="E657" t="s">
        <v>37</v>
      </c>
      <c r="F657" t="s">
        <v>2320</v>
      </c>
      <c r="G657" t="s">
        <v>39</v>
      </c>
      <c r="H657" t="s">
        <v>40</v>
      </c>
      <c r="I657" t="s">
        <v>41</v>
      </c>
      <c r="J657" t="s">
        <v>37</v>
      </c>
      <c r="K657" t="s">
        <v>37</v>
      </c>
      <c r="L657" t="s">
        <v>42</v>
      </c>
      <c r="M657" s="6">
        <v>45759.291666666664</v>
      </c>
      <c r="N657" t="s">
        <v>4265</v>
      </c>
      <c r="O657" s="1">
        <v>45759</v>
      </c>
      <c r="P657" s="1">
        <v>45758.95894675926</v>
      </c>
      <c r="Q657" t="s">
        <v>4265</v>
      </c>
      <c r="R657" s="6">
        <v>45759.416666666664</v>
      </c>
      <c r="S657" t="s">
        <v>43</v>
      </c>
      <c r="T657">
        <v>23.8</v>
      </c>
      <c r="U657">
        <v>0</v>
      </c>
      <c r="V657">
        <v>23.8</v>
      </c>
      <c r="W657">
        <v>1.19</v>
      </c>
      <c r="X657">
        <v>0</v>
      </c>
      <c r="Y657">
        <v>0</v>
      </c>
      <c r="Z657">
        <v>24.99</v>
      </c>
      <c r="AA657" t="s">
        <v>44</v>
      </c>
      <c r="AB657" t="s">
        <v>45</v>
      </c>
      <c r="AC657" t="s">
        <v>46</v>
      </c>
      <c r="AD657" t="s">
        <v>37</v>
      </c>
      <c r="AE657" t="s">
        <v>37</v>
      </c>
      <c r="AF657" t="s">
        <v>2531</v>
      </c>
      <c r="AG657" t="s">
        <v>37</v>
      </c>
      <c r="AH657" t="s">
        <v>1842</v>
      </c>
      <c r="AI657" t="s">
        <v>37</v>
      </c>
    </row>
    <row r="658" spans="1:35" x14ac:dyDescent="0.25">
      <c r="A658" t="s">
        <v>2532</v>
      </c>
      <c r="B658" t="s">
        <v>34</v>
      </c>
      <c r="C658" t="s">
        <v>473</v>
      </c>
      <c r="D658" t="s">
        <v>474</v>
      </c>
      <c r="E658" t="s">
        <v>37</v>
      </c>
      <c r="F658" t="s">
        <v>475</v>
      </c>
      <c r="G658" t="s">
        <v>39</v>
      </c>
      <c r="H658" t="s">
        <v>40</v>
      </c>
      <c r="I658" t="s">
        <v>41</v>
      </c>
      <c r="J658" t="s">
        <v>37</v>
      </c>
      <c r="K658" t="s">
        <v>37</v>
      </c>
      <c r="L658" t="s">
        <v>42</v>
      </c>
      <c r="M658" s="6">
        <v>45759.291666666664</v>
      </c>
      <c r="N658" t="s">
        <v>4265</v>
      </c>
      <c r="O658" s="1">
        <v>45759</v>
      </c>
      <c r="P658" s="1">
        <v>45759.391944444447</v>
      </c>
      <c r="Q658" t="s">
        <v>4265</v>
      </c>
      <c r="R658" s="6">
        <v>45759.416666666664</v>
      </c>
      <c r="S658" t="s">
        <v>43</v>
      </c>
      <c r="T658">
        <v>23.8</v>
      </c>
      <c r="U658">
        <v>0</v>
      </c>
      <c r="V658">
        <v>23.8</v>
      </c>
      <c r="W658">
        <v>1.19</v>
      </c>
      <c r="X658">
        <v>0</v>
      </c>
      <c r="Y658">
        <v>0</v>
      </c>
      <c r="Z658">
        <v>24.99</v>
      </c>
      <c r="AA658" t="s">
        <v>44</v>
      </c>
      <c r="AB658" t="s">
        <v>45</v>
      </c>
      <c r="AC658" t="s">
        <v>46</v>
      </c>
      <c r="AD658" t="s">
        <v>37</v>
      </c>
      <c r="AE658" t="s">
        <v>37</v>
      </c>
      <c r="AF658" t="s">
        <v>2533</v>
      </c>
      <c r="AG658" t="s">
        <v>37</v>
      </c>
      <c r="AH658" t="s">
        <v>473</v>
      </c>
      <c r="AI658" t="s">
        <v>37</v>
      </c>
    </row>
    <row r="659" spans="1:35" x14ac:dyDescent="0.25">
      <c r="A659" t="s">
        <v>2534</v>
      </c>
      <c r="B659" t="s">
        <v>34</v>
      </c>
      <c r="C659" t="s">
        <v>2535</v>
      </c>
      <c r="D659" t="s">
        <v>2536</v>
      </c>
      <c r="E659" t="s">
        <v>37</v>
      </c>
      <c r="F659" t="s">
        <v>2537</v>
      </c>
      <c r="G659" t="s">
        <v>39</v>
      </c>
      <c r="H659" t="s">
        <v>40</v>
      </c>
      <c r="I659" t="s">
        <v>41</v>
      </c>
      <c r="J659" t="s">
        <v>37</v>
      </c>
      <c r="K659" t="s">
        <v>37</v>
      </c>
      <c r="L659" t="s">
        <v>42</v>
      </c>
      <c r="M659" s="6">
        <v>45765.291666666664</v>
      </c>
      <c r="N659" t="s">
        <v>4268</v>
      </c>
      <c r="O659" s="1">
        <v>45765</v>
      </c>
      <c r="P659" s="1">
        <v>45760.991585648146</v>
      </c>
      <c r="Q659" t="s">
        <v>4268</v>
      </c>
      <c r="R659" s="6">
        <v>45765.416666666664</v>
      </c>
      <c r="S659" t="s">
        <v>43</v>
      </c>
      <c r="T659">
        <v>23.8</v>
      </c>
      <c r="U659">
        <v>0</v>
      </c>
      <c r="V659">
        <v>23.8</v>
      </c>
      <c r="W659">
        <v>1.19</v>
      </c>
      <c r="X659">
        <v>0</v>
      </c>
      <c r="Y659">
        <v>0</v>
      </c>
      <c r="Z659">
        <v>24.99</v>
      </c>
      <c r="AA659" t="s">
        <v>44</v>
      </c>
      <c r="AB659" t="s">
        <v>45</v>
      </c>
      <c r="AC659" t="s">
        <v>46</v>
      </c>
      <c r="AD659" t="s">
        <v>37</v>
      </c>
      <c r="AE659" t="s">
        <v>37</v>
      </c>
      <c r="AF659" t="s">
        <v>2538</v>
      </c>
      <c r="AG659" t="s">
        <v>37</v>
      </c>
      <c r="AH659" t="s">
        <v>2535</v>
      </c>
      <c r="AI659" t="s">
        <v>37</v>
      </c>
    </row>
    <row r="660" spans="1:35" x14ac:dyDescent="0.25">
      <c r="A660" t="s">
        <v>2543</v>
      </c>
      <c r="B660" t="s">
        <v>34</v>
      </c>
      <c r="C660" t="s">
        <v>215</v>
      </c>
      <c r="D660" t="s">
        <v>216</v>
      </c>
      <c r="E660" t="s">
        <v>37</v>
      </c>
      <c r="F660" t="s">
        <v>217</v>
      </c>
      <c r="G660" t="s">
        <v>39</v>
      </c>
      <c r="H660" t="s">
        <v>40</v>
      </c>
      <c r="I660" t="s">
        <v>41</v>
      </c>
      <c r="J660" t="s">
        <v>37</v>
      </c>
      <c r="K660" t="s">
        <v>37</v>
      </c>
      <c r="L660" t="s">
        <v>42</v>
      </c>
      <c r="M660" s="6">
        <v>45765.291666666664</v>
      </c>
      <c r="N660" t="s">
        <v>4268</v>
      </c>
      <c r="O660" s="1">
        <v>45765</v>
      </c>
      <c r="P660" s="1">
        <v>45764.660810185182</v>
      </c>
      <c r="Q660" t="s">
        <v>4268</v>
      </c>
      <c r="R660" s="6">
        <v>45765.416666666664</v>
      </c>
      <c r="S660" t="s">
        <v>43</v>
      </c>
      <c r="T660">
        <v>47.6</v>
      </c>
      <c r="U660">
        <v>0</v>
      </c>
      <c r="V660">
        <v>47.6</v>
      </c>
      <c r="W660">
        <v>2.38</v>
      </c>
      <c r="X660">
        <v>0</v>
      </c>
      <c r="Y660">
        <v>0</v>
      </c>
      <c r="Z660">
        <v>49.98</v>
      </c>
      <c r="AA660" t="s">
        <v>44</v>
      </c>
      <c r="AB660" t="s">
        <v>45</v>
      </c>
      <c r="AC660" t="s">
        <v>46</v>
      </c>
      <c r="AD660" t="s">
        <v>37</v>
      </c>
      <c r="AE660" t="s">
        <v>37</v>
      </c>
      <c r="AF660" t="s">
        <v>2544</v>
      </c>
      <c r="AG660" t="s">
        <v>37</v>
      </c>
      <c r="AH660" t="s">
        <v>219</v>
      </c>
      <c r="AI660" t="s">
        <v>37</v>
      </c>
    </row>
    <row r="661" spans="1:35" x14ac:dyDescent="0.25">
      <c r="A661" t="s">
        <v>2546</v>
      </c>
      <c r="B661" t="s">
        <v>34</v>
      </c>
      <c r="C661" t="s">
        <v>1660</v>
      </c>
      <c r="D661" t="s">
        <v>1661</v>
      </c>
      <c r="E661" t="s">
        <v>37</v>
      </c>
      <c r="F661" t="s">
        <v>2519</v>
      </c>
      <c r="G661" t="s">
        <v>39</v>
      </c>
      <c r="H661" t="s">
        <v>40</v>
      </c>
      <c r="I661" t="s">
        <v>41</v>
      </c>
      <c r="J661" t="s">
        <v>37</v>
      </c>
      <c r="K661" t="s">
        <v>37</v>
      </c>
      <c r="L661" t="s">
        <v>42</v>
      </c>
      <c r="M661" s="6">
        <v>45765.291666666664</v>
      </c>
      <c r="N661" t="s">
        <v>4268</v>
      </c>
      <c r="O661" s="1">
        <v>45765</v>
      </c>
      <c r="P661" s="1">
        <v>45764.699201388888</v>
      </c>
      <c r="Q661" t="s">
        <v>4268</v>
      </c>
      <c r="R661" s="6">
        <v>45765.416666666664</v>
      </c>
      <c r="S661" t="s">
        <v>43</v>
      </c>
      <c r="T661">
        <v>23.8</v>
      </c>
      <c r="U661">
        <v>0</v>
      </c>
      <c r="V661">
        <v>23.8</v>
      </c>
      <c r="W661">
        <v>1.19</v>
      </c>
      <c r="X661">
        <v>0</v>
      </c>
      <c r="Y661">
        <v>0</v>
      </c>
      <c r="Z661">
        <v>24.99</v>
      </c>
      <c r="AA661" t="s">
        <v>44</v>
      </c>
      <c r="AB661" t="s">
        <v>45</v>
      </c>
      <c r="AC661" t="s">
        <v>46</v>
      </c>
      <c r="AD661" t="s">
        <v>37</v>
      </c>
      <c r="AE661" t="s">
        <v>37</v>
      </c>
      <c r="AF661" t="s">
        <v>2547</v>
      </c>
      <c r="AG661" t="s">
        <v>37</v>
      </c>
      <c r="AH661" t="s">
        <v>1660</v>
      </c>
      <c r="AI661" t="s">
        <v>37</v>
      </c>
    </row>
    <row r="662" spans="1:35" x14ac:dyDescent="0.25">
      <c r="A662" t="s">
        <v>2539</v>
      </c>
      <c r="B662" t="s">
        <v>34</v>
      </c>
      <c r="C662" t="s">
        <v>576</v>
      </c>
      <c r="D662" t="s">
        <v>577</v>
      </c>
      <c r="E662" t="s">
        <v>37</v>
      </c>
      <c r="F662" t="s">
        <v>2540</v>
      </c>
      <c r="G662" t="s">
        <v>39</v>
      </c>
      <c r="H662" t="s">
        <v>40</v>
      </c>
      <c r="I662" t="s">
        <v>41</v>
      </c>
      <c r="J662" t="s">
        <v>37</v>
      </c>
      <c r="K662" t="s">
        <v>37</v>
      </c>
      <c r="L662" t="s">
        <v>42</v>
      </c>
      <c r="M662" s="6">
        <v>45766.291666666664</v>
      </c>
      <c r="N662" t="s">
        <v>4265</v>
      </c>
      <c r="O662" s="1">
        <v>45766</v>
      </c>
      <c r="P662" s="1">
        <v>45763.494050925925</v>
      </c>
      <c r="Q662" t="s">
        <v>4265</v>
      </c>
      <c r="R662" s="6">
        <v>45766.416666666664</v>
      </c>
      <c r="S662" t="s">
        <v>43</v>
      </c>
      <c r="T662">
        <v>47.6</v>
      </c>
      <c r="U662">
        <v>0</v>
      </c>
      <c r="V662">
        <v>47.6</v>
      </c>
      <c r="W662">
        <v>2.38</v>
      </c>
      <c r="X662">
        <v>0</v>
      </c>
      <c r="Y662">
        <v>0</v>
      </c>
      <c r="Z662">
        <v>49.98</v>
      </c>
      <c r="AA662" t="s">
        <v>44</v>
      </c>
      <c r="AB662" t="s">
        <v>45</v>
      </c>
      <c r="AC662" t="s">
        <v>46</v>
      </c>
      <c r="AD662" t="s">
        <v>37</v>
      </c>
      <c r="AE662" t="s">
        <v>37</v>
      </c>
      <c r="AF662" t="s">
        <v>2541</v>
      </c>
      <c r="AG662" t="s">
        <v>37</v>
      </c>
      <c r="AH662" t="s">
        <v>576</v>
      </c>
      <c r="AI662" t="s">
        <v>37</v>
      </c>
    </row>
    <row r="663" spans="1:35" x14ac:dyDescent="0.25">
      <c r="A663" t="s">
        <v>2545</v>
      </c>
      <c r="B663" t="s">
        <v>34</v>
      </c>
      <c r="C663" t="s">
        <v>215</v>
      </c>
      <c r="D663" t="s">
        <v>216</v>
      </c>
      <c r="E663" t="s">
        <v>37</v>
      </c>
      <c r="F663" t="s">
        <v>217</v>
      </c>
      <c r="G663" t="s">
        <v>39</v>
      </c>
      <c r="H663" t="s">
        <v>40</v>
      </c>
      <c r="I663" t="s">
        <v>41</v>
      </c>
      <c r="J663" t="s">
        <v>37</v>
      </c>
      <c r="K663" t="s">
        <v>37</v>
      </c>
      <c r="L663" t="s">
        <v>42</v>
      </c>
      <c r="M663" s="6">
        <v>45766.291666666664</v>
      </c>
      <c r="N663" t="s">
        <v>4265</v>
      </c>
      <c r="O663" s="1">
        <v>45766</v>
      </c>
      <c r="P663" s="1">
        <v>45764.660810185182</v>
      </c>
      <c r="Q663" t="s">
        <v>4265</v>
      </c>
      <c r="R663" s="6">
        <v>45766.416666666664</v>
      </c>
      <c r="S663" t="s">
        <v>43</v>
      </c>
      <c r="T663">
        <v>47.6</v>
      </c>
      <c r="U663">
        <v>0</v>
      </c>
      <c r="V663">
        <v>47.6</v>
      </c>
      <c r="W663">
        <v>2.38</v>
      </c>
      <c r="X663">
        <v>0</v>
      </c>
      <c r="Y663">
        <v>0</v>
      </c>
      <c r="Z663">
        <v>49.98</v>
      </c>
      <c r="AA663" t="s">
        <v>44</v>
      </c>
      <c r="AB663" t="s">
        <v>45</v>
      </c>
      <c r="AC663" t="s">
        <v>46</v>
      </c>
      <c r="AD663" t="s">
        <v>37</v>
      </c>
      <c r="AE663" t="s">
        <v>37</v>
      </c>
      <c r="AF663" t="s">
        <v>2544</v>
      </c>
      <c r="AG663" t="s">
        <v>37</v>
      </c>
      <c r="AH663" t="s">
        <v>219</v>
      </c>
      <c r="AI663" t="s">
        <v>37</v>
      </c>
    </row>
    <row r="664" spans="1:35" x14ac:dyDescent="0.25">
      <c r="A664" t="s">
        <v>2548</v>
      </c>
      <c r="B664" t="s">
        <v>34</v>
      </c>
      <c r="C664" t="s">
        <v>1525</v>
      </c>
      <c r="D664" t="s">
        <v>1526</v>
      </c>
      <c r="E664" t="s">
        <v>37</v>
      </c>
      <c r="F664" t="s">
        <v>2549</v>
      </c>
      <c r="G664" t="s">
        <v>39</v>
      </c>
      <c r="H664" t="s">
        <v>40</v>
      </c>
      <c r="I664" t="s">
        <v>41</v>
      </c>
      <c r="J664" t="s">
        <v>37</v>
      </c>
      <c r="K664" t="s">
        <v>37</v>
      </c>
      <c r="L664" t="s">
        <v>42</v>
      </c>
      <c r="M664" s="6">
        <v>45766.291666666664</v>
      </c>
      <c r="N664" t="s">
        <v>4265</v>
      </c>
      <c r="O664" s="1">
        <v>45766</v>
      </c>
      <c r="P664" s="1">
        <v>45765.866319444445</v>
      </c>
      <c r="Q664" t="s">
        <v>4265</v>
      </c>
      <c r="R664" s="6">
        <v>45766.416666666664</v>
      </c>
      <c r="S664" t="s">
        <v>43</v>
      </c>
      <c r="T664">
        <v>23.8</v>
      </c>
      <c r="U664">
        <v>0</v>
      </c>
      <c r="V664">
        <v>23.8</v>
      </c>
      <c r="W664">
        <v>1.19</v>
      </c>
      <c r="X664">
        <v>0</v>
      </c>
      <c r="Y664">
        <v>0</v>
      </c>
      <c r="Z664">
        <v>24.99</v>
      </c>
      <c r="AA664" t="s">
        <v>44</v>
      </c>
      <c r="AB664" t="s">
        <v>45</v>
      </c>
      <c r="AC664" t="s">
        <v>46</v>
      </c>
      <c r="AD664" t="s">
        <v>37</v>
      </c>
      <c r="AE664" t="s">
        <v>37</v>
      </c>
      <c r="AF664" t="s">
        <v>2550</v>
      </c>
      <c r="AG664" t="s">
        <v>37</v>
      </c>
      <c r="AH664" t="s">
        <v>1525</v>
      </c>
      <c r="AI664" t="s">
        <v>37</v>
      </c>
    </row>
    <row r="665" spans="1:35" x14ac:dyDescent="0.25">
      <c r="A665" t="s">
        <v>2542</v>
      </c>
      <c r="B665" t="s">
        <v>34</v>
      </c>
      <c r="C665" t="s">
        <v>576</v>
      </c>
      <c r="D665" t="s">
        <v>577</v>
      </c>
      <c r="E665" t="s">
        <v>37</v>
      </c>
      <c r="F665" t="s">
        <v>2540</v>
      </c>
      <c r="G665" t="s">
        <v>39</v>
      </c>
      <c r="H665" t="s">
        <v>40</v>
      </c>
      <c r="I665" t="s">
        <v>41</v>
      </c>
      <c r="J665" t="s">
        <v>37</v>
      </c>
      <c r="K665" t="s">
        <v>37</v>
      </c>
      <c r="L665" t="s">
        <v>42</v>
      </c>
      <c r="M665" s="6">
        <v>45767.291666666664</v>
      </c>
      <c r="N665" t="s">
        <v>4266</v>
      </c>
      <c r="O665" s="1">
        <v>45767</v>
      </c>
      <c r="P665" s="1">
        <v>45763.494050925925</v>
      </c>
      <c r="Q665" t="s">
        <v>4266</v>
      </c>
      <c r="R665" s="6">
        <v>45767.416666666664</v>
      </c>
      <c r="S665" t="s">
        <v>43</v>
      </c>
      <c r="T665">
        <v>47.6</v>
      </c>
      <c r="U665">
        <v>0</v>
      </c>
      <c r="V665">
        <v>47.6</v>
      </c>
      <c r="W665">
        <v>2.38</v>
      </c>
      <c r="X665">
        <v>0</v>
      </c>
      <c r="Y665">
        <v>0</v>
      </c>
      <c r="Z665">
        <v>49.98</v>
      </c>
      <c r="AA665" t="s">
        <v>44</v>
      </c>
      <c r="AB665" t="s">
        <v>45</v>
      </c>
      <c r="AC665" t="s">
        <v>46</v>
      </c>
      <c r="AD665" t="s">
        <v>37</v>
      </c>
      <c r="AE665" t="s">
        <v>37</v>
      </c>
      <c r="AF665" t="s">
        <v>2541</v>
      </c>
      <c r="AG665" t="s">
        <v>37</v>
      </c>
      <c r="AH665" t="s">
        <v>576</v>
      </c>
      <c r="AI665" t="s">
        <v>37</v>
      </c>
    </row>
    <row r="666" spans="1:35" x14ac:dyDescent="0.25">
      <c r="A666" t="s">
        <v>2551</v>
      </c>
      <c r="B666" t="s">
        <v>34</v>
      </c>
      <c r="C666" t="s">
        <v>2552</v>
      </c>
      <c r="D666" t="s">
        <v>2553</v>
      </c>
      <c r="E666" t="s">
        <v>2554</v>
      </c>
      <c r="F666" t="s">
        <v>2555</v>
      </c>
      <c r="G666" t="s">
        <v>39</v>
      </c>
      <c r="H666" t="s">
        <v>40</v>
      </c>
      <c r="I666" t="s">
        <v>41</v>
      </c>
      <c r="J666" t="s">
        <v>37</v>
      </c>
      <c r="K666" t="s">
        <v>37</v>
      </c>
      <c r="L666" t="s">
        <v>42</v>
      </c>
      <c r="M666" s="6">
        <v>45984.984270833331</v>
      </c>
      <c r="N666" t="s">
        <v>4265</v>
      </c>
      <c r="O666" s="1">
        <v>46011.333333333336</v>
      </c>
      <c r="P666" s="1">
        <v>45984.984942129631</v>
      </c>
      <c r="Q666" t="s">
        <v>4262</v>
      </c>
      <c r="R666" s="6">
        <v>46013.753472222219</v>
      </c>
      <c r="S666" t="s">
        <v>43</v>
      </c>
      <c r="T666">
        <v>74.97</v>
      </c>
      <c r="U666">
        <v>0</v>
      </c>
      <c r="V666">
        <v>74.97</v>
      </c>
      <c r="W666">
        <v>0</v>
      </c>
      <c r="X666">
        <v>0</v>
      </c>
      <c r="Y666">
        <v>0</v>
      </c>
      <c r="Z666">
        <v>74.97</v>
      </c>
      <c r="AA666" t="s">
        <v>44</v>
      </c>
      <c r="AB666" t="s">
        <v>45</v>
      </c>
      <c r="AC666" t="s">
        <v>46</v>
      </c>
      <c r="AD666" t="s">
        <v>2556</v>
      </c>
      <c r="AE666" t="s">
        <v>2557</v>
      </c>
      <c r="AF666" t="s">
        <v>2558</v>
      </c>
      <c r="AG666" t="s">
        <v>46</v>
      </c>
      <c r="AH666" t="s">
        <v>2552</v>
      </c>
      <c r="AI666" t="s">
        <v>37</v>
      </c>
    </row>
    <row r="667" spans="1:35" x14ac:dyDescent="0.25">
      <c r="A667" t="s">
        <v>2559</v>
      </c>
      <c r="B667" t="s">
        <v>34</v>
      </c>
      <c r="C667" t="s">
        <v>2560</v>
      </c>
      <c r="D667" t="s">
        <v>2561</v>
      </c>
      <c r="E667" t="s">
        <v>2562</v>
      </c>
      <c r="F667" t="s">
        <v>2563</v>
      </c>
      <c r="G667" t="s">
        <v>39</v>
      </c>
      <c r="H667" t="s">
        <v>40</v>
      </c>
      <c r="I667" t="s">
        <v>41</v>
      </c>
      <c r="J667" t="s">
        <v>37</v>
      </c>
      <c r="K667" t="s">
        <v>37</v>
      </c>
      <c r="L667" t="s">
        <v>42</v>
      </c>
      <c r="M667" s="6">
        <v>45985.808125000003</v>
      </c>
      <c r="N667" t="s">
        <v>4262</v>
      </c>
      <c r="O667" s="1">
        <v>46013.333333333336</v>
      </c>
      <c r="P667" s="1">
        <v>45985.810185185182</v>
      </c>
      <c r="Q667" t="s">
        <v>4267</v>
      </c>
      <c r="R667" s="6">
        <v>46014.795138888891</v>
      </c>
      <c r="S667" t="s">
        <v>43</v>
      </c>
      <c r="T667">
        <v>49.98</v>
      </c>
      <c r="U667">
        <v>0</v>
      </c>
      <c r="V667">
        <v>49.98</v>
      </c>
      <c r="W667">
        <v>0</v>
      </c>
      <c r="X667">
        <v>0</v>
      </c>
      <c r="Y667">
        <v>0</v>
      </c>
      <c r="Z667">
        <v>49.98</v>
      </c>
      <c r="AA667" t="s">
        <v>44</v>
      </c>
      <c r="AB667" t="s">
        <v>45</v>
      </c>
      <c r="AC667" t="s">
        <v>46</v>
      </c>
      <c r="AD667" t="s">
        <v>2556</v>
      </c>
      <c r="AE667" t="s">
        <v>2557</v>
      </c>
      <c r="AF667" t="s">
        <v>2564</v>
      </c>
      <c r="AG667" t="s">
        <v>46</v>
      </c>
      <c r="AH667" t="s">
        <v>2560</v>
      </c>
      <c r="AI667" t="s">
        <v>37</v>
      </c>
    </row>
    <row r="668" spans="1:35" x14ac:dyDescent="0.25">
      <c r="A668" t="s">
        <v>2565</v>
      </c>
      <c r="B668" t="s">
        <v>2566</v>
      </c>
      <c r="C668" t="s">
        <v>2567</v>
      </c>
      <c r="D668" t="s">
        <v>37</v>
      </c>
      <c r="E668" t="s">
        <v>37</v>
      </c>
      <c r="F668" t="s">
        <v>2568</v>
      </c>
      <c r="G668" t="s">
        <v>39</v>
      </c>
      <c r="H668" t="s">
        <v>40</v>
      </c>
      <c r="I668" t="s">
        <v>41</v>
      </c>
      <c r="J668" t="s">
        <v>37</v>
      </c>
      <c r="K668" t="s">
        <v>37</v>
      </c>
      <c r="L668" t="s">
        <v>42</v>
      </c>
      <c r="M668" s="6">
        <v>45990.563900462963</v>
      </c>
      <c r="N668" t="s">
        <v>4265</v>
      </c>
      <c r="O668" s="1">
        <v>45990.563194444447</v>
      </c>
      <c r="P668" s="1">
        <v>45990.564305555556</v>
      </c>
      <c r="Q668" t="s">
        <v>4265</v>
      </c>
      <c r="R668" s="6">
        <v>45990.711805555555</v>
      </c>
      <c r="S668" t="s">
        <v>43</v>
      </c>
      <c r="T668">
        <v>24.99</v>
      </c>
      <c r="U668">
        <v>0</v>
      </c>
      <c r="V668">
        <v>24.99</v>
      </c>
      <c r="W668">
        <v>0</v>
      </c>
      <c r="X668">
        <v>0</v>
      </c>
      <c r="Y668">
        <v>0</v>
      </c>
      <c r="Z668">
        <v>24.99</v>
      </c>
      <c r="AA668" t="s">
        <v>44</v>
      </c>
      <c r="AB668" t="s">
        <v>45</v>
      </c>
      <c r="AC668" t="s">
        <v>46</v>
      </c>
      <c r="AD668" t="s">
        <v>2556</v>
      </c>
      <c r="AE668" t="s">
        <v>2557</v>
      </c>
      <c r="AF668" t="s">
        <v>2569</v>
      </c>
      <c r="AG668" t="s">
        <v>46</v>
      </c>
      <c r="AH668" t="s">
        <v>2570</v>
      </c>
      <c r="AI668" t="s">
        <v>37</v>
      </c>
    </row>
    <row r="669" spans="1:35" x14ac:dyDescent="0.25">
      <c r="A669" t="s">
        <v>2571</v>
      </c>
      <c r="B669" t="s">
        <v>34</v>
      </c>
      <c r="C669" t="s">
        <v>2572</v>
      </c>
      <c r="D669" t="s">
        <v>2573</v>
      </c>
      <c r="E669" t="s">
        <v>2574</v>
      </c>
      <c r="F669" t="s">
        <v>2575</v>
      </c>
      <c r="G669" t="s">
        <v>39</v>
      </c>
      <c r="H669" t="s">
        <v>40</v>
      </c>
      <c r="I669" t="s">
        <v>41</v>
      </c>
      <c r="J669" t="s">
        <v>37</v>
      </c>
      <c r="K669" t="s">
        <v>37</v>
      </c>
      <c r="L669" t="s">
        <v>42</v>
      </c>
      <c r="M669" s="6">
        <v>45991.574942129628</v>
      </c>
      <c r="N669" t="s">
        <v>4268</v>
      </c>
      <c r="O669" s="1">
        <v>46017.333333333336</v>
      </c>
      <c r="P669" s="1">
        <v>45991.57644675926</v>
      </c>
      <c r="Q669" t="s">
        <v>4268</v>
      </c>
      <c r="R669" s="6">
        <v>46017.711805555555</v>
      </c>
      <c r="S669" t="s">
        <v>43</v>
      </c>
      <c r="T669">
        <v>24.99</v>
      </c>
      <c r="U669">
        <v>0</v>
      </c>
      <c r="V669">
        <v>24.99</v>
      </c>
      <c r="W669">
        <v>0</v>
      </c>
      <c r="X669">
        <v>0</v>
      </c>
      <c r="Y669">
        <v>0</v>
      </c>
      <c r="Z669">
        <v>24.99</v>
      </c>
      <c r="AA669" t="s">
        <v>44</v>
      </c>
      <c r="AB669" t="s">
        <v>45</v>
      </c>
      <c r="AC669" t="s">
        <v>46</v>
      </c>
      <c r="AD669" t="s">
        <v>2556</v>
      </c>
      <c r="AE669" t="s">
        <v>2557</v>
      </c>
      <c r="AF669" t="s">
        <v>2576</v>
      </c>
      <c r="AG669" t="s">
        <v>46</v>
      </c>
      <c r="AH669" t="s">
        <v>2572</v>
      </c>
      <c r="AI669" t="s">
        <v>37</v>
      </c>
    </row>
    <row r="670" spans="1:35" x14ac:dyDescent="0.25">
      <c r="A670" t="s">
        <v>2577</v>
      </c>
      <c r="B670" t="s">
        <v>34</v>
      </c>
      <c r="C670" t="s">
        <v>2578</v>
      </c>
      <c r="D670" t="s">
        <v>2579</v>
      </c>
      <c r="E670" t="s">
        <v>2580</v>
      </c>
      <c r="F670" t="s">
        <v>2581</v>
      </c>
      <c r="G670" t="s">
        <v>39</v>
      </c>
      <c r="H670" t="s">
        <v>40</v>
      </c>
      <c r="I670" t="s">
        <v>41</v>
      </c>
      <c r="J670" t="s">
        <v>37</v>
      </c>
      <c r="K670" t="s">
        <v>37</v>
      </c>
      <c r="L670" t="s">
        <v>42</v>
      </c>
      <c r="M670" s="6">
        <v>45997.343287037038</v>
      </c>
      <c r="N670" t="s">
        <v>4265</v>
      </c>
      <c r="O670" s="1">
        <v>45997.34375</v>
      </c>
      <c r="P670" s="1">
        <v>45997.343506944446</v>
      </c>
      <c r="Q670" t="s">
        <v>4265</v>
      </c>
      <c r="R670" s="6">
        <v>45997.690972222219</v>
      </c>
      <c r="S670" t="s">
        <v>43</v>
      </c>
      <c r="T670">
        <v>24.99</v>
      </c>
      <c r="U670">
        <v>0</v>
      </c>
      <c r="V670">
        <v>24.99</v>
      </c>
      <c r="W670">
        <v>0</v>
      </c>
      <c r="X670">
        <v>0</v>
      </c>
      <c r="Y670">
        <v>0</v>
      </c>
      <c r="Z670">
        <v>24.99</v>
      </c>
      <c r="AA670" t="s">
        <v>44</v>
      </c>
      <c r="AB670" t="s">
        <v>45</v>
      </c>
      <c r="AC670" t="s">
        <v>46</v>
      </c>
      <c r="AD670" t="s">
        <v>2556</v>
      </c>
      <c r="AE670" t="s">
        <v>2557</v>
      </c>
      <c r="AF670" t="s">
        <v>2582</v>
      </c>
      <c r="AG670" t="s">
        <v>46</v>
      </c>
      <c r="AH670" t="s">
        <v>2578</v>
      </c>
      <c r="AI670" t="s">
        <v>37</v>
      </c>
    </row>
    <row r="671" spans="1:35" x14ac:dyDescent="0.25">
      <c r="A671" t="s">
        <v>2583</v>
      </c>
      <c r="B671" t="s">
        <v>34</v>
      </c>
      <c r="C671" t="s">
        <v>2584</v>
      </c>
      <c r="D671" t="s">
        <v>2585</v>
      </c>
      <c r="E671" t="s">
        <v>2586</v>
      </c>
      <c r="F671" t="s">
        <v>2587</v>
      </c>
      <c r="G671" t="s">
        <v>39</v>
      </c>
      <c r="H671" t="s">
        <v>40</v>
      </c>
      <c r="I671" t="s">
        <v>41</v>
      </c>
      <c r="J671" t="s">
        <v>37</v>
      </c>
      <c r="K671" t="s">
        <v>37</v>
      </c>
      <c r="L671" t="s">
        <v>42</v>
      </c>
      <c r="M671" s="6">
        <v>45997.378784722219</v>
      </c>
      <c r="N671" t="s">
        <v>4265</v>
      </c>
      <c r="O671" s="1">
        <v>45997.395833333336</v>
      </c>
      <c r="P671" s="1">
        <v>45997.378981481481</v>
      </c>
      <c r="Q671" t="s">
        <v>4265</v>
      </c>
      <c r="R671" s="6">
        <v>45997.670138888891</v>
      </c>
      <c r="S671" t="s">
        <v>43</v>
      </c>
      <c r="T671">
        <v>24.99</v>
      </c>
      <c r="U671">
        <v>0</v>
      </c>
      <c r="V671">
        <v>24.99</v>
      </c>
      <c r="W671">
        <v>0</v>
      </c>
      <c r="X671">
        <v>0</v>
      </c>
      <c r="Y671">
        <v>0</v>
      </c>
      <c r="Z671">
        <v>24.99</v>
      </c>
      <c r="AA671" t="s">
        <v>44</v>
      </c>
      <c r="AB671" t="s">
        <v>45</v>
      </c>
      <c r="AC671" t="s">
        <v>46</v>
      </c>
      <c r="AD671" t="s">
        <v>2556</v>
      </c>
      <c r="AE671" t="s">
        <v>2557</v>
      </c>
      <c r="AF671" t="s">
        <v>2588</v>
      </c>
      <c r="AG671" t="s">
        <v>46</v>
      </c>
      <c r="AH671" t="s">
        <v>2584</v>
      </c>
      <c r="AI671" t="s">
        <v>37</v>
      </c>
    </row>
    <row r="672" spans="1:35" x14ac:dyDescent="0.25">
      <c r="A672" t="s">
        <v>2589</v>
      </c>
      <c r="B672" t="s">
        <v>2566</v>
      </c>
      <c r="C672" t="s">
        <v>2590</v>
      </c>
      <c r="D672" t="s">
        <v>37</v>
      </c>
      <c r="E672" t="s">
        <v>37</v>
      </c>
      <c r="F672" t="s">
        <v>2591</v>
      </c>
      <c r="G672" t="s">
        <v>39</v>
      </c>
      <c r="H672" t="s">
        <v>40</v>
      </c>
      <c r="I672" t="s">
        <v>41</v>
      </c>
      <c r="J672" t="s">
        <v>37</v>
      </c>
      <c r="K672" t="s">
        <v>37</v>
      </c>
      <c r="L672" t="s">
        <v>42</v>
      </c>
      <c r="M672" s="6">
        <v>45997.418425925927</v>
      </c>
      <c r="N672" t="s">
        <v>4265</v>
      </c>
      <c r="O672" s="1">
        <v>45997.418055555558</v>
      </c>
      <c r="P672" s="1">
        <v>45997.418622685182</v>
      </c>
      <c r="Q672" t="s">
        <v>4266</v>
      </c>
      <c r="R672" s="6">
        <v>45998.461805555555</v>
      </c>
      <c r="S672" t="s">
        <v>43</v>
      </c>
      <c r="T672">
        <v>49.98</v>
      </c>
      <c r="U672">
        <v>0</v>
      </c>
      <c r="V672">
        <v>49.98</v>
      </c>
      <c r="W672">
        <v>0</v>
      </c>
      <c r="X672">
        <v>0</v>
      </c>
      <c r="Y672">
        <v>0</v>
      </c>
      <c r="Z672">
        <v>49.98</v>
      </c>
      <c r="AA672" t="s">
        <v>44</v>
      </c>
      <c r="AB672" t="s">
        <v>45</v>
      </c>
      <c r="AC672" t="s">
        <v>46</v>
      </c>
      <c r="AD672" t="s">
        <v>2556</v>
      </c>
      <c r="AE672" t="s">
        <v>2557</v>
      </c>
      <c r="AF672" t="s">
        <v>2592</v>
      </c>
      <c r="AG672" t="s">
        <v>46</v>
      </c>
      <c r="AH672" t="s">
        <v>2570</v>
      </c>
      <c r="AI672" t="s">
        <v>37</v>
      </c>
    </row>
    <row r="673" spans="1:35" x14ac:dyDescent="0.25">
      <c r="A673" t="s">
        <v>2593</v>
      </c>
      <c r="B673" t="s">
        <v>34</v>
      </c>
      <c r="C673" t="s">
        <v>2594</v>
      </c>
      <c r="D673" t="s">
        <v>2595</v>
      </c>
      <c r="E673" t="s">
        <v>2596</v>
      </c>
      <c r="F673" t="s">
        <v>2597</v>
      </c>
      <c r="G673" t="s">
        <v>39</v>
      </c>
      <c r="H673" t="s">
        <v>40</v>
      </c>
      <c r="I673" t="s">
        <v>41</v>
      </c>
      <c r="J673" t="s">
        <v>37</v>
      </c>
      <c r="K673" t="s">
        <v>37</v>
      </c>
      <c r="L673" t="s">
        <v>42</v>
      </c>
      <c r="M673" s="6">
        <v>46000.241944444446</v>
      </c>
      <c r="N673" t="s">
        <v>4265</v>
      </c>
      <c r="O673" s="1"/>
      <c r="P673" s="1">
        <v>46000.241944444446</v>
      </c>
      <c r="Q673" t="s">
        <v>4265</v>
      </c>
      <c r="S673" t="s">
        <v>43</v>
      </c>
      <c r="T673">
        <v>24.99</v>
      </c>
      <c r="U673">
        <v>0</v>
      </c>
      <c r="V673">
        <v>24.99</v>
      </c>
      <c r="W673">
        <v>0</v>
      </c>
      <c r="X673">
        <v>0</v>
      </c>
      <c r="Y673">
        <v>-25</v>
      </c>
      <c r="Z673">
        <v>0</v>
      </c>
      <c r="AA673" t="s">
        <v>44</v>
      </c>
      <c r="AB673" t="s">
        <v>115</v>
      </c>
      <c r="AC673" t="s">
        <v>46</v>
      </c>
      <c r="AD673" t="s">
        <v>2556</v>
      </c>
      <c r="AE673" t="s">
        <v>2557</v>
      </c>
      <c r="AF673" t="s">
        <v>2598</v>
      </c>
      <c r="AG673" t="s">
        <v>46</v>
      </c>
      <c r="AH673" t="s">
        <v>2594</v>
      </c>
      <c r="AI673" t="s">
        <v>37</v>
      </c>
    </row>
    <row r="674" spans="1:35" x14ac:dyDescent="0.25">
      <c r="A674" t="s">
        <v>2599</v>
      </c>
      <c r="B674" t="s">
        <v>34</v>
      </c>
      <c r="C674" t="s">
        <v>2594</v>
      </c>
      <c r="D674" t="s">
        <v>2595</v>
      </c>
      <c r="E674" t="s">
        <v>2596</v>
      </c>
      <c r="F674" t="s">
        <v>2600</v>
      </c>
      <c r="G674" t="s">
        <v>2601</v>
      </c>
      <c r="H674" t="s">
        <v>40</v>
      </c>
      <c r="I674" t="s">
        <v>41</v>
      </c>
      <c r="J674" t="s">
        <v>37</v>
      </c>
      <c r="K674" t="s">
        <v>37</v>
      </c>
      <c r="L674" t="s">
        <v>42</v>
      </c>
      <c r="M674" s="6">
        <v>46000.247060185182</v>
      </c>
      <c r="N674" t="s">
        <v>4265</v>
      </c>
      <c r="O674" s="1"/>
      <c r="P674" s="1">
        <v>46000.247060185182</v>
      </c>
      <c r="Q674" t="s">
        <v>4265</v>
      </c>
      <c r="S674" t="s">
        <v>43</v>
      </c>
      <c r="T674">
        <v>24.99</v>
      </c>
      <c r="U674">
        <v>0</v>
      </c>
      <c r="V674">
        <v>24.99</v>
      </c>
      <c r="W674">
        <v>0</v>
      </c>
      <c r="X674">
        <v>0</v>
      </c>
      <c r="Y674">
        <v>-25</v>
      </c>
      <c r="Z674">
        <v>0</v>
      </c>
      <c r="AA674" t="s">
        <v>44</v>
      </c>
      <c r="AB674" t="s">
        <v>115</v>
      </c>
      <c r="AC674" t="s">
        <v>46</v>
      </c>
      <c r="AD674" t="s">
        <v>2556</v>
      </c>
      <c r="AE674" t="s">
        <v>2557</v>
      </c>
      <c r="AF674" t="s">
        <v>2602</v>
      </c>
      <c r="AG674" t="s">
        <v>46</v>
      </c>
      <c r="AH674" t="s">
        <v>2594</v>
      </c>
      <c r="AI674" t="s">
        <v>37</v>
      </c>
    </row>
    <row r="675" spans="1:35" x14ac:dyDescent="0.25">
      <c r="A675" t="s">
        <v>2603</v>
      </c>
      <c r="B675" t="s">
        <v>34</v>
      </c>
      <c r="C675" t="s">
        <v>2604</v>
      </c>
      <c r="D675" t="s">
        <v>2605</v>
      </c>
      <c r="E675" t="s">
        <v>2606</v>
      </c>
      <c r="F675" t="s">
        <v>2607</v>
      </c>
      <c r="G675" t="s">
        <v>39</v>
      </c>
      <c r="H675" t="s">
        <v>40</v>
      </c>
      <c r="I675" t="s">
        <v>41</v>
      </c>
      <c r="J675" t="s">
        <v>37</v>
      </c>
      <c r="K675" t="s">
        <v>37</v>
      </c>
      <c r="L675" t="s">
        <v>42</v>
      </c>
      <c r="M675" s="6">
        <v>46001.391840277778</v>
      </c>
      <c r="N675" t="s">
        <v>4265</v>
      </c>
      <c r="O675" s="1">
        <v>46004.291666666664</v>
      </c>
      <c r="P675" s="1">
        <v>46001.392453703702</v>
      </c>
      <c r="Q675" t="s">
        <v>4265</v>
      </c>
      <c r="R675" s="6">
        <v>46004.711805555555</v>
      </c>
      <c r="S675" t="s">
        <v>43</v>
      </c>
      <c r="T675">
        <v>24.99</v>
      </c>
      <c r="U675">
        <v>0</v>
      </c>
      <c r="V675">
        <v>24.99</v>
      </c>
      <c r="W675">
        <v>0</v>
      </c>
      <c r="X675">
        <v>0</v>
      </c>
      <c r="Y675">
        <v>0</v>
      </c>
      <c r="Z675">
        <v>24.99</v>
      </c>
      <c r="AA675" t="s">
        <v>44</v>
      </c>
      <c r="AB675" t="s">
        <v>45</v>
      </c>
      <c r="AC675" t="s">
        <v>46</v>
      </c>
      <c r="AD675" t="s">
        <v>2556</v>
      </c>
      <c r="AE675" t="s">
        <v>2557</v>
      </c>
      <c r="AF675" t="s">
        <v>2608</v>
      </c>
      <c r="AG675" t="s">
        <v>46</v>
      </c>
      <c r="AH675" t="s">
        <v>2604</v>
      </c>
      <c r="AI675" t="s">
        <v>37</v>
      </c>
    </row>
    <row r="676" spans="1:35" x14ac:dyDescent="0.25">
      <c r="A676" t="s">
        <v>2609</v>
      </c>
      <c r="B676" t="s">
        <v>34</v>
      </c>
      <c r="C676" t="s">
        <v>2610</v>
      </c>
      <c r="D676" t="s">
        <v>2611</v>
      </c>
      <c r="E676" t="s">
        <v>2612</v>
      </c>
      <c r="F676" t="s">
        <v>2613</v>
      </c>
      <c r="G676" t="s">
        <v>39</v>
      </c>
      <c r="H676" t="s">
        <v>40</v>
      </c>
      <c r="I676" t="s">
        <v>41</v>
      </c>
      <c r="J676" t="s">
        <v>37</v>
      </c>
      <c r="K676" t="s">
        <v>37</v>
      </c>
      <c r="L676" t="s">
        <v>42</v>
      </c>
      <c r="M676" s="6">
        <v>46001.429432870369</v>
      </c>
      <c r="N676" t="s">
        <v>4265</v>
      </c>
      <c r="O676" s="1">
        <v>46004.375</v>
      </c>
      <c r="P676" s="1">
        <v>46001.430023148147</v>
      </c>
      <c r="Q676" t="s">
        <v>4265</v>
      </c>
      <c r="R676" s="6">
        <v>46004.711805555555</v>
      </c>
      <c r="S676" t="s">
        <v>43</v>
      </c>
      <c r="T676">
        <v>24.99</v>
      </c>
      <c r="U676">
        <v>0</v>
      </c>
      <c r="V676">
        <v>24.99</v>
      </c>
      <c r="W676">
        <v>0</v>
      </c>
      <c r="X676">
        <v>0</v>
      </c>
      <c r="Y676">
        <v>0</v>
      </c>
      <c r="Z676">
        <v>24.99</v>
      </c>
      <c r="AA676" t="s">
        <v>44</v>
      </c>
      <c r="AB676" t="s">
        <v>45</v>
      </c>
      <c r="AC676" t="s">
        <v>46</v>
      </c>
      <c r="AD676" t="s">
        <v>2556</v>
      </c>
      <c r="AE676" t="s">
        <v>2557</v>
      </c>
      <c r="AF676" t="s">
        <v>2614</v>
      </c>
      <c r="AG676" t="s">
        <v>46</v>
      </c>
      <c r="AH676" t="s">
        <v>2610</v>
      </c>
      <c r="AI676" t="s">
        <v>37</v>
      </c>
    </row>
    <row r="677" spans="1:35" x14ac:dyDescent="0.25">
      <c r="A677" t="s">
        <v>2615</v>
      </c>
      <c r="B677" t="s">
        <v>34</v>
      </c>
      <c r="C677" t="s">
        <v>726</v>
      </c>
      <c r="D677" t="s">
        <v>727</v>
      </c>
      <c r="E677" t="s">
        <v>37</v>
      </c>
      <c r="F677" t="s">
        <v>728</v>
      </c>
      <c r="G677" t="s">
        <v>39</v>
      </c>
      <c r="H677" t="s">
        <v>40</v>
      </c>
      <c r="I677" t="s">
        <v>41</v>
      </c>
      <c r="J677" t="s">
        <v>37</v>
      </c>
      <c r="K677" t="s">
        <v>37</v>
      </c>
      <c r="L677" t="s">
        <v>42</v>
      </c>
      <c r="M677" s="6">
        <v>46003.629189814812</v>
      </c>
      <c r="N677" t="s">
        <v>4268</v>
      </c>
      <c r="O677" s="1">
        <v>46024.333333333336</v>
      </c>
      <c r="P677" s="1">
        <v>46003.629618055558</v>
      </c>
      <c r="Q677" t="s">
        <v>4268</v>
      </c>
      <c r="R677" s="6">
        <v>46024.711805555555</v>
      </c>
      <c r="S677" t="s">
        <v>43</v>
      </c>
      <c r="T677">
        <v>24.99</v>
      </c>
      <c r="U677">
        <v>0</v>
      </c>
      <c r="V677">
        <v>24.99</v>
      </c>
      <c r="W677">
        <v>0</v>
      </c>
      <c r="X677">
        <v>0</v>
      </c>
      <c r="Y677">
        <v>0</v>
      </c>
      <c r="Z677">
        <v>24.99</v>
      </c>
      <c r="AA677" t="s">
        <v>44</v>
      </c>
      <c r="AB677" t="s">
        <v>45</v>
      </c>
      <c r="AC677" t="s">
        <v>46</v>
      </c>
      <c r="AD677" t="s">
        <v>2556</v>
      </c>
      <c r="AE677" t="s">
        <v>2557</v>
      </c>
      <c r="AF677" t="s">
        <v>2616</v>
      </c>
      <c r="AG677" t="s">
        <v>46</v>
      </c>
      <c r="AH677" t="s">
        <v>726</v>
      </c>
      <c r="AI677" t="s">
        <v>37</v>
      </c>
    </row>
    <row r="678" spans="1:35" x14ac:dyDescent="0.25">
      <c r="A678" t="s">
        <v>2617</v>
      </c>
      <c r="B678" t="s">
        <v>34</v>
      </c>
      <c r="C678" t="s">
        <v>2618</v>
      </c>
      <c r="D678" t="s">
        <v>2619</v>
      </c>
      <c r="E678" t="s">
        <v>2620</v>
      </c>
      <c r="F678" t="s">
        <v>2621</v>
      </c>
      <c r="G678" t="s">
        <v>39</v>
      </c>
      <c r="H678" t="s">
        <v>40</v>
      </c>
      <c r="I678" t="s">
        <v>41</v>
      </c>
      <c r="J678" t="s">
        <v>37</v>
      </c>
      <c r="K678" t="s">
        <v>37</v>
      </c>
      <c r="L678" t="s">
        <v>42</v>
      </c>
      <c r="M678" s="6">
        <v>46003.822685185187</v>
      </c>
      <c r="N678" t="s">
        <v>4265</v>
      </c>
      <c r="O678" s="1">
        <v>46004.375</v>
      </c>
      <c r="P678" s="1">
        <v>46003.823067129626</v>
      </c>
      <c r="Q678" t="s">
        <v>4265</v>
      </c>
      <c r="R678" s="6">
        <v>46004.670138888891</v>
      </c>
      <c r="S678" t="s">
        <v>43</v>
      </c>
      <c r="T678">
        <v>24.99</v>
      </c>
      <c r="U678">
        <v>0</v>
      </c>
      <c r="V678">
        <v>24.99</v>
      </c>
      <c r="W678">
        <v>0</v>
      </c>
      <c r="X678">
        <v>0</v>
      </c>
      <c r="Y678">
        <v>0</v>
      </c>
      <c r="Z678">
        <v>24.99</v>
      </c>
      <c r="AA678" t="s">
        <v>44</v>
      </c>
      <c r="AB678" t="s">
        <v>45</v>
      </c>
      <c r="AC678" t="s">
        <v>46</v>
      </c>
      <c r="AD678" t="s">
        <v>2556</v>
      </c>
      <c r="AE678" t="s">
        <v>2557</v>
      </c>
      <c r="AF678" t="s">
        <v>2622</v>
      </c>
      <c r="AG678" t="s">
        <v>46</v>
      </c>
      <c r="AH678" t="s">
        <v>2618</v>
      </c>
      <c r="AI678" t="s">
        <v>37</v>
      </c>
    </row>
    <row r="679" spans="1:35" x14ac:dyDescent="0.25">
      <c r="A679" t="s">
        <v>2623</v>
      </c>
      <c r="B679" t="s">
        <v>34</v>
      </c>
      <c r="C679" t="s">
        <v>2624</v>
      </c>
      <c r="D679" t="s">
        <v>2625</v>
      </c>
      <c r="E679" t="s">
        <v>2626</v>
      </c>
      <c r="F679" t="s">
        <v>2627</v>
      </c>
      <c r="G679" t="s">
        <v>39</v>
      </c>
      <c r="H679" t="s">
        <v>40</v>
      </c>
      <c r="I679" t="s">
        <v>41</v>
      </c>
      <c r="J679" t="s">
        <v>37</v>
      </c>
      <c r="K679" t="s">
        <v>37</v>
      </c>
      <c r="L679" t="s">
        <v>42</v>
      </c>
      <c r="M679" s="6">
        <v>46003.859351851854</v>
      </c>
      <c r="N679" t="s">
        <v>4265</v>
      </c>
      <c r="O679" s="1">
        <v>46004.333333333336</v>
      </c>
      <c r="P679" s="1">
        <v>46003.860023148147</v>
      </c>
      <c r="Q679" t="s">
        <v>4265</v>
      </c>
      <c r="R679" s="6">
        <v>46004.670138888891</v>
      </c>
      <c r="S679" t="s">
        <v>43</v>
      </c>
      <c r="T679">
        <v>24.99</v>
      </c>
      <c r="U679">
        <v>0</v>
      </c>
      <c r="V679">
        <v>24.99</v>
      </c>
      <c r="W679">
        <v>0</v>
      </c>
      <c r="X679">
        <v>0</v>
      </c>
      <c r="Y679">
        <v>0</v>
      </c>
      <c r="Z679">
        <v>24.99</v>
      </c>
      <c r="AA679" t="s">
        <v>44</v>
      </c>
      <c r="AB679" t="s">
        <v>45</v>
      </c>
      <c r="AC679" t="s">
        <v>46</v>
      </c>
      <c r="AD679" t="s">
        <v>2556</v>
      </c>
      <c r="AE679" t="s">
        <v>2557</v>
      </c>
      <c r="AF679" t="s">
        <v>2628</v>
      </c>
      <c r="AG679" t="s">
        <v>46</v>
      </c>
      <c r="AH679" t="s">
        <v>2624</v>
      </c>
      <c r="AI679" t="s">
        <v>37</v>
      </c>
    </row>
    <row r="680" spans="1:35" x14ac:dyDescent="0.25">
      <c r="A680" t="s">
        <v>2629</v>
      </c>
      <c r="B680" t="s">
        <v>34</v>
      </c>
      <c r="C680" t="s">
        <v>2630</v>
      </c>
      <c r="D680" t="s">
        <v>2631</v>
      </c>
      <c r="E680" t="s">
        <v>2632</v>
      </c>
      <c r="F680" t="s">
        <v>2633</v>
      </c>
      <c r="G680" t="s">
        <v>2601</v>
      </c>
      <c r="H680" t="s">
        <v>40</v>
      </c>
      <c r="I680" t="s">
        <v>41</v>
      </c>
      <c r="J680" t="s">
        <v>37</v>
      </c>
      <c r="K680" t="s">
        <v>37</v>
      </c>
      <c r="L680" t="s">
        <v>42</v>
      </c>
      <c r="M680" s="6">
        <v>46004.528368055559</v>
      </c>
      <c r="N680" t="s">
        <v>4265</v>
      </c>
      <c r="O680" s="1">
        <v>46004.53125</v>
      </c>
      <c r="P680" s="1">
        <v>46004.528865740744</v>
      </c>
      <c r="Q680" t="s">
        <v>4265</v>
      </c>
      <c r="R680" s="6">
        <v>46004.628472222219</v>
      </c>
      <c r="S680" t="s">
        <v>43</v>
      </c>
      <c r="T680">
        <v>24.99</v>
      </c>
      <c r="U680">
        <v>0</v>
      </c>
      <c r="V680">
        <v>24.99</v>
      </c>
      <c r="W680">
        <v>0</v>
      </c>
      <c r="X680">
        <v>0</v>
      </c>
      <c r="Y680">
        <v>0</v>
      </c>
      <c r="Z680">
        <v>24.99</v>
      </c>
      <c r="AA680" t="s">
        <v>44</v>
      </c>
      <c r="AB680" t="s">
        <v>45</v>
      </c>
      <c r="AC680" t="s">
        <v>46</v>
      </c>
      <c r="AD680" t="s">
        <v>2556</v>
      </c>
      <c r="AE680" t="s">
        <v>2557</v>
      </c>
      <c r="AF680" t="s">
        <v>2634</v>
      </c>
      <c r="AG680" t="s">
        <v>46</v>
      </c>
      <c r="AH680" t="s">
        <v>2630</v>
      </c>
      <c r="AI680" t="s">
        <v>37</v>
      </c>
    </row>
    <row r="681" spans="1:35" x14ac:dyDescent="0.25">
      <c r="A681" t="s">
        <v>2635</v>
      </c>
      <c r="B681" t="s">
        <v>34</v>
      </c>
      <c r="C681" t="s">
        <v>2624</v>
      </c>
      <c r="D681" t="s">
        <v>2625</v>
      </c>
      <c r="E681" t="s">
        <v>2626</v>
      </c>
      <c r="F681" t="s">
        <v>2627</v>
      </c>
      <c r="G681" t="s">
        <v>39</v>
      </c>
      <c r="H681" t="s">
        <v>40</v>
      </c>
      <c r="I681" t="s">
        <v>41</v>
      </c>
      <c r="J681" t="s">
        <v>37</v>
      </c>
      <c r="K681" t="s">
        <v>37</v>
      </c>
      <c r="L681" t="s">
        <v>42</v>
      </c>
      <c r="M681" s="6">
        <v>46004.889814814815</v>
      </c>
      <c r="N681" t="s">
        <v>4266</v>
      </c>
      <c r="O681" s="1">
        <v>46005.291666666664</v>
      </c>
      <c r="P681" s="1">
        <v>46004.890405092592</v>
      </c>
      <c r="Q681" t="s">
        <v>4266</v>
      </c>
      <c r="R681" s="6">
        <v>46005.628472222219</v>
      </c>
      <c r="S681" t="s">
        <v>43</v>
      </c>
      <c r="T681">
        <v>24.99</v>
      </c>
      <c r="U681">
        <v>0</v>
      </c>
      <c r="V681">
        <v>24.99</v>
      </c>
      <c r="W681">
        <v>0</v>
      </c>
      <c r="X681">
        <v>0</v>
      </c>
      <c r="Y681">
        <v>0</v>
      </c>
      <c r="Z681">
        <v>24.99</v>
      </c>
      <c r="AA681" t="s">
        <v>44</v>
      </c>
      <c r="AB681" t="s">
        <v>45</v>
      </c>
      <c r="AC681" t="s">
        <v>46</v>
      </c>
      <c r="AD681" t="s">
        <v>2556</v>
      </c>
      <c r="AE681" t="s">
        <v>2557</v>
      </c>
      <c r="AF681" t="s">
        <v>2636</v>
      </c>
      <c r="AG681" t="s">
        <v>46</v>
      </c>
      <c r="AH681" t="s">
        <v>2624</v>
      </c>
      <c r="AI681" t="s">
        <v>37</v>
      </c>
    </row>
    <row r="682" spans="1:35" x14ac:dyDescent="0.25">
      <c r="A682" t="s">
        <v>2637</v>
      </c>
      <c r="B682" t="s">
        <v>34</v>
      </c>
      <c r="C682" t="s">
        <v>2638</v>
      </c>
      <c r="D682" t="s">
        <v>2639</v>
      </c>
      <c r="E682" t="s">
        <v>2640</v>
      </c>
      <c r="F682" t="s">
        <v>2641</v>
      </c>
      <c r="G682" t="s">
        <v>39</v>
      </c>
      <c r="H682" t="s">
        <v>40</v>
      </c>
      <c r="I682" t="s">
        <v>41</v>
      </c>
      <c r="J682" t="s">
        <v>37</v>
      </c>
      <c r="K682" t="s">
        <v>37</v>
      </c>
      <c r="L682" t="s">
        <v>42</v>
      </c>
      <c r="M682" s="6">
        <v>46006.315949074073</v>
      </c>
      <c r="N682" t="s">
        <v>4265</v>
      </c>
      <c r="O682" s="1">
        <v>46018.333333333336</v>
      </c>
      <c r="P682" s="1">
        <v>46006.316377314812</v>
      </c>
      <c r="Q682" t="s">
        <v>4265</v>
      </c>
      <c r="R682" s="6">
        <v>46018.670138888891</v>
      </c>
      <c r="S682" t="s">
        <v>43</v>
      </c>
      <c r="T682">
        <v>24.99</v>
      </c>
      <c r="U682">
        <v>0</v>
      </c>
      <c r="V682">
        <v>24.99</v>
      </c>
      <c r="W682">
        <v>0</v>
      </c>
      <c r="X682">
        <v>0</v>
      </c>
      <c r="Y682">
        <v>0</v>
      </c>
      <c r="Z682">
        <v>24.99</v>
      </c>
      <c r="AA682" t="s">
        <v>44</v>
      </c>
      <c r="AB682" t="s">
        <v>45</v>
      </c>
      <c r="AC682" t="s">
        <v>46</v>
      </c>
      <c r="AD682" t="s">
        <v>2556</v>
      </c>
      <c r="AE682" t="s">
        <v>2557</v>
      </c>
      <c r="AF682" t="s">
        <v>2642</v>
      </c>
      <c r="AG682" t="s">
        <v>46</v>
      </c>
      <c r="AH682" t="s">
        <v>2638</v>
      </c>
      <c r="AI682" t="s">
        <v>37</v>
      </c>
    </row>
    <row r="683" spans="1:35" x14ac:dyDescent="0.25">
      <c r="A683" t="s">
        <v>2643</v>
      </c>
      <c r="B683" t="s">
        <v>34</v>
      </c>
      <c r="C683" t="s">
        <v>2644</v>
      </c>
      <c r="D683" t="s">
        <v>2645</v>
      </c>
      <c r="E683" t="s">
        <v>2646</v>
      </c>
      <c r="F683" t="s">
        <v>2647</v>
      </c>
      <c r="G683" t="s">
        <v>39</v>
      </c>
      <c r="H683" t="s">
        <v>40</v>
      </c>
      <c r="I683" t="s">
        <v>41</v>
      </c>
      <c r="J683" t="s">
        <v>37</v>
      </c>
      <c r="K683" t="s">
        <v>37</v>
      </c>
      <c r="L683" t="s">
        <v>42</v>
      </c>
      <c r="M683" s="6">
        <v>46008.51971064815</v>
      </c>
      <c r="N683" t="s">
        <v>4268</v>
      </c>
      <c r="O683" s="1">
        <v>46010.333333333336</v>
      </c>
      <c r="P683" s="1">
        <v>46008.520775462966</v>
      </c>
      <c r="Q683" t="s">
        <v>4265</v>
      </c>
      <c r="R683" s="6">
        <v>46011.690972222219</v>
      </c>
      <c r="S683" t="s">
        <v>43</v>
      </c>
      <c r="T683">
        <v>49.98</v>
      </c>
      <c r="U683">
        <v>0</v>
      </c>
      <c r="V683">
        <v>49.98</v>
      </c>
      <c r="W683">
        <v>0</v>
      </c>
      <c r="X683">
        <v>0</v>
      </c>
      <c r="Y683">
        <v>0</v>
      </c>
      <c r="Z683">
        <v>49.98</v>
      </c>
      <c r="AA683" t="s">
        <v>44</v>
      </c>
      <c r="AB683" t="s">
        <v>45</v>
      </c>
      <c r="AC683" t="s">
        <v>46</v>
      </c>
      <c r="AD683" t="s">
        <v>2556</v>
      </c>
      <c r="AE683" t="s">
        <v>2557</v>
      </c>
      <c r="AF683" t="s">
        <v>2648</v>
      </c>
      <c r="AG683" t="s">
        <v>46</v>
      </c>
      <c r="AH683" t="s">
        <v>2644</v>
      </c>
      <c r="AI683" t="s">
        <v>37</v>
      </c>
    </row>
    <row r="684" spans="1:35" x14ac:dyDescent="0.25">
      <c r="A684" t="s">
        <v>2649</v>
      </c>
      <c r="B684" t="s">
        <v>34</v>
      </c>
      <c r="C684" t="s">
        <v>2650</v>
      </c>
      <c r="D684" t="s">
        <v>2651</v>
      </c>
      <c r="E684" t="s">
        <v>2652</v>
      </c>
      <c r="F684" t="s">
        <v>2653</v>
      </c>
      <c r="G684" t="s">
        <v>39</v>
      </c>
      <c r="H684" t="s">
        <v>40</v>
      </c>
      <c r="I684" t="s">
        <v>41</v>
      </c>
      <c r="J684" t="s">
        <v>37</v>
      </c>
      <c r="K684" t="s">
        <v>37</v>
      </c>
      <c r="L684" t="s">
        <v>42</v>
      </c>
      <c r="M684" s="6">
        <v>46009.393287037034</v>
      </c>
      <c r="N684" t="s">
        <v>4268</v>
      </c>
      <c r="O684" s="1">
        <v>46094.333333333336</v>
      </c>
      <c r="P684" s="1">
        <v>46009.393287037034</v>
      </c>
      <c r="Q684" t="s">
        <v>4268</v>
      </c>
      <c r="R684" s="6">
        <v>46094.670138888891</v>
      </c>
      <c r="S684" t="s">
        <v>43</v>
      </c>
      <c r="T684">
        <v>24.99</v>
      </c>
      <c r="U684">
        <v>0</v>
      </c>
      <c r="V684">
        <v>24.99</v>
      </c>
      <c r="W684">
        <v>0</v>
      </c>
      <c r="X684">
        <v>0</v>
      </c>
      <c r="Y684">
        <v>0</v>
      </c>
      <c r="Z684">
        <v>24.99</v>
      </c>
      <c r="AA684" t="s">
        <v>44</v>
      </c>
      <c r="AB684" t="s">
        <v>45</v>
      </c>
      <c r="AC684" t="s">
        <v>46</v>
      </c>
      <c r="AD684" t="s">
        <v>2556</v>
      </c>
      <c r="AE684" t="s">
        <v>2557</v>
      </c>
      <c r="AF684" t="s">
        <v>2654</v>
      </c>
      <c r="AG684" t="s">
        <v>46</v>
      </c>
      <c r="AH684" t="s">
        <v>2650</v>
      </c>
      <c r="AI684" t="s">
        <v>37</v>
      </c>
    </row>
    <row r="685" spans="1:35" x14ac:dyDescent="0.25">
      <c r="A685" t="s">
        <v>2655</v>
      </c>
      <c r="B685" t="s">
        <v>34</v>
      </c>
      <c r="C685" t="s">
        <v>2656</v>
      </c>
      <c r="D685" t="s">
        <v>2657</v>
      </c>
      <c r="E685" t="s">
        <v>2658</v>
      </c>
      <c r="F685" t="s">
        <v>2659</v>
      </c>
      <c r="G685" t="s">
        <v>39</v>
      </c>
      <c r="H685" t="s">
        <v>40</v>
      </c>
      <c r="I685" t="s">
        <v>41</v>
      </c>
      <c r="J685" t="s">
        <v>37</v>
      </c>
      <c r="K685" t="s">
        <v>37</v>
      </c>
      <c r="L685" t="s">
        <v>42</v>
      </c>
      <c r="M685" s="6">
        <v>46011.705057870371</v>
      </c>
      <c r="N685" t="s">
        <v>4262</v>
      </c>
      <c r="O685" s="1">
        <v>46013.34375</v>
      </c>
      <c r="P685" s="1">
        <v>46011.705543981479</v>
      </c>
      <c r="Q685" t="s">
        <v>4262</v>
      </c>
      <c r="R685" s="6">
        <v>46013.711805555555</v>
      </c>
      <c r="S685" t="s">
        <v>43</v>
      </c>
      <c r="T685">
        <v>24.99</v>
      </c>
      <c r="U685">
        <v>0</v>
      </c>
      <c r="V685">
        <v>24.99</v>
      </c>
      <c r="W685">
        <v>0</v>
      </c>
      <c r="X685">
        <v>0</v>
      </c>
      <c r="Y685">
        <v>0</v>
      </c>
      <c r="Z685">
        <v>24.99</v>
      </c>
      <c r="AA685" t="s">
        <v>44</v>
      </c>
      <c r="AB685" t="s">
        <v>45</v>
      </c>
      <c r="AC685" t="s">
        <v>46</v>
      </c>
      <c r="AD685" t="s">
        <v>2556</v>
      </c>
      <c r="AE685" t="s">
        <v>2557</v>
      </c>
      <c r="AF685" t="s">
        <v>2660</v>
      </c>
      <c r="AG685" t="s">
        <v>46</v>
      </c>
      <c r="AH685" t="s">
        <v>2656</v>
      </c>
      <c r="AI685" t="s">
        <v>37</v>
      </c>
    </row>
    <row r="686" spans="1:35" x14ac:dyDescent="0.25">
      <c r="A686" t="s">
        <v>2661</v>
      </c>
      <c r="B686" t="s">
        <v>34</v>
      </c>
      <c r="C686" t="s">
        <v>2662</v>
      </c>
      <c r="D686" t="s">
        <v>2663</v>
      </c>
      <c r="E686" t="s">
        <v>2664</v>
      </c>
      <c r="F686" t="s">
        <v>2665</v>
      </c>
      <c r="G686" t="s">
        <v>39</v>
      </c>
      <c r="H686" t="s">
        <v>40</v>
      </c>
      <c r="I686" t="s">
        <v>41</v>
      </c>
      <c r="J686" t="s">
        <v>37</v>
      </c>
      <c r="K686" t="s">
        <v>37</v>
      </c>
      <c r="L686" t="s">
        <v>42</v>
      </c>
      <c r="M686" s="6">
        <v>46011.736863425926</v>
      </c>
      <c r="N686" t="s">
        <v>4266</v>
      </c>
      <c r="O686" s="1">
        <v>46012.395833333336</v>
      </c>
      <c r="P686" s="1">
        <v>46011.737233796295</v>
      </c>
      <c r="Q686" t="s">
        <v>4266</v>
      </c>
      <c r="R686" s="6">
        <v>46012.701388888891</v>
      </c>
      <c r="S686" t="s">
        <v>43</v>
      </c>
      <c r="T686">
        <v>24.99</v>
      </c>
      <c r="U686">
        <v>0</v>
      </c>
      <c r="V686">
        <v>24.99</v>
      </c>
      <c r="W686">
        <v>0</v>
      </c>
      <c r="X686">
        <v>0</v>
      </c>
      <c r="Y686">
        <v>0</v>
      </c>
      <c r="Z686">
        <v>24.99</v>
      </c>
      <c r="AA686" t="s">
        <v>44</v>
      </c>
      <c r="AB686" t="s">
        <v>45</v>
      </c>
      <c r="AC686" t="s">
        <v>46</v>
      </c>
      <c r="AD686" t="s">
        <v>2556</v>
      </c>
      <c r="AE686" t="s">
        <v>2557</v>
      </c>
      <c r="AF686" t="s">
        <v>2666</v>
      </c>
      <c r="AG686" t="s">
        <v>46</v>
      </c>
      <c r="AH686" t="s">
        <v>2662</v>
      </c>
      <c r="AI686" t="s">
        <v>37</v>
      </c>
    </row>
    <row r="687" spans="1:35" x14ac:dyDescent="0.25">
      <c r="A687" t="s">
        <v>2667</v>
      </c>
      <c r="B687" t="s">
        <v>34</v>
      </c>
      <c r="C687" t="s">
        <v>1901</v>
      </c>
      <c r="D687" t="s">
        <v>1902</v>
      </c>
      <c r="E687" t="s">
        <v>37</v>
      </c>
      <c r="F687" t="s">
        <v>2668</v>
      </c>
      <c r="G687" t="s">
        <v>39</v>
      </c>
      <c r="H687" t="s">
        <v>40</v>
      </c>
      <c r="I687" t="s">
        <v>41</v>
      </c>
      <c r="J687" t="s">
        <v>37</v>
      </c>
      <c r="K687" t="s">
        <v>37</v>
      </c>
      <c r="L687" t="s">
        <v>42</v>
      </c>
      <c r="M687" s="6">
        <v>46011.823854166665</v>
      </c>
      <c r="N687" t="s">
        <v>4266</v>
      </c>
      <c r="O687" s="1">
        <v>46012.333333333336</v>
      </c>
      <c r="P687" s="1">
        <v>46011.824340277781</v>
      </c>
      <c r="Q687" t="s">
        <v>4266</v>
      </c>
      <c r="R687" s="6">
        <v>46012.753472222219</v>
      </c>
      <c r="S687" t="s">
        <v>43</v>
      </c>
      <c r="T687">
        <v>24.99</v>
      </c>
      <c r="U687">
        <v>0</v>
      </c>
      <c r="V687">
        <v>24.99</v>
      </c>
      <c r="W687">
        <v>0</v>
      </c>
      <c r="X687">
        <v>0</v>
      </c>
      <c r="Y687">
        <v>0</v>
      </c>
      <c r="Z687">
        <v>24.99</v>
      </c>
      <c r="AA687" t="s">
        <v>44</v>
      </c>
      <c r="AB687" t="s">
        <v>45</v>
      </c>
      <c r="AC687" t="s">
        <v>46</v>
      </c>
      <c r="AD687" t="s">
        <v>2556</v>
      </c>
      <c r="AE687" t="s">
        <v>2557</v>
      </c>
      <c r="AF687" t="s">
        <v>2669</v>
      </c>
      <c r="AG687" t="s">
        <v>46</v>
      </c>
      <c r="AH687" t="s">
        <v>1901</v>
      </c>
      <c r="AI687" t="s">
        <v>37</v>
      </c>
    </row>
    <row r="688" spans="1:35" x14ac:dyDescent="0.25">
      <c r="A688" t="s">
        <v>2670</v>
      </c>
      <c r="B688" t="s">
        <v>34</v>
      </c>
      <c r="C688" t="s">
        <v>2227</v>
      </c>
      <c r="D688" t="s">
        <v>2228</v>
      </c>
      <c r="E688" t="s">
        <v>37</v>
      </c>
      <c r="F688" t="s">
        <v>2229</v>
      </c>
      <c r="G688" t="s">
        <v>39</v>
      </c>
      <c r="H688" t="s">
        <v>40</v>
      </c>
      <c r="I688" t="s">
        <v>41</v>
      </c>
      <c r="J688" t="s">
        <v>37</v>
      </c>
      <c r="K688" t="s">
        <v>37</v>
      </c>
      <c r="L688" t="s">
        <v>42</v>
      </c>
      <c r="M688" s="6">
        <v>46011.830925925926</v>
      </c>
      <c r="N688" t="s">
        <v>4266</v>
      </c>
      <c r="O688" s="1">
        <v>46012.333333333336</v>
      </c>
      <c r="P688" s="1">
        <v>46011.83121527778</v>
      </c>
      <c r="Q688" t="s">
        <v>4266</v>
      </c>
      <c r="R688" s="6">
        <v>46012.670138888891</v>
      </c>
      <c r="S688" t="s">
        <v>43</v>
      </c>
      <c r="T688">
        <v>24.99</v>
      </c>
      <c r="U688">
        <v>0</v>
      </c>
      <c r="V688">
        <v>24.99</v>
      </c>
      <c r="W688">
        <v>0</v>
      </c>
      <c r="X688">
        <v>0</v>
      </c>
      <c r="Y688">
        <v>0</v>
      </c>
      <c r="Z688">
        <v>24.99</v>
      </c>
      <c r="AA688" t="s">
        <v>44</v>
      </c>
      <c r="AB688" t="s">
        <v>45</v>
      </c>
      <c r="AC688" t="s">
        <v>46</v>
      </c>
      <c r="AD688" t="s">
        <v>2556</v>
      </c>
      <c r="AE688" t="s">
        <v>2557</v>
      </c>
      <c r="AF688" t="s">
        <v>2671</v>
      </c>
      <c r="AG688" t="s">
        <v>46</v>
      </c>
      <c r="AH688" t="s">
        <v>2227</v>
      </c>
      <c r="AI688" t="s">
        <v>37</v>
      </c>
    </row>
    <row r="689" spans="1:35" x14ac:dyDescent="0.25">
      <c r="A689" t="s">
        <v>2672</v>
      </c>
      <c r="B689" t="s">
        <v>34</v>
      </c>
      <c r="C689" t="s">
        <v>2662</v>
      </c>
      <c r="D689" t="s">
        <v>2663</v>
      </c>
      <c r="E689" t="s">
        <v>2664</v>
      </c>
      <c r="F689" t="s">
        <v>2673</v>
      </c>
      <c r="G689" t="s">
        <v>39</v>
      </c>
      <c r="H689" t="s">
        <v>40</v>
      </c>
      <c r="I689" t="s">
        <v>41</v>
      </c>
      <c r="J689" t="s">
        <v>37</v>
      </c>
      <c r="K689" t="s">
        <v>37</v>
      </c>
      <c r="L689" t="s">
        <v>42</v>
      </c>
      <c r="M689" s="6">
        <v>46011.945300925923</v>
      </c>
      <c r="N689" t="s">
        <v>4266</v>
      </c>
      <c r="O689" s="1">
        <v>46012.395833333336</v>
      </c>
      <c r="P689" s="1">
        <v>46011.945300925923</v>
      </c>
      <c r="Q689" t="s">
        <v>4266</v>
      </c>
      <c r="R689" s="6">
        <v>46012.711805555555</v>
      </c>
      <c r="S689" t="s">
        <v>43</v>
      </c>
      <c r="T689">
        <v>24.99</v>
      </c>
      <c r="U689">
        <v>0</v>
      </c>
      <c r="V689">
        <v>24.99</v>
      </c>
      <c r="W689">
        <v>0</v>
      </c>
      <c r="X689">
        <v>0</v>
      </c>
      <c r="Y689">
        <v>0</v>
      </c>
      <c r="Z689">
        <v>24.99</v>
      </c>
      <c r="AA689" t="s">
        <v>44</v>
      </c>
      <c r="AB689" t="s">
        <v>45</v>
      </c>
      <c r="AC689" t="s">
        <v>46</v>
      </c>
      <c r="AD689" t="s">
        <v>2556</v>
      </c>
      <c r="AE689" t="s">
        <v>2557</v>
      </c>
      <c r="AF689" t="s">
        <v>2674</v>
      </c>
      <c r="AG689" t="s">
        <v>46</v>
      </c>
      <c r="AH689" t="s">
        <v>2662</v>
      </c>
      <c r="AI689" t="s">
        <v>37</v>
      </c>
    </row>
    <row r="690" spans="1:35" x14ac:dyDescent="0.25">
      <c r="A690" t="s">
        <v>2675</v>
      </c>
      <c r="B690" t="s">
        <v>34</v>
      </c>
      <c r="C690" t="s">
        <v>1525</v>
      </c>
      <c r="D690" t="s">
        <v>1526</v>
      </c>
      <c r="E690" t="s">
        <v>37</v>
      </c>
      <c r="F690" t="s">
        <v>2549</v>
      </c>
      <c r="G690" t="s">
        <v>39</v>
      </c>
      <c r="H690" t="s">
        <v>40</v>
      </c>
      <c r="I690" t="s">
        <v>41</v>
      </c>
      <c r="J690" t="s">
        <v>37</v>
      </c>
      <c r="K690" t="s">
        <v>37</v>
      </c>
      <c r="L690" t="s">
        <v>42</v>
      </c>
      <c r="M690" s="6">
        <v>46012.335092592592</v>
      </c>
      <c r="N690" t="s">
        <v>4266</v>
      </c>
      <c r="O690" s="1">
        <v>46012.375</v>
      </c>
      <c r="P690" s="1">
        <v>46012.335416666669</v>
      </c>
      <c r="Q690" t="s">
        <v>4266</v>
      </c>
      <c r="R690" s="6">
        <v>46012.711805555555</v>
      </c>
      <c r="S690" t="s">
        <v>43</v>
      </c>
      <c r="T690">
        <v>24.99</v>
      </c>
      <c r="U690">
        <v>0</v>
      </c>
      <c r="V690">
        <v>24.99</v>
      </c>
      <c r="W690">
        <v>0</v>
      </c>
      <c r="X690">
        <v>0</v>
      </c>
      <c r="Y690">
        <v>0</v>
      </c>
      <c r="Z690">
        <v>24.99</v>
      </c>
      <c r="AA690" t="s">
        <v>44</v>
      </c>
      <c r="AB690" t="s">
        <v>45</v>
      </c>
      <c r="AC690" t="s">
        <v>46</v>
      </c>
      <c r="AD690" t="s">
        <v>2556</v>
      </c>
      <c r="AE690" t="s">
        <v>2557</v>
      </c>
      <c r="AF690" t="s">
        <v>2676</v>
      </c>
      <c r="AG690" t="s">
        <v>46</v>
      </c>
      <c r="AH690" t="s">
        <v>1525</v>
      </c>
      <c r="AI690" t="s">
        <v>37</v>
      </c>
    </row>
    <row r="691" spans="1:35" x14ac:dyDescent="0.25">
      <c r="A691" t="s">
        <v>2677</v>
      </c>
      <c r="B691" t="s">
        <v>34</v>
      </c>
      <c r="C691" t="s">
        <v>1077</v>
      </c>
      <c r="D691" t="s">
        <v>1078</v>
      </c>
      <c r="E691" t="s">
        <v>37</v>
      </c>
      <c r="F691" t="s">
        <v>2141</v>
      </c>
      <c r="G691" t="s">
        <v>39</v>
      </c>
      <c r="H691" t="s">
        <v>40</v>
      </c>
      <c r="I691" t="s">
        <v>41</v>
      </c>
      <c r="J691" t="s">
        <v>37</v>
      </c>
      <c r="K691" t="s">
        <v>37</v>
      </c>
      <c r="L691" t="s">
        <v>42</v>
      </c>
      <c r="M691" s="6">
        <v>46012.376319444447</v>
      </c>
      <c r="N691" t="s">
        <v>4262</v>
      </c>
      <c r="O691" s="1">
        <v>46020.354166666664</v>
      </c>
      <c r="P691" s="1">
        <v>46012.377013888887</v>
      </c>
      <c r="Q691" t="s">
        <v>4262</v>
      </c>
      <c r="R691" s="6">
        <v>46020.690972222219</v>
      </c>
      <c r="S691" t="s">
        <v>43</v>
      </c>
      <c r="T691">
        <v>24.99</v>
      </c>
      <c r="U691">
        <v>0</v>
      </c>
      <c r="V691">
        <v>24.99</v>
      </c>
      <c r="W691">
        <v>0</v>
      </c>
      <c r="X691">
        <v>0</v>
      </c>
      <c r="Y691">
        <v>0</v>
      </c>
      <c r="Z691">
        <v>24.99</v>
      </c>
      <c r="AA691" t="s">
        <v>44</v>
      </c>
      <c r="AB691" t="s">
        <v>45</v>
      </c>
      <c r="AC691" t="s">
        <v>46</v>
      </c>
      <c r="AD691" t="s">
        <v>2556</v>
      </c>
      <c r="AE691" t="s">
        <v>2557</v>
      </c>
      <c r="AF691" t="s">
        <v>2678</v>
      </c>
      <c r="AG691" t="s">
        <v>46</v>
      </c>
      <c r="AH691" t="s">
        <v>1077</v>
      </c>
      <c r="AI691" t="s">
        <v>37</v>
      </c>
    </row>
    <row r="692" spans="1:35" x14ac:dyDescent="0.25">
      <c r="A692" t="s">
        <v>2679</v>
      </c>
      <c r="B692" t="s">
        <v>34</v>
      </c>
      <c r="C692" t="s">
        <v>2680</v>
      </c>
      <c r="D692" t="s">
        <v>2681</v>
      </c>
      <c r="E692" t="s">
        <v>2682</v>
      </c>
      <c r="F692" t="s">
        <v>2683</v>
      </c>
      <c r="G692" t="s">
        <v>39</v>
      </c>
      <c r="H692" t="s">
        <v>40</v>
      </c>
      <c r="I692" t="s">
        <v>41</v>
      </c>
      <c r="J692" t="s">
        <v>37</v>
      </c>
      <c r="K692" t="s">
        <v>37</v>
      </c>
      <c r="L692" t="s">
        <v>42</v>
      </c>
      <c r="M692" s="6">
        <v>46012.751782407409</v>
      </c>
      <c r="N692" t="s">
        <v>4262</v>
      </c>
      <c r="O692" s="1">
        <v>46013.34375</v>
      </c>
      <c r="P692" s="1">
        <v>46012.751956018517</v>
      </c>
      <c r="Q692" t="s">
        <v>4262</v>
      </c>
      <c r="R692" s="6">
        <v>46013.701388888891</v>
      </c>
      <c r="S692" t="s">
        <v>43</v>
      </c>
      <c r="T692">
        <v>24.99</v>
      </c>
      <c r="U692">
        <v>0</v>
      </c>
      <c r="V692">
        <v>24.99</v>
      </c>
      <c r="W692">
        <v>0</v>
      </c>
      <c r="X692">
        <v>0</v>
      </c>
      <c r="Y692">
        <v>0</v>
      </c>
      <c r="Z692">
        <v>24.99</v>
      </c>
      <c r="AA692" t="s">
        <v>44</v>
      </c>
      <c r="AB692" t="s">
        <v>45</v>
      </c>
      <c r="AC692" t="s">
        <v>46</v>
      </c>
      <c r="AD692" t="s">
        <v>2556</v>
      </c>
      <c r="AE692" t="s">
        <v>2557</v>
      </c>
      <c r="AF692" t="s">
        <v>2684</v>
      </c>
      <c r="AG692" t="s">
        <v>46</v>
      </c>
      <c r="AH692" t="s">
        <v>2680</v>
      </c>
      <c r="AI692" t="s">
        <v>37</v>
      </c>
    </row>
    <row r="693" spans="1:35" x14ac:dyDescent="0.25">
      <c r="A693" t="s">
        <v>2685</v>
      </c>
      <c r="B693" t="s">
        <v>34</v>
      </c>
      <c r="C693" t="s">
        <v>2227</v>
      </c>
      <c r="D693" t="s">
        <v>2228</v>
      </c>
      <c r="E693" t="s">
        <v>37</v>
      </c>
      <c r="F693" t="s">
        <v>2229</v>
      </c>
      <c r="G693" t="s">
        <v>39</v>
      </c>
      <c r="H693" t="s">
        <v>40</v>
      </c>
      <c r="I693" t="s">
        <v>41</v>
      </c>
      <c r="J693" t="s">
        <v>37</v>
      </c>
      <c r="K693" t="s">
        <v>37</v>
      </c>
      <c r="L693" t="s">
        <v>42</v>
      </c>
      <c r="M693" s="6">
        <v>46012.907905092594</v>
      </c>
      <c r="N693" t="s">
        <v>4262</v>
      </c>
      <c r="O693" s="1">
        <v>46013.333333333336</v>
      </c>
      <c r="P693" s="1">
        <v>46012.907905092594</v>
      </c>
      <c r="Q693" t="s">
        <v>4262</v>
      </c>
      <c r="R693" s="6">
        <v>46013.670138888891</v>
      </c>
      <c r="S693" t="s">
        <v>43</v>
      </c>
      <c r="T693">
        <v>24.99</v>
      </c>
      <c r="U693">
        <v>0</v>
      </c>
      <c r="V693">
        <v>24.99</v>
      </c>
      <c r="W693">
        <v>0</v>
      </c>
      <c r="X693">
        <v>0</v>
      </c>
      <c r="Y693">
        <v>0</v>
      </c>
      <c r="Z693">
        <v>24.99</v>
      </c>
      <c r="AA693" t="s">
        <v>44</v>
      </c>
      <c r="AB693" t="s">
        <v>45</v>
      </c>
      <c r="AC693" t="s">
        <v>46</v>
      </c>
      <c r="AD693" t="s">
        <v>2556</v>
      </c>
      <c r="AE693" t="s">
        <v>2557</v>
      </c>
      <c r="AF693" t="s">
        <v>2686</v>
      </c>
      <c r="AG693" t="s">
        <v>46</v>
      </c>
      <c r="AH693" t="s">
        <v>2227</v>
      </c>
      <c r="AI693" t="s">
        <v>37</v>
      </c>
    </row>
    <row r="694" spans="1:35" x14ac:dyDescent="0.25">
      <c r="A694" t="s">
        <v>2687</v>
      </c>
      <c r="B694" t="s">
        <v>34</v>
      </c>
      <c r="C694" t="s">
        <v>2688</v>
      </c>
      <c r="D694" t="s">
        <v>2689</v>
      </c>
      <c r="E694" t="s">
        <v>2690</v>
      </c>
      <c r="F694" t="s">
        <v>2691</v>
      </c>
      <c r="G694" t="s">
        <v>39</v>
      </c>
      <c r="H694" t="s">
        <v>40</v>
      </c>
      <c r="I694" t="s">
        <v>41</v>
      </c>
      <c r="J694" t="s">
        <v>37</v>
      </c>
      <c r="K694" t="s">
        <v>37</v>
      </c>
      <c r="L694" t="s">
        <v>42</v>
      </c>
      <c r="M694" s="6">
        <v>46013.42392361111</v>
      </c>
      <c r="N694" t="s">
        <v>4266</v>
      </c>
      <c r="O694" s="1">
        <v>46019.354166666664</v>
      </c>
      <c r="P694" s="1">
        <v>46013.42392361111</v>
      </c>
      <c r="Q694" t="s">
        <v>4266</v>
      </c>
      <c r="R694" s="6">
        <v>46019.722222222219</v>
      </c>
      <c r="S694" t="s">
        <v>43</v>
      </c>
      <c r="T694">
        <v>24.99</v>
      </c>
      <c r="U694">
        <v>0</v>
      </c>
      <c r="V694">
        <v>24.99</v>
      </c>
      <c r="W694">
        <v>0</v>
      </c>
      <c r="X694">
        <v>0</v>
      </c>
      <c r="Y694">
        <v>0</v>
      </c>
      <c r="Z694">
        <v>24.99</v>
      </c>
      <c r="AA694" t="s">
        <v>44</v>
      </c>
      <c r="AB694" t="s">
        <v>45</v>
      </c>
      <c r="AC694" t="s">
        <v>46</v>
      </c>
      <c r="AD694" t="s">
        <v>2556</v>
      </c>
      <c r="AE694" t="s">
        <v>2557</v>
      </c>
      <c r="AF694" t="s">
        <v>2692</v>
      </c>
      <c r="AG694" t="s">
        <v>46</v>
      </c>
      <c r="AH694" t="s">
        <v>2688</v>
      </c>
      <c r="AI694" t="s">
        <v>37</v>
      </c>
    </row>
    <row r="695" spans="1:35" x14ac:dyDescent="0.25">
      <c r="A695" t="s">
        <v>2693</v>
      </c>
      <c r="B695" t="s">
        <v>34</v>
      </c>
      <c r="C695" t="s">
        <v>2694</v>
      </c>
      <c r="D695" t="s">
        <v>2695</v>
      </c>
      <c r="E695" t="s">
        <v>2696</v>
      </c>
      <c r="F695" t="s">
        <v>2697</v>
      </c>
      <c r="G695" t="s">
        <v>39</v>
      </c>
      <c r="H695" t="s">
        <v>40</v>
      </c>
      <c r="I695" t="s">
        <v>41</v>
      </c>
      <c r="J695" t="s">
        <v>37</v>
      </c>
      <c r="K695" t="s">
        <v>37</v>
      </c>
      <c r="L695" t="s">
        <v>42</v>
      </c>
      <c r="M695" s="6">
        <v>46013.949155092596</v>
      </c>
      <c r="N695" t="s">
        <v>4262</v>
      </c>
      <c r="O695" s="1">
        <v>46020.291666666664</v>
      </c>
      <c r="P695" s="1">
        <v>46013.949618055558</v>
      </c>
      <c r="Q695" t="s">
        <v>4262</v>
      </c>
      <c r="R695" s="6">
        <v>46020.711805555555</v>
      </c>
      <c r="S695" t="s">
        <v>43</v>
      </c>
      <c r="T695">
        <v>24.99</v>
      </c>
      <c r="U695">
        <v>0</v>
      </c>
      <c r="V695">
        <v>24.99</v>
      </c>
      <c r="W695">
        <v>0</v>
      </c>
      <c r="X695">
        <v>0</v>
      </c>
      <c r="Y695">
        <v>0</v>
      </c>
      <c r="Z695">
        <v>24.99</v>
      </c>
      <c r="AA695" t="s">
        <v>44</v>
      </c>
      <c r="AB695" t="s">
        <v>45</v>
      </c>
      <c r="AC695" t="s">
        <v>46</v>
      </c>
      <c r="AD695" t="s">
        <v>2556</v>
      </c>
      <c r="AE695" t="s">
        <v>2557</v>
      </c>
      <c r="AF695" t="s">
        <v>2698</v>
      </c>
      <c r="AG695" t="s">
        <v>46</v>
      </c>
      <c r="AH695" t="s">
        <v>2694</v>
      </c>
      <c r="AI695" t="s">
        <v>37</v>
      </c>
    </row>
    <row r="696" spans="1:35" x14ac:dyDescent="0.25">
      <c r="A696" t="s">
        <v>2699</v>
      </c>
      <c r="B696" t="s">
        <v>34</v>
      </c>
      <c r="C696" t="s">
        <v>2700</v>
      </c>
      <c r="D696" t="s">
        <v>2701</v>
      </c>
      <c r="E696" t="s">
        <v>2702</v>
      </c>
      <c r="F696" t="s">
        <v>2703</v>
      </c>
      <c r="G696" t="s">
        <v>39</v>
      </c>
      <c r="H696" t="s">
        <v>40</v>
      </c>
      <c r="I696" t="s">
        <v>41</v>
      </c>
      <c r="J696" t="s">
        <v>37</v>
      </c>
      <c r="K696" t="s">
        <v>37</v>
      </c>
      <c r="L696" t="s">
        <v>42</v>
      </c>
      <c r="M696" s="6">
        <v>46014.680752314816</v>
      </c>
      <c r="N696" t="s">
        <v>4265</v>
      </c>
      <c r="O696" s="1">
        <v>46018.333333333336</v>
      </c>
      <c r="P696" s="1">
        <v>46014.680752314816</v>
      </c>
      <c r="Q696" t="s">
        <v>4265</v>
      </c>
      <c r="R696" s="6">
        <v>46018.753472222219</v>
      </c>
      <c r="S696" t="s">
        <v>43</v>
      </c>
      <c r="T696">
        <v>24.99</v>
      </c>
      <c r="U696">
        <v>0</v>
      </c>
      <c r="V696">
        <v>23.8</v>
      </c>
      <c r="W696">
        <v>1.19</v>
      </c>
      <c r="X696">
        <v>0</v>
      </c>
      <c r="Y696">
        <v>0</v>
      </c>
      <c r="Z696">
        <v>24.99</v>
      </c>
      <c r="AA696" t="s">
        <v>2704</v>
      </c>
      <c r="AB696" t="s">
        <v>45</v>
      </c>
      <c r="AC696" t="s">
        <v>46</v>
      </c>
      <c r="AD696" t="s">
        <v>2556</v>
      </c>
      <c r="AE696" t="s">
        <v>2557</v>
      </c>
      <c r="AF696" t="s">
        <v>2705</v>
      </c>
      <c r="AG696" t="s">
        <v>46</v>
      </c>
      <c r="AH696" t="s">
        <v>2700</v>
      </c>
      <c r="AI696" t="s">
        <v>37</v>
      </c>
    </row>
    <row r="697" spans="1:35" x14ac:dyDescent="0.25">
      <c r="A697" t="s">
        <v>2706</v>
      </c>
      <c r="B697" t="s">
        <v>34</v>
      </c>
      <c r="C697" t="s">
        <v>2707</v>
      </c>
      <c r="D697" t="s">
        <v>2708</v>
      </c>
      <c r="E697" t="s">
        <v>2709</v>
      </c>
      <c r="F697" t="s">
        <v>2710</v>
      </c>
      <c r="G697" t="s">
        <v>39</v>
      </c>
      <c r="H697" t="s">
        <v>40</v>
      </c>
      <c r="I697" t="s">
        <v>41</v>
      </c>
      <c r="J697" t="s">
        <v>37</v>
      </c>
      <c r="K697" t="s">
        <v>37</v>
      </c>
      <c r="L697" t="s">
        <v>42</v>
      </c>
      <c r="M697" s="6">
        <v>46015.950289351851</v>
      </c>
      <c r="N697" t="s">
        <v>4266</v>
      </c>
      <c r="O697" s="1">
        <v>46019.375</v>
      </c>
      <c r="P697" s="1">
        <v>46015.950543981482</v>
      </c>
      <c r="Q697" t="s">
        <v>4266</v>
      </c>
      <c r="R697" s="6">
        <v>46019.732638888891</v>
      </c>
      <c r="S697" t="s">
        <v>43</v>
      </c>
      <c r="T697">
        <v>24.99</v>
      </c>
      <c r="U697">
        <v>0</v>
      </c>
      <c r="V697">
        <v>23.8</v>
      </c>
      <c r="W697">
        <v>1.19</v>
      </c>
      <c r="X697">
        <v>0</v>
      </c>
      <c r="Y697">
        <v>0</v>
      </c>
      <c r="Z697">
        <v>24.99</v>
      </c>
      <c r="AA697" t="s">
        <v>2704</v>
      </c>
      <c r="AB697" t="s">
        <v>45</v>
      </c>
      <c r="AC697" t="s">
        <v>46</v>
      </c>
      <c r="AD697" t="s">
        <v>2556</v>
      </c>
      <c r="AE697" t="s">
        <v>2557</v>
      </c>
      <c r="AF697" t="s">
        <v>2711</v>
      </c>
      <c r="AG697" t="s">
        <v>46</v>
      </c>
      <c r="AH697" t="s">
        <v>2707</v>
      </c>
      <c r="AI697" t="s">
        <v>37</v>
      </c>
    </row>
    <row r="698" spans="1:35" x14ac:dyDescent="0.25">
      <c r="A698" t="s">
        <v>2712</v>
      </c>
      <c r="B698" t="s">
        <v>34</v>
      </c>
      <c r="C698" t="s">
        <v>2713</v>
      </c>
      <c r="D698" t="s">
        <v>2714</v>
      </c>
      <c r="E698" t="s">
        <v>2715</v>
      </c>
      <c r="F698" t="s">
        <v>2716</v>
      </c>
      <c r="G698" t="s">
        <v>39</v>
      </c>
      <c r="H698" t="s">
        <v>40</v>
      </c>
      <c r="I698" t="s">
        <v>41</v>
      </c>
      <c r="J698" t="s">
        <v>37</v>
      </c>
      <c r="K698" t="s">
        <v>37</v>
      </c>
      <c r="L698" t="s">
        <v>42</v>
      </c>
      <c r="M698" s="6">
        <v>46017.394930555558</v>
      </c>
      <c r="N698" t="s">
        <v>4268</v>
      </c>
      <c r="O698" s="1">
        <v>46017.399305555555</v>
      </c>
      <c r="P698" s="1">
        <v>46017.395509259259</v>
      </c>
      <c r="Q698" t="s">
        <v>4268</v>
      </c>
      <c r="R698" s="6">
        <v>46017.670138888891</v>
      </c>
      <c r="S698" t="s">
        <v>43</v>
      </c>
      <c r="T698">
        <v>24.99</v>
      </c>
      <c r="U698">
        <v>0</v>
      </c>
      <c r="V698">
        <v>23.8</v>
      </c>
      <c r="W698">
        <v>1.19</v>
      </c>
      <c r="X698">
        <v>0</v>
      </c>
      <c r="Y698">
        <v>0</v>
      </c>
      <c r="Z698">
        <v>24.99</v>
      </c>
      <c r="AA698" t="s">
        <v>2704</v>
      </c>
      <c r="AB698" t="s">
        <v>45</v>
      </c>
      <c r="AC698" t="s">
        <v>46</v>
      </c>
      <c r="AD698" t="s">
        <v>2556</v>
      </c>
      <c r="AE698" t="s">
        <v>2557</v>
      </c>
      <c r="AF698" t="s">
        <v>2717</v>
      </c>
      <c r="AG698" t="s">
        <v>46</v>
      </c>
      <c r="AH698" t="s">
        <v>2713</v>
      </c>
      <c r="AI698" t="s">
        <v>37</v>
      </c>
    </row>
    <row r="699" spans="1:35" x14ac:dyDescent="0.25">
      <c r="A699" t="s">
        <v>2718</v>
      </c>
      <c r="B699" t="s">
        <v>34</v>
      </c>
      <c r="C699" t="s">
        <v>2662</v>
      </c>
      <c r="D699" t="s">
        <v>2663</v>
      </c>
      <c r="E699" t="s">
        <v>2664</v>
      </c>
      <c r="F699" t="s">
        <v>2665</v>
      </c>
      <c r="G699" t="s">
        <v>39</v>
      </c>
      <c r="H699" t="s">
        <v>40</v>
      </c>
      <c r="I699" t="s">
        <v>41</v>
      </c>
      <c r="J699" t="s">
        <v>37</v>
      </c>
      <c r="K699" t="s">
        <v>37</v>
      </c>
      <c r="L699" t="s">
        <v>42</v>
      </c>
      <c r="M699" s="6">
        <v>46017.753692129627</v>
      </c>
      <c r="N699" t="s">
        <v>4266</v>
      </c>
      <c r="O699" s="1">
        <v>46019.375</v>
      </c>
      <c r="P699" s="1">
        <v>46017.753692129627</v>
      </c>
      <c r="Q699" t="s">
        <v>4266</v>
      </c>
      <c r="R699" s="6">
        <v>46019.711805555555</v>
      </c>
      <c r="S699" t="s">
        <v>43</v>
      </c>
      <c r="T699">
        <v>24.99</v>
      </c>
      <c r="U699">
        <v>0</v>
      </c>
      <c r="V699">
        <v>23.8</v>
      </c>
      <c r="W699">
        <v>1.19</v>
      </c>
      <c r="X699">
        <v>0</v>
      </c>
      <c r="Y699">
        <v>0</v>
      </c>
      <c r="Z699">
        <v>24.99</v>
      </c>
      <c r="AA699" t="s">
        <v>2704</v>
      </c>
      <c r="AB699" t="s">
        <v>45</v>
      </c>
      <c r="AC699" t="s">
        <v>46</v>
      </c>
      <c r="AD699" t="s">
        <v>2556</v>
      </c>
      <c r="AE699" t="s">
        <v>2557</v>
      </c>
      <c r="AF699" t="s">
        <v>2719</v>
      </c>
      <c r="AG699" t="s">
        <v>46</v>
      </c>
      <c r="AH699" t="s">
        <v>2662</v>
      </c>
      <c r="AI699" t="s">
        <v>37</v>
      </c>
    </row>
    <row r="700" spans="1:35" x14ac:dyDescent="0.25">
      <c r="A700" t="s">
        <v>2720</v>
      </c>
      <c r="B700" t="s">
        <v>34</v>
      </c>
      <c r="C700" t="s">
        <v>2721</v>
      </c>
      <c r="D700" t="s">
        <v>2722</v>
      </c>
      <c r="E700" t="s">
        <v>2723</v>
      </c>
      <c r="F700" t="s">
        <v>2724</v>
      </c>
      <c r="G700" t="s">
        <v>39</v>
      </c>
      <c r="H700" t="s">
        <v>40</v>
      </c>
      <c r="I700" t="s">
        <v>41</v>
      </c>
      <c r="J700" t="s">
        <v>37</v>
      </c>
      <c r="K700" t="s">
        <v>37</v>
      </c>
      <c r="L700" t="s">
        <v>42</v>
      </c>
      <c r="M700" s="6">
        <v>46017.87740740741</v>
      </c>
      <c r="N700" t="s">
        <v>4266</v>
      </c>
      <c r="O700" s="1">
        <v>46019.385416666664</v>
      </c>
      <c r="P700" s="1">
        <v>46017.877928240741</v>
      </c>
      <c r="Q700" t="s">
        <v>4266</v>
      </c>
      <c r="R700" s="6">
        <v>46019.711805555555</v>
      </c>
      <c r="S700" t="s">
        <v>43</v>
      </c>
      <c r="T700">
        <v>24.99</v>
      </c>
      <c r="U700">
        <v>0</v>
      </c>
      <c r="V700">
        <v>23.8</v>
      </c>
      <c r="W700">
        <v>1.19</v>
      </c>
      <c r="X700">
        <v>0</v>
      </c>
      <c r="Y700">
        <v>0</v>
      </c>
      <c r="Z700">
        <v>24.99</v>
      </c>
      <c r="AA700" t="s">
        <v>2704</v>
      </c>
      <c r="AB700" t="s">
        <v>45</v>
      </c>
      <c r="AC700" t="s">
        <v>46</v>
      </c>
      <c r="AD700" t="s">
        <v>2556</v>
      </c>
      <c r="AE700" t="s">
        <v>2557</v>
      </c>
      <c r="AF700" t="s">
        <v>2725</v>
      </c>
      <c r="AG700" t="s">
        <v>46</v>
      </c>
      <c r="AH700" t="s">
        <v>2721</v>
      </c>
      <c r="AI700" t="s">
        <v>37</v>
      </c>
    </row>
    <row r="701" spans="1:35" x14ac:dyDescent="0.25">
      <c r="A701" t="s">
        <v>2726</v>
      </c>
      <c r="B701" t="s">
        <v>34</v>
      </c>
      <c r="C701" t="s">
        <v>2727</v>
      </c>
      <c r="D701" t="s">
        <v>2728</v>
      </c>
      <c r="E701" t="s">
        <v>2729</v>
      </c>
      <c r="F701" t="s">
        <v>2730</v>
      </c>
      <c r="G701" t="s">
        <v>39</v>
      </c>
      <c r="H701" t="s">
        <v>40</v>
      </c>
      <c r="I701" t="s">
        <v>41</v>
      </c>
      <c r="J701" t="s">
        <v>37</v>
      </c>
      <c r="K701" t="s">
        <v>37</v>
      </c>
      <c r="L701" t="s">
        <v>42</v>
      </c>
      <c r="M701" s="6">
        <v>46017.929409722223</v>
      </c>
      <c r="N701" t="s">
        <v>4262</v>
      </c>
      <c r="O701" s="1">
        <v>46020.333333333336</v>
      </c>
      <c r="P701" s="1">
        <v>46017.9294212963</v>
      </c>
      <c r="Q701" t="s">
        <v>4262</v>
      </c>
      <c r="R701" s="6">
        <v>46020.670138888891</v>
      </c>
      <c r="S701" t="s">
        <v>43</v>
      </c>
      <c r="T701">
        <v>24.99</v>
      </c>
      <c r="U701">
        <v>0</v>
      </c>
      <c r="V701">
        <v>23.8</v>
      </c>
      <c r="W701">
        <v>1.19</v>
      </c>
      <c r="X701">
        <v>0</v>
      </c>
      <c r="Y701">
        <v>0</v>
      </c>
      <c r="Z701">
        <v>24.99</v>
      </c>
      <c r="AA701" t="s">
        <v>2704</v>
      </c>
      <c r="AB701" t="s">
        <v>45</v>
      </c>
      <c r="AC701" t="s">
        <v>46</v>
      </c>
      <c r="AD701" t="s">
        <v>2556</v>
      </c>
      <c r="AE701" t="s">
        <v>2557</v>
      </c>
      <c r="AF701" t="s">
        <v>2731</v>
      </c>
      <c r="AG701" t="s">
        <v>46</v>
      </c>
      <c r="AH701" t="s">
        <v>2727</v>
      </c>
      <c r="AI701" t="s">
        <v>37</v>
      </c>
    </row>
    <row r="702" spans="1:35" x14ac:dyDescent="0.25">
      <c r="A702" t="s">
        <v>2732</v>
      </c>
      <c r="B702" t="s">
        <v>34</v>
      </c>
      <c r="C702" t="s">
        <v>1901</v>
      </c>
      <c r="D702" t="s">
        <v>1902</v>
      </c>
      <c r="E702" t="s">
        <v>37</v>
      </c>
      <c r="F702" t="s">
        <v>2668</v>
      </c>
      <c r="G702" t="s">
        <v>39</v>
      </c>
      <c r="H702" t="s">
        <v>40</v>
      </c>
      <c r="I702" t="s">
        <v>41</v>
      </c>
      <c r="J702" t="s">
        <v>37</v>
      </c>
      <c r="K702" t="s">
        <v>37</v>
      </c>
      <c r="L702" t="s">
        <v>42</v>
      </c>
      <c r="M702" s="6">
        <v>46018.275451388887</v>
      </c>
      <c r="N702" t="s">
        <v>4266</v>
      </c>
      <c r="O702" s="1">
        <v>46019.364583333336</v>
      </c>
      <c r="P702" s="1">
        <v>46018.275451388887</v>
      </c>
      <c r="Q702" t="s">
        <v>4266</v>
      </c>
      <c r="R702" s="6">
        <v>46019.670138888891</v>
      </c>
      <c r="S702" t="s">
        <v>43</v>
      </c>
      <c r="T702">
        <v>24.99</v>
      </c>
      <c r="U702">
        <v>0</v>
      </c>
      <c r="V702">
        <v>23.8</v>
      </c>
      <c r="W702">
        <v>1.19</v>
      </c>
      <c r="X702">
        <v>0</v>
      </c>
      <c r="Y702">
        <v>0</v>
      </c>
      <c r="Z702">
        <v>24.99</v>
      </c>
      <c r="AA702" t="s">
        <v>2704</v>
      </c>
      <c r="AB702" t="s">
        <v>45</v>
      </c>
      <c r="AC702" t="s">
        <v>46</v>
      </c>
      <c r="AD702" t="s">
        <v>2556</v>
      </c>
      <c r="AE702" t="s">
        <v>2557</v>
      </c>
      <c r="AF702" t="s">
        <v>2733</v>
      </c>
      <c r="AG702" t="s">
        <v>46</v>
      </c>
      <c r="AH702" t="s">
        <v>1901</v>
      </c>
      <c r="AI702" t="s">
        <v>37</v>
      </c>
    </row>
    <row r="703" spans="1:35" x14ac:dyDescent="0.25">
      <c r="A703" t="s">
        <v>2734</v>
      </c>
      <c r="B703" t="s">
        <v>34</v>
      </c>
      <c r="C703" t="s">
        <v>2735</v>
      </c>
      <c r="D703" t="s">
        <v>2736</v>
      </c>
      <c r="E703" t="s">
        <v>2737</v>
      </c>
      <c r="F703" t="s">
        <v>2738</v>
      </c>
      <c r="G703" t="s">
        <v>39</v>
      </c>
      <c r="H703" t="s">
        <v>40</v>
      </c>
      <c r="I703" t="s">
        <v>41</v>
      </c>
      <c r="J703" t="s">
        <v>37</v>
      </c>
      <c r="K703" t="s">
        <v>37</v>
      </c>
      <c r="L703" t="s">
        <v>42</v>
      </c>
      <c r="M703" s="6">
        <v>46018.291921296295</v>
      </c>
      <c r="N703" t="s">
        <v>4265</v>
      </c>
      <c r="O703" s="1">
        <v>46018.375</v>
      </c>
      <c r="P703" s="1">
        <v>46018.292442129627</v>
      </c>
      <c r="Q703" t="s">
        <v>4265</v>
      </c>
      <c r="R703" s="6">
        <v>46018.711805555555</v>
      </c>
      <c r="S703" t="s">
        <v>43</v>
      </c>
      <c r="T703">
        <v>24.99</v>
      </c>
      <c r="U703">
        <v>0</v>
      </c>
      <c r="V703">
        <v>23.8</v>
      </c>
      <c r="W703">
        <v>1.19</v>
      </c>
      <c r="X703">
        <v>0</v>
      </c>
      <c r="Y703">
        <v>0</v>
      </c>
      <c r="Z703">
        <v>24.99</v>
      </c>
      <c r="AA703" t="s">
        <v>2704</v>
      </c>
      <c r="AB703" t="s">
        <v>45</v>
      </c>
      <c r="AC703" t="s">
        <v>46</v>
      </c>
      <c r="AD703" t="s">
        <v>2556</v>
      </c>
      <c r="AE703" t="s">
        <v>2557</v>
      </c>
      <c r="AF703" t="s">
        <v>2739</v>
      </c>
      <c r="AG703" t="s">
        <v>46</v>
      </c>
      <c r="AH703" t="s">
        <v>2735</v>
      </c>
      <c r="AI703" t="s">
        <v>37</v>
      </c>
    </row>
    <row r="704" spans="1:35" x14ac:dyDescent="0.25">
      <c r="A704" t="s">
        <v>2740</v>
      </c>
      <c r="B704" t="s">
        <v>34</v>
      </c>
      <c r="C704" t="s">
        <v>2741</v>
      </c>
      <c r="D704" t="s">
        <v>2742</v>
      </c>
      <c r="E704" t="s">
        <v>2743</v>
      </c>
      <c r="F704" t="s">
        <v>2744</v>
      </c>
      <c r="G704" t="s">
        <v>39</v>
      </c>
      <c r="H704" t="s">
        <v>40</v>
      </c>
      <c r="I704" t="s">
        <v>41</v>
      </c>
      <c r="J704" t="s">
        <v>37</v>
      </c>
      <c r="K704" t="s">
        <v>37</v>
      </c>
      <c r="L704" t="s">
        <v>42</v>
      </c>
      <c r="M704" s="6">
        <v>46018.333993055552</v>
      </c>
      <c r="N704" t="s">
        <v>4265</v>
      </c>
      <c r="O704" s="1">
        <v>46018.375</v>
      </c>
      <c r="P704" s="1">
        <v>46018.333993055552</v>
      </c>
      <c r="Q704" t="s">
        <v>4265</v>
      </c>
      <c r="R704" s="6">
        <v>46018.690972222219</v>
      </c>
      <c r="S704" t="s">
        <v>43</v>
      </c>
      <c r="T704">
        <v>24.99</v>
      </c>
      <c r="U704">
        <v>0</v>
      </c>
      <c r="V704">
        <v>23.8</v>
      </c>
      <c r="W704">
        <v>1.19</v>
      </c>
      <c r="X704">
        <v>0</v>
      </c>
      <c r="Y704">
        <v>0</v>
      </c>
      <c r="Z704">
        <v>24.99</v>
      </c>
      <c r="AA704" t="s">
        <v>2704</v>
      </c>
      <c r="AB704" t="s">
        <v>45</v>
      </c>
      <c r="AC704" t="s">
        <v>46</v>
      </c>
      <c r="AD704" t="s">
        <v>2556</v>
      </c>
      <c r="AE704" t="s">
        <v>2557</v>
      </c>
      <c r="AF704" t="s">
        <v>2745</v>
      </c>
      <c r="AG704" t="s">
        <v>46</v>
      </c>
      <c r="AH704" t="s">
        <v>2741</v>
      </c>
      <c r="AI704" t="s">
        <v>37</v>
      </c>
    </row>
    <row r="705" spans="1:35" x14ac:dyDescent="0.25">
      <c r="A705" t="s">
        <v>2746</v>
      </c>
      <c r="B705" t="s">
        <v>34</v>
      </c>
      <c r="C705" t="s">
        <v>2747</v>
      </c>
      <c r="D705" t="s">
        <v>2748</v>
      </c>
      <c r="E705" t="s">
        <v>2749</v>
      </c>
      <c r="F705" t="s">
        <v>2750</v>
      </c>
      <c r="G705" t="s">
        <v>39</v>
      </c>
      <c r="H705" t="s">
        <v>40</v>
      </c>
      <c r="I705" t="s">
        <v>41</v>
      </c>
      <c r="J705" t="s">
        <v>37</v>
      </c>
      <c r="K705" t="s">
        <v>37</v>
      </c>
      <c r="L705" t="s">
        <v>42</v>
      </c>
      <c r="M705" s="6">
        <v>46018.33489583333</v>
      </c>
      <c r="N705" t="s">
        <v>4265</v>
      </c>
      <c r="O705" s="1">
        <v>46018.375</v>
      </c>
      <c r="P705" s="1">
        <v>46018.33489583333</v>
      </c>
      <c r="Q705" t="s">
        <v>4265</v>
      </c>
      <c r="R705" s="6">
        <v>46018.670138888891</v>
      </c>
      <c r="S705" t="s">
        <v>43</v>
      </c>
      <c r="T705">
        <v>24.99</v>
      </c>
      <c r="U705">
        <v>0</v>
      </c>
      <c r="V705">
        <v>23.8</v>
      </c>
      <c r="W705">
        <v>1.19</v>
      </c>
      <c r="X705">
        <v>0</v>
      </c>
      <c r="Y705">
        <v>0</v>
      </c>
      <c r="Z705">
        <v>24.99</v>
      </c>
      <c r="AA705" t="s">
        <v>2704</v>
      </c>
      <c r="AB705" t="s">
        <v>45</v>
      </c>
      <c r="AC705" t="s">
        <v>46</v>
      </c>
      <c r="AD705" t="s">
        <v>2556</v>
      </c>
      <c r="AE705" t="s">
        <v>2557</v>
      </c>
      <c r="AF705" t="s">
        <v>2751</v>
      </c>
      <c r="AG705" t="s">
        <v>46</v>
      </c>
      <c r="AH705" t="s">
        <v>2747</v>
      </c>
      <c r="AI705" t="s">
        <v>37</v>
      </c>
    </row>
    <row r="706" spans="1:35" x14ac:dyDescent="0.25">
      <c r="A706" t="s">
        <v>2752</v>
      </c>
      <c r="B706" t="s">
        <v>34</v>
      </c>
      <c r="C706" t="s">
        <v>531</v>
      </c>
      <c r="D706" t="s">
        <v>532</v>
      </c>
      <c r="E706" t="s">
        <v>37</v>
      </c>
      <c r="F706" t="s">
        <v>533</v>
      </c>
      <c r="G706" t="s">
        <v>39</v>
      </c>
      <c r="H706" t="s">
        <v>40</v>
      </c>
      <c r="I706" t="s">
        <v>41</v>
      </c>
      <c r="J706" t="s">
        <v>37</v>
      </c>
      <c r="K706" t="s">
        <v>37</v>
      </c>
      <c r="L706" t="s">
        <v>42</v>
      </c>
      <c r="M706" s="6">
        <v>46018.376747685186</v>
      </c>
      <c r="N706" t="s">
        <v>4265</v>
      </c>
      <c r="O706" s="1">
        <v>46018.395833333336</v>
      </c>
      <c r="P706" s="1">
        <v>46018.376979166664</v>
      </c>
      <c r="Q706" t="s">
        <v>4265</v>
      </c>
      <c r="R706" s="6">
        <v>46018.670138888891</v>
      </c>
      <c r="S706" t="s">
        <v>43</v>
      </c>
      <c r="T706">
        <v>24.99</v>
      </c>
      <c r="U706">
        <v>0</v>
      </c>
      <c r="V706">
        <v>23.8</v>
      </c>
      <c r="W706">
        <v>1.19</v>
      </c>
      <c r="X706">
        <v>0</v>
      </c>
      <c r="Y706">
        <v>0</v>
      </c>
      <c r="Z706">
        <v>24.99</v>
      </c>
      <c r="AA706" t="s">
        <v>2704</v>
      </c>
      <c r="AB706" t="s">
        <v>45</v>
      </c>
      <c r="AC706" t="s">
        <v>46</v>
      </c>
      <c r="AD706" t="s">
        <v>2556</v>
      </c>
      <c r="AE706" t="s">
        <v>2557</v>
      </c>
      <c r="AF706" t="s">
        <v>2753</v>
      </c>
      <c r="AG706" t="s">
        <v>46</v>
      </c>
      <c r="AH706" t="s">
        <v>531</v>
      </c>
      <c r="AI706" t="s">
        <v>37</v>
      </c>
    </row>
    <row r="707" spans="1:35" x14ac:dyDescent="0.25">
      <c r="A707" t="s">
        <v>2754</v>
      </c>
      <c r="B707" t="s">
        <v>34</v>
      </c>
      <c r="C707" t="s">
        <v>2755</v>
      </c>
      <c r="D707" t="s">
        <v>2756</v>
      </c>
      <c r="E707" t="s">
        <v>2757</v>
      </c>
      <c r="F707" t="s">
        <v>217</v>
      </c>
      <c r="G707" t="s">
        <v>39</v>
      </c>
      <c r="H707" t="s">
        <v>40</v>
      </c>
      <c r="I707" t="s">
        <v>41</v>
      </c>
      <c r="J707" t="s">
        <v>37</v>
      </c>
      <c r="K707" t="s">
        <v>37</v>
      </c>
      <c r="L707" t="s">
        <v>42</v>
      </c>
      <c r="M707" s="6">
        <v>46018.42015046296</v>
      </c>
      <c r="N707" t="s">
        <v>4266</v>
      </c>
      <c r="O707" s="1">
        <v>46019.375</v>
      </c>
      <c r="P707" s="1">
        <v>46018.420972222222</v>
      </c>
      <c r="Q707" t="s">
        <v>4266</v>
      </c>
      <c r="R707" s="6">
        <v>46019.670138888891</v>
      </c>
      <c r="S707" t="s">
        <v>43</v>
      </c>
      <c r="T707">
        <v>24.99</v>
      </c>
      <c r="U707">
        <v>0</v>
      </c>
      <c r="V707">
        <v>23.8</v>
      </c>
      <c r="W707">
        <v>1.19</v>
      </c>
      <c r="X707">
        <v>0</v>
      </c>
      <c r="Y707">
        <v>0</v>
      </c>
      <c r="Z707">
        <v>24.99</v>
      </c>
      <c r="AA707" t="s">
        <v>2704</v>
      </c>
      <c r="AB707" t="s">
        <v>45</v>
      </c>
      <c r="AC707" t="s">
        <v>46</v>
      </c>
      <c r="AD707" t="s">
        <v>2556</v>
      </c>
      <c r="AE707" t="s">
        <v>2557</v>
      </c>
      <c r="AF707" t="s">
        <v>2758</v>
      </c>
      <c r="AG707" t="s">
        <v>46</v>
      </c>
      <c r="AH707" t="s">
        <v>2755</v>
      </c>
      <c r="AI707" t="s">
        <v>37</v>
      </c>
    </row>
    <row r="708" spans="1:35" x14ac:dyDescent="0.25">
      <c r="A708" t="s">
        <v>2759</v>
      </c>
      <c r="B708" t="s">
        <v>34</v>
      </c>
      <c r="C708" t="s">
        <v>2755</v>
      </c>
      <c r="D708" t="s">
        <v>2756</v>
      </c>
      <c r="E708" t="s">
        <v>2757</v>
      </c>
      <c r="F708" t="s">
        <v>217</v>
      </c>
      <c r="G708" t="s">
        <v>39</v>
      </c>
      <c r="H708" t="s">
        <v>40</v>
      </c>
      <c r="I708" t="s">
        <v>41</v>
      </c>
      <c r="J708" t="s">
        <v>37</v>
      </c>
      <c r="K708" t="s">
        <v>37</v>
      </c>
      <c r="L708" t="s">
        <v>42</v>
      </c>
      <c r="M708" s="6">
        <v>46018.423576388886</v>
      </c>
      <c r="N708" t="s">
        <v>4262</v>
      </c>
      <c r="O708" s="1">
        <v>46020.375</v>
      </c>
      <c r="P708" s="1">
        <v>46018.424247685187</v>
      </c>
      <c r="Q708" t="s">
        <v>4262</v>
      </c>
      <c r="R708" s="6">
        <v>46020.670138888891</v>
      </c>
      <c r="S708" t="s">
        <v>43</v>
      </c>
      <c r="T708">
        <v>24.99</v>
      </c>
      <c r="U708">
        <v>0</v>
      </c>
      <c r="V708">
        <v>23.8</v>
      </c>
      <c r="W708">
        <v>1.19</v>
      </c>
      <c r="X708">
        <v>0</v>
      </c>
      <c r="Y708">
        <v>0</v>
      </c>
      <c r="Z708">
        <v>24.99</v>
      </c>
      <c r="AA708" t="s">
        <v>2704</v>
      </c>
      <c r="AB708" t="s">
        <v>45</v>
      </c>
      <c r="AC708" t="s">
        <v>46</v>
      </c>
      <c r="AD708" t="s">
        <v>2556</v>
      </c>
      <c r="AE708" t="s">
        <v>2557</v>
      </c>
      <c r="AF708" t="s">
        <v>2760</v>
      </c>
      <c r="AG708" t="s">
        <v>46</v>
      </c>
      <c r="AH708" t="s">
        <v>2755</v>
      </c>
      <c r="AI708" t="s">
        <v>37</v>
      </c>
    </row>
    <row r="709" spans="1:35" x14ac:dyDescent="0.25">
      <c r="A709" t="s">
        <v>2761</v>
      </c>
      <c r="B709" t="s">
        <v>34</v>
      </c>
      <c r="C709" t="s">
        <v>2762</v>
      </c>
      <c r="D709" t="s">
        <v>2763</v>
      </c>
      <c r="E709" t="s">
        <v>2764</v>
      </c>
      <c r="F709" t="s">
        <v>2765</v>
      </c>
      <c r="G709" t="s">
        <v>39</v>
      </c>
      <c r="H709" t="s">
        <v>40</v>
      </c>
      <c r="I709" t="s">
        <v>41</v>
      </c>
      <c r="J709" t="s">
        <v>37</v>
      </c>
      <c r="K709" t="s">
        <v>37</v>
      </c>
      <c r="L709" t="s">
        <v>42</v>
      </c>
      <c r="M709" s="6">
        <v>46018.518738425926</v>
      </c>
      <c r="N709" t="s">
        <v>4265</v>
      </c>
      <c r="O709" s="1">
        <v>46018.520833333336</v>
      </c>
      <c r="P709" s="1">
        <v>46018.519375000003</v>
      </c>
      <c r="Q709" t="s">
        <v>4265</v>
      </c>
      <c r="R709" s="6">
        <v>46018.670138888891</v>
      </c>
      <c r="S709" t="s">
        <v>43</v>
      </c>
      <c r="T709">
        <v>24.99</v>
      </c>
      <c r="U709">
        <v>0</v>
      </c>
      <c r="V709">
        <v>23.8</v>
      </c>
      <c r="W709">
        <v>1.19</v>
      </c>
      <c r="X709">
        <v>0</v>
      </c>
      <c r="Y709">
        <v>0</v>
      </c>
      <c r="Z709">
        <v>24.99</v>
      </c>
      <c r="AA709" t="s">
        <v>2704</v>
      </c>
      <c r="AB709" t="s">
        <v>45</v>
      </c>
      <c r="AC709" t="s">
        <v>46</v>
      </c>
      <c r="AD709" t="s">
        <v>2556</v>
      </c>
      <c r="AE709" t="s">
        <v>2557</v>
      </c>
      <c r="AF709" t="s">
        <v>2766</v>
      </c>
      <c r="AG709" t="s">
        <v>46</v>
      </c>
      <c r="AH709" t="s">
        <v>2762</v>
      </c>
      <c r="AI709" t="s">
        <v>37</v>
      </c>
    </row>
    <row r="710" spans="1:35" x14ac:dyDescent="0.25">
      <c r="A710" t="s">
        <v>2767</v>
      </c>
      <c r="B710" t="s">
        <v>34</v>
      </c>
      <c r="C710" t="s">
        <v>2768</v>
      </c>
      <c r="D710" t="s">
        <v>2769</v>
      </c>
      <c r="E710" t="s">
        <v>2770</v>
      </c>
      <c r="F710" t="s">
        <v>2771</v>
      </c>
      <c r="G710" t="s">
        <v>39</v>
      </c>
      <c r="H710" t="s">
        <v>40</v>
      </c>
      <c r="I710" t="s">
        <v>41</v>
      </c>
      <c r="J710" t="s">
        <v>37</v>
      </c>
      <c r="K710" t="s">
        <v>37</v>
      </c>
      <c r="L710" t="s">
        <v>42</v>
      </c>
      <c r="M710" s="6">
        <v>46018.743171296293</v>
      </c>
      <c r="N710" t="s">
        <v>4266</v>
      </c>
      <c r="O710" s="1">
        <v>46019.375</v>
      </c>
      <c r="P710" s="1">
        <v>46018.743530092594</v>
      </c>
      <c r="Q710" t="s">
        <v>4266</v>
      </c>
      <c r="R710" s="6">
        <v>46019.628472222219</v>
      </c>
      <c r="S710" t="s">
        <v>43</v>
      </c>
      <c r="T710">
        <v>24.99</v>
      </c>
      <c r="U710">
        <v>0</v>
      </c>
      <c r="V710">
        <v>23.8</v>
      </c>
      <c r="W710">
        <v>1.19</v>
      </c>
      <c r="X710">
        <v>0</v>
      </c>
      <c r="Y710">
        <v>0</v>
      </c>
      <c r="Z710">
        <v>24.99</v>
      </c>
      <c r="AA710" t="s">
        <v>2704</v>
      </c>
      <c r="AB710" t="s">
        <v>45</v>
      </c>
      <c r="AC710" t="s">
        <v>46</v>
      </c>
      <c r="AD710" t="s">
        <v>2556</v>
      </c>
      <c r="AE710" t="s">
        <v>2557</v>
      </c>
      <c r="AF710" t="s">
        <v>2772</v>
      </c>
      <c r="AG710" t="s">
        <v>46</v>
      </c>
      <c r="AH710" t="s">
        <v>2768</v>
      </c>
      <c r="AI710" t="s">
        <v>37</v>
      </c>
    </row>
    <row r="711" spans="1:35" x14ac:dyDescent="0.25">
      <c r="A711" t="s">
        <v>2773</v>
      </c>
      <c r="B711" t="s">
        <v>34</v>
      </c>
      <c r="C711" t="s">
        <v>2768</v>
      </c>
      <c r="D711" t="s">
        <v>2769</v>
      </c>
      <c r="E711" t="s">
        <v>2770</v>
      </c>
      <c r="F711" t="s">
        <v>2771</v>
      </c>
      <c r="G711" t="s">
        <v>39</v>
      </c>
      <c r="H711" t="s">
        <v>40</v>
      </c>
      <c r="I711" t="s">
        <v>41</v>
      </c>
      <c r="J711" t="s">
        <v>37</v>
      </c>
      <c r="K711" t="s">
        <v>37</v>
      </c>
      <c r="L711" t="s">
        <v>42</v>
      </c>
      <c r="M711" s="6">
        <v>46018.744618055556</v>
      </c>
      <c r="N711" t="s">
        <v>4262</v>
      </c>
      <c r="O711" s="1">
        <v>46020.375</v>
      </c>
      <c r="P711" s="1">
        <v>46018.744618055556</v>
      </c>
      <c r="Q711" t="s">
        <v>4262</v>
      </c>
      <c r="R711" s="6">
        <v>46020.711805555555</v>
      </c>
      <c r="S711" t="s">
        <v>43</v>
      </c>
      <c r="T711">
        <v>24.99</v>
      </c>
      <c r="U711">
        <v>0</v>
      </c>
      <c r="V711">
        <v>23.8</v>
      </c>
      <c r="W711">
        <v>1.19</v>
      </c>
      <c r="X711">
        <v>0</v>
      </c>
      <c r="Y711">
        <v>0</v>
      </c>
      <c r="Z711">
        <v>24.99</v>
      </c>
      <c r="AA711" t="s">
        <v>2704</v>
      </c>
      <c r="AB711" t="s">
        <v>45</v>
      </c>
      <c r="AC711" t="s">
        <v>46</v>
      </c>
      <c r="AD711" t="s">
        <v>2556</v>
      </c>
      <c r="AE711" t="s">
        <v>2557</v>
      </c>
      <c r="AF711" t="s">
        <v>2774</v>
      </c>
      <c r="AG711" t="s">
        <v>46</v>
      </c>
      <c r="AH711" t="s">
        <v>2768</v>
      </c>
      <c r="AI711" t="s">
        <v>37</v>
      </c>
    </row>
    <row r="712" spans="1:35" x14ac:dyDescent="0.25">
      <c r="A712" t="s">
        <v>2775</v>
      </c>
      <c r="B712" t="s">
        <v>34</v>
      </c>
      <c r="C712" t="s">
        <v>2735</v>
      </c>
      <c r="D712" t="s">
        <v>2736</v>
      </c>
      <c r="E712" t="s">
        <v>2737</v>
      </c>
      <c r="F712" t="s">
        <v>2738</v>
      </c>
      <c r="G712" t="s">
        <v>39</v>
      </c>
      <c r="H712" t="s">
        <v>40</v>
      </c>
      <c r="I712" t="s">
        <v>41</v>
      </c>
      <c r="J712" t="s">
        <v>37</v>
      </c>
      <c r="K712" t="s">
        <v>37</v>
      </c>
      <c r="L712" t="s">
        <v>42</v>
      </c>
      <c r="M712" s="6">
        <v>46019.294895833336</v>
      </c>
      <c r="N712" t="s">
        <v>4266</v>
      </c>
      <c r="O712" s="1">
        <v>46019.385416666664</v>
      </c>
      <c r="P712" s="1">
        <v>46019.295231481483</v>
      </c>
      <c r="Q712" t="s">
        <v>4266</v>
      </c>
      <c r="R712" s="6">
        <v>46019.711805555555</v>
      </c>
      <c r="S712" t="s">
        <v>43</v>
      </c>
      <c r="T712">
        <v>24.99</v>
      </c>
      <c r="U712">
        <v>0</v>
      </c>
      <c r="V712">
        <v>23.8</v>
      </c>
      <c r="W712">
        <v>1.19</v>
      </c>
      <c r="X712">
        <v>0</v>
      </c>
      <c r="Y712">
        <v>0</v>
      </c>
      <c r="Z712">
        <v>24.99</v>
      </c>
      <c r="AA712" t="s">
        <v>2704</v>
      </c>
      <c r="AB712" t="s">
        <v>45</v>
      </c>
      <c r="AC712" t="s">
        <v>46</v>
      </c>
      <c r="AD712" t="s">
        <v>2556</v>
      </c>
      <c r="AE712" t="s">
        <v>2557</v>
      </c>
      <c r="AF712" t="s">
        <v>2776</v>
      </c>
      <c r="AG712" t="s">
        <v>46</v>
      </c>
      <c r="AH712" t="s">
        <v>2735</v>
      </c>
      <c r="AI712" t="s">
        <v>37</v>
      </c>
    </row>
    <row r="713" spans="1:35" x14ac:dyDescent="0.25">
      <c r="A713" t="s">
        <v>2777</v>
      </c>
      <c r="B713" t="s">
        <v>34</v>
      </c>
      <c r="C713" t="s">
        <v>2707</v>
      </c>
      <c r="D713" t="s">
        <v>2708</v>
      </c>
      <c r="E713" t="s">
        <v>2709</v>
      </c>
      <c r="F713" t="s">
        <v>2710</v>
      </c>
      <c r="G713" t="s">
        <v>39</v>
      </c>
      <c r="H713" t="s">
        <v>40</v>
      </c>
      <c r="I713" t="s">
        <v>41</v>
      </c>
      <c r="J713" t="s">
        <v>37</v>
      </c>
      <c r="K713" t="s">
        <v>37</v>
      </c>
      <c r="L713" t="s">
        <v>42</v>
      </c>
      <c r="M713" s="6">
        <v>46019.363449074073</v>
      </c>
      <c r="N713" t="s">
        <v>4262</v>
      </c>
      <c r="O713" s="1">
        <v>46020.354166666664</v>
      </c>
      <c r="P713" s="1">
        <v>46019.363449074073</v>
      </c>
      <c r="Q713" t="s">
        <v>4262</v>
      </c>
      <c r="R713" s="6">
        <v>46020.711805555555</v>
      </c>
      <c r="S713" t="s">
        <v>43</v>
      </c>
      <c r="T713">
        <v>24.99</v>
      </c>
      <c r="U713">
        <v>0</v>
      </c>
      <c r="V713">
        <v>23.8</v>
      </c>
      <c r="W713">
        <v>1.19</v>
      </c>
      <c r="X713">
        <v>0</v>
      </c>
      <c r="Y713">
        <v>0</v>
      </c>
      <c r="Z713">
        <v>24.99</v>
      </c>
      <c r="AA713" t="s">
        <v>2704</v>
      </c>
      <c r="AB713" t="s">
        <v>45</v>
      </c>
      <c r="AC713" t="s">
        <v>46</v>
      </c>
      <c r="AD713" t="s">
        <v>2556</v>
      </c>
      <c r="AE713" t="s">
        <v>2557</v>
      </c>
      <c r="AF713" t="s">
        <v>2778</v>
      </c>
      <c r="AG713" t="s">
        <v>46</v>
      </c>
      <c r="AH713" t="s">
        <v>2707</v>
      </c>
      <c r="AI713" t="s">
        <v>37</v>
      </c>
    </row>
    <row r="714" spans="1:35" x14ac:dyDescent="0.25">
      <c r="A714" t="s">
        <v>2779</v>
      </c>
      <c r="B714" t="s">
        <v>34</v>
      </c>
      <c r="C714" t="s">
        <v>531</v>
      </c>
      <c r="D714" t="s">
        <v>532</v>
      </c>
      <c r="E714" t="s">
        <v>37</v>
      </c>
      <c r="F714" t="s">
        <v>533</v>
      </c>
      <c r="G714" t="s">
        <v>39</v>
      </c>
      <c r="H714" t="s">
        <v>40</v>
      </c>
      <c r="I714" t="s">
        <v>41</v>
      </c>
      <c r="J714" t="s">
        <v>37</v>
      </c>
      <c r="K714" t="s">
        <v>37</v>
      </c>
      <c r="L714" t="s">
        <v>42</v>
      </c>
      <c r="M714" s="6">
        <v>46019.409988425927</v>
      </c>
      <c r="N714" t="s">
        <v>4266</v>
      </c>
      <c r="O714" s="1">
        <v>46019.416666666664</v>
      </c>
      <c r="P714" s="1">
        <v>46019.410509259258</v>
      </c>
      <c r="Q714" t="s">
        <v>4266</v>
      </c>
      <c r="R714" s="6">
        <v>46019.670138888891</v>
      </c>
      <c r="S714" t="s">
        <v>43</v>
      </c>
      <c r="T714">
        <v>24.99</v>
      </c>
      <c r="U714">
        <v>0</v>
      </c>
      <c r="V714">
        <v>23.8</v>
      </c>
      <c r="W714">
        <v>1.19</v>
      </c>
      <c r="X714">
        <v>0</v>
      </c>
      <c r="Y714">
        <v>0</v>
      </c>
      <c r="Z714">
        <v>24.99</v>
      </c>
      <c r="AA714" t="s">
        <v>2704</v>
      </c>
      <c r="AB714" t="s">
        <v>45</v>
      </c>
      <c r="AC714" t="s">
        <v>46</v>
      </c>
      <c r="AD714" t="s">
        <v>2556</v>
      </c>
      <c r="AE714" t="s">
        <v>2557</v>
      </c>
      <c r="AF714" t="s">
        <v>2780</v>
      </c>
      <c r="AG714" t="s">
        <v>46</v>
      </c>
      <c r="AH714" t="s">
        <v>531</v>
      </c>
      <c r="AI714" t="s">
        <v>37</v>
      </c>
    </row>
    <row r="715" spans="1:35" x14ac:dyDescent="0.25">
      <c r="A715" t="s">
        <v>2781</v>
      </c>
      <c r="B715" t="s">
        <v>34</v>
      </c>
      <c r="C715" t="s">
        <v>1491</v>
      </c>
      <c r="D715" t="s">
        <v>1492</v>
      </c>
      <c r="E715" t="s">
        <v>37</v>
      </c>
      <c r="F715" t="s">
        <v>1493</v>
      </c>
      <c r="G715" t="s">
        <v>39</v>
      </c>
      <c r="H715" t="s">
        <v>40</v>
      </c>
      <c r="I715" t="s">
        <v>41</v>
      </c>
      <c r="J715" t="s">
        <v>37</v>
      </c>
      <c r="K715" t="s">
        <v>37</v>
      </c>
      <c r="L715" t="s">
        <v>42</v>
      </c>
      <c r="M715" s="6">
        <v>46019.625925925924</v>
      </c>
      <c r="N715" t="s">
        <v>4262</v>
      </c>
      <c r="O715" s="1">
        <v>46020.364583333336</v>
      </c>
      <c r="P715" s="1">
        <v>46019.62667824074</v>
      </c>
      <c r="Q715" t="s">
        <v>4267</v>
      </c>
      <c r="R715" s="6">
        <v>46021.680555555555</v>
      </c>
      <c r="S715" t="s">
        <v>43</v>
      </c>
      <c r="T715">
        <v>49.98</v>
      </c>
      <c r="U715">
        <v>0</v>
      </c>
      <c r="V715">
        <v>47.6</v>
      </c>
      <c r="W715">
        <v>2.38</v>
      </c>
      <c r="X715">
        <v>0</v>
      </c>
      <c r="Y715">
        <v>0</v>
      </c>
      <c r="Z715">
        <v>49.98</v>
      </c>
      <c r="AA715" t="s">
        <v>2704</v>
      </c>
      <c r="AB715" t="s">
        <v>45</v>
      </c>
      <c r="AC715" t="s">
        <v>46</v>
      </c>
      <c r="AD715" t="s">
        <v>2556</v>
      </c>
      <c r="AE715" t="s">
        <v>2557</v>
      </c>
      <c r="AF715" t="s">
        <v>2782</v>
      </c>
      <c r="AG715" t="s">
        <v>46</v>
      </c>
      <c r="AH715" t="s">
        <v>1491</v>
      </c>
      <c r="AI715" t="s">
        <v>37</v>
      </c>
    </row>
    <row r="716" spans="1:35" x14ac:dyDescent="0.25">
      <c r="A716" t="s">
        <v>2783</v>
      </c>
      <c r="B716" t="s">
        <v>34</v>
      </c>
      <c r="C716" t="s">
        <v>2784</v>
      </c>
      <c r="D716" t="s">
        <v>2785</v>
      </c>
      <c r="E716" t="s">
        <v>2786</v>
      </c>
      <c r="F716" t="s">
        <v>2207</v>
      </c>
      <c r="G716" t="s">
        <v>39</v>
      </c>
      <c r="H716" t="s">
        <v>40</v>
      </c>
      <c r="I716" t="s">
        <v>41</v>
      </c>
      <c r="J716" t="s">
        <v>37</v>
      </c>
      <c r="K716" t="s">
        <v>37</v>
      </c>
      <c r="L716" t="s">
        <v>42</v>
      </c>
      <c r="M716" s="6">
        <v>46019.739305555559</v>
      </c>
      <c r="N716" t="s">
        <v>4262</v>
      </c>
      <c r="O716" s="1">
        <v>46020.375</v>
      </c>
      <c r="P716" s="1">
        <v>46019.739490740743</v>
      </c>
      <c r="Q716" t="s">
        <v>4262</v>
      </c>
      <c r="R716" s="6">
        <v>46020.670138888891</v>
      </c>
      <c r="S716" t="s">
        <v>43</v>
      </c>
      <c r="T716">
        <v>24.99</v>
      </c>
      <c r="U716">
        <v>0</v>
      </c>
      <c r="V716">
        <v>23.8</v>
      </c>
      <c r="W716">
        <v>1.19</v>
      </c>
      <c r="X716">
        <v>0</v>
      </c>
      <c r="Y716">
        <v>0</v>
      </c>
      <c r="Z716">
        <v>24.99</v>
      </c>
      <c r="AA716" t="s">
        <v>2704</v>
      </c>
      <c r="AB716" t="s">
        <v>45</v>
      </c>
      <c r="AC716" t="s">
        <v>46</v>
      </c>
      <c r="AD716" t="s">
        <v>2556</v>
      </c>
      <c r="AE716" t="s">
        <v>2557</v>
      </c>
      <c r="AF716" t="s">
        <v>2787</v>
      </c>
      <c r="AG716" t="s">
        <v>46</v>
      </c>
      <c r="AH716" t="s">
        <v>2784</v>
      </c>
      <c r="AI716" t="s">
        <v>37</v>
      </c>
    </row>
    <row r="717" spans="1:35" x14ac:dyDescent="0.25">
      <c r="A717" t="s">
        <v>2788</v>
      </c>
      <c r="B717" t="s">
        <v>34</v>
      </c>
      <c r="C717" t="s">
        <v>260</v>
      </c>
      <c r="D717" t="s">
        <v>261</v>
      </c>
      <c r="E717" t="s">
        <v>37</v>
      </c>
      <c r="F717" t="s">
        <v>262</v>
      </c>
      <c r="G717" t="s">
        <v>39</v>
      </c>
      <c r="H717" t="s">
        <v>40</v>
      </c>
      <c r="I717" t="s">
        <v>41</v>
      </c>
      <c r="J717" t="s">
        <v>37</v>
      </c>
      <c r="K717" t="s">
        <v>37</v>
      </c>
      <c r="L717" t="s">
        <v>42</v>
      </c>
      <c r="M717" s="6">
        <v>46019.89471064815</v>
      </c>
      <c r="N717" t="s">
        <v>4262</v>
      </c>
      <c r="O717" s="1">
        <v>46020.375</v>
      </c>
      <c r="P717" s="1">
        <v>46019.894895833335</v>
      </c>
      <c r="Q717" t="s">
        <v>4267</v>
      </c>
      <c r="R717" s="6">
        <v>46021.690972222219</v>
      </c>
      <c r="S717" t="s">
        <v>43</v>
      </c>
      <c r="T717">
        <v>49.98</v>
      </c>
      <c r="U717">
        <v>0</v>
      </c>
      <c r="V717">
        <v>47.6</v>
      </c>
      <c r="W717">
        <v>2.38</v>
      </c>
      <c r="X717">
        <v>0</v>
      </c>
      <c r="Y717">
        <v>0</v>
      </c>
      <c r="Z717">
        <v>49.98</v>
      </c>
      <c r="AA717" t="s">
        <v>2704</v>
      </c>
      <c r="AB717" t="s">
        <v>45</v>
      </c>
      <c r="AC717" t="s">
        <v>46</v>
      </c>
      <c r="AD717" t="s">
        <v>2556</v>
      </c>
      <c r="AE717" t="s">
        <v>2557</v>
      </c>
      <c r="AF717" t="s">
        <v>2789</v>
      </c>
      <c r="AG717" t="s">
        <v>46</v>
      </c>
      <c r="AH717" t="s">
        <v>263</v>
      </c>
      <c r="AI717" t="s">
        <v>37</v>
      </c>
    </row>
    <row r="718" spans="1:35" x14ac:dyDescent="0.25">
      <c r="A718" t="s">
        <v>2790</v>
      </c>
      <c r="B718" t="s">
        <v>34</v>
      </c>
      <c r="C718" t="s">
        <v>2791</v>
      </c>
      <c r="D718" t="s">
        <v>2792</v>
      </c>
      <c r="E718" t="s">
        <v>2793</v>
      </c>
      <c r="F718" t="s">
        <v>2794</v>
      </c>
      <c r="G718" t="s">
        <v>39</v>
      </c>
      <c r="H718" t="s">
        <v>40</v>
      </c>
      <c r="I718" t="s">
        <v>41</v>
      </c>
      <c r="J718" t="s">
        <v>37</v>
      </c>
      <c r="K718" t="s">
        <v>37</v>
      </c>
      <c r="L718" t="s">
        <v>42</v>
      </c>
      <c r="M718" s="6">
        <v>46020.278796296298</v>
      </c>
      <c r="N718" t="s">
        <v>4262</v>
      </c>
      <c r="O718" s="1">
        <v>46020.354166666664</v>
      </c>
      <c r="P718" s="1">
        <v>46020.279560185183</v>
      </c>
      <c r="Q718" t="s">
        <v>4262</v>
      </c>
      <c r="R718" s="6">
        <v>46020.670138888891</v>
      </c>
      <c r="S718" t="s">
        <v>43</v>
      </c>
      <c r="T718">
        <v>24.99</v>
      </c>
      <c r="U718">
        <v>0</v>
      </c>
      <c r="V718">
        <v>23.8</v>
      </c>
      <c r="W718">
        <v>1.19</v>
      </c>
      <c r="X718">
        <v>0</v>
      </c>
      <c r="Y718">
        <v>0</v>
      </c>
      <c r="Z718">
        <v>24.99</v>
      </c>
      <c r="AA718" t="s">
        <v>2704</v>
      </c>
      <c r="AB718" t="s">
        <v>45</v>
      </c>
      <c r="AC718" t="s">
        <v>46</v>
      </c>
      <c r="AD718" t="s">
        <v>2556</v>
      </c>
      <c r="AE718" t="s">
        <v>2557</v>
      </c>
      <c r="AF718" t="s">
        <v>2795</v>
      </c>
      <c r="AG718" t="s">
        <v>46</v>
      </c>
      <c r="AH718" t="s">
        <v>2791</v>
      </c>
      <c r="AI718" t="s">
        <v>37</v>
      </c>
    </row>
    <row r="719" spans="1:35" x14ac:dyDescent="0.25">
      <c r="A719" t="s">
        <v>2796</v>
      </c>
      <c r="B719" t="s">
        <v>34</v>
      </c>
      <c r="C719" t="s">
        <v>576</v>
      </c>
      <c r="D719" t="s">
        <v>577</v>
      </c>
      <c r="E719" t="s">
        <v>37</v>
      </c>
      <c r="F719" t="s">
        <v>578</v>
      </c>
      <c r="G719" t="s">
        <v>39</v>
      </c>
      <c r="H719" t="s">
        <v>40</v>
      </c>
      <c r="I719" t="s">
        <v>41</v>
      </c>
      <c r="J719" t="s">
        <v>37</v>
      </c>
      <c r="K719" t="s">
        <v>37</v>
      </c>
      <c r="L719" t="s">
        <v>42</v>
      </c>
      <c r="M719" s="6">
        <v>46020.381354166668</v>
      </c>
      <c r="N719" t="s">
        <v>4267</v>
      </c>
      <c r="O719" s="1">
        <v>46021.333333333336</v>
      </c>
      <c r="P719" s="1">
        <v>46020.382372685184</v>
      </c>
      <c r="Q719" t="s">
        <v>4267</v>
      </c>
      <c r="R719" s="6">
        <v>46021.711805555555</v>
      </c>
      <c r="S719" t="s">
        <v>43</v>
      </c>
      <c r="T719">
        <v>24.99</v>
      </c>
      <c r="U719">
        <v>0</v>
      </c>
      <c r="V719">
        <v>23.8</v>
      </c>
      <c r="W719">
        <v>1.19</v>
      </c>
      <c r="X719">
        <v>0</v>
      </c>
      <c r="Y719">
        <v>0</v>
      </c>
      <c r="Z719">
        <v>24.99</v>
      </c>
      <c r="AA719" t="s">
        <v>2704</v>
      </c>
      <c r="AB719" t="s">
        <v>45</v>
      </c>
      <c r="AC719" t="s">
        <v>46</v>
      </c>
      <c r="AD719" t="s">
        <v>2556</v>
      </c>
      <c r="AE719" t="s">
        <v>2557</v>
      </c>
      <c r="AF719" t="s">
        <v>2797</v>
      </c>
      <c r="AG719" t="s">
        <v>46</v>
      </c>
      <c r="AH719" t="s">
        <v>576</v>
      </c>
      <c r="AI719" t="s">
        <v>37</v>
      </c>
    </row>
    <row r="720" spans="1:35" x14ac:dyDescent="0.25">
      <c r="A720" t="s">
        <v>2798</v>
      </c>
      <c r="B720" t="s">
        <v>34</v>
      </c>
      <c r="C720" t="s">
        <v>2799</v>
      </c>
      <c r="D720" t="s">
        <v>2800</v>
      </c>
      <c r="E720" t="s">
        <v>2801</v>
      </c>
      <c r="F720" t="s">
        <v>2802</v>
      </c>
      <c r="G720" t="s">
        <v>39</v>
      </c>
      <c r="H720" t="s">
        <v>40</v>
      </c>
      <c r="I720" t="s">
        <v>41</v>
      </c>
      <c r="J720" t="s">
        <v>37</v>
      </c>
      <c r="K720" t="s">
        <v>37</v>
      </c>
      <c r="L720" t="s">
        <v>42</v>
      </c>
      <c r="M720" s="6">
        <v>46020.383171296293</v>
      </c>
      <c r="N720" t="s">
        <v>4267</v>
      </c>
      <c r="O720" s="1">
        <v>46021.375</v>
      </c>
      <c r="P720" s="1">
        <v>46020.383645833332</v>
      </c>
      <c r="Q720" t="s">
        <v>4267</v>
      </c>
      <c r="R720" s="6">
        <v>46021.555555555555</v>
      </c>
      <c r="S720" t="s">
        <v>43</v>
      </c>
      <c r="T720">
        <v>24.99</v>
      </c>
      <c r="U720">
        <v>0</v>
      </c>
      <c r="V720">
        <v>23.8</v>
      </c>
      <c r="W720">
        <v>1.19</v>
      </c>
      <c r="X720">
        <v>0</v>
      </c>
      <c r="Y720">
        <v>0</v>
      </c>
      <c r="Z720">
        <v>24.99</v>
      </c>
      <c r="AA720" t="s">
        <v>2704</v>
      </c>
      <c r="AB720" t="s">
        <v>45</v>
      </c>
      <c r="AC720" t="s">
        <v>46</v>
      </c>
      <c r="AD720" t="s">
        <v>2556</v>
      </c>
      <c r="AE720" t="s">
        <v>2557</v>
      </c>
      <c r="AF720" t="s">
        <v>2803</v>
      </c>
      <c r="AG720" t="s">
        <v>46</v>
      </c>
      <c r="AH720" t="s">
        <v>2799</v>
      </c>
      <c r="AI720" t="s">
        <v>37</v>
      </c>
    </row>
    <row r="721" spans="1:35" x14ac:dyDescent="0.25">
      <c r="A721" t="s">
        <v>2804</v>
      </c>
      <c r="B721" t="s">
        <v>34</v>
      </c>
      <c r="C721" t="s">
        <v>576</v>
      </c>
      <c r="D721" t="s">
        <v>577</v>
      </c>
      <c r="E721" t="s">
        <v>37</v>
      </c>
      <c r="F721" t="s">
        <v>578</v>
      </c>
      <c r="G721" t="s">
        <v>39</v>
      </c>
      <c r="H721" t="s">
        <v>40</v>
      </c>
      <c r="I721" t="s">
        <v>41</v>
      </c>
      <c r="J721" t="s">
        <v>37</v>
      </c>
      <c r="K721" t="s">
        <v>37</v>
      </c>
      <c r="L721" t="s">
        <v>42</v>
      </c>
      <c r="M721" s="6">
        <v>46020.384756944448</v>
      </c>
      <c r="N721" t="s">
        <v>4263</v>
      </c>
      <c r="O721" s="1">
        <v>46022.333333333336</v>
      </c>
      <c r="P721" s="1">
        <v>46020.385509259257</v>
      </c>
      <c r="Q721" t="s">
        <v>4263</v>
      </c>
      <c r="R721" s="6">
        <v>46022.711805555555</v>
      </c>
      <c r="S721" t="s">
        <v>43</v>
      </c>
      <c r="T721">
        <v>24.99</v>
      </c>
      <c r="U721">
        <v>0</v>
      </c>
      <c r="V721">
        <v>23.8</v>
      </c>
      <c r="W721">
        <v>1.19</v>
      </c>
      <c r="X721">
        <v>0</v>
      </c>
      <c r="Y721">
        <v>0</v>
      </c>
      <c r="Z721">
        <v>24.99</v>
      </c>
      <c r="AA721" t="s">
        <v>2704</v>
      </c>
      <c r="AB721" t="s">
        <v>45</v>
      </c>
      <c r="AC721" t="s">
        <v>46</v>
      </c>
      <c r="AD721" t="s">
        <v>2556</v>
      </c>
      <c r="AE721" t="s">
        <v>2557</v>
      </c>
      <c r="AF721" t="s">
        <v>2805</v>
      </c>
      <c r="AG721" t="s">
        <v>46</v>
      </c>
      <c r="AH721" t="s">
        <v>576</v>
      </c>
      <c r="AI721" t="s">
        <v>37</v>
      </c>
    </row>
    <row r="722" spans="1:35" x14ac:dyDescent="0.25">
      <c r="A722" t="s">
        <v>2806</v>
      </c>
      <c r="B722" t="s">
        <v>34</v>
      </c>
      <c r="C722" t="s">
        <v>260</v>
      </c>
      <c r="D722" t="s">
        <v>261</v>
      </c>
      <c r="E722" t="s">
        <v>37</v>
      </c>
      <c r="F722" t="s">
        <v>262</v>
      </c>
      <c r="G722" t="s">
        <v>39</v>
      </c>
      <c r="H722" t="s">
        <v>40</v>
      </c>
      <c r="I722" t="s">
        <v>41</v>
      </c>
      <c r="J722" t="s">
        <v>37</v>
      </c>
      <c r="K722" t="s">
        <v>37</v>
      </c>
      <c r="L722" t="s">
        <v>42</v>
      </c>
      <c r="M722" s="6">
        <v>46020.413703703707</v>
      </c>
      <c r="N722" t="s">
        <v>4262</v>
      </c>
      <c r="O722" s="1">
        <v>46020.416666666664</v>
      </c>
      <c r="P722" s="1">
        <v>46020.413842592592</v>
      </c>
      <c r="Q722" t="s">
        <v>4267</v>
      </c>
      <c r="R722" s="6">
        <v>46021.670138888891</v>
      </c>
      <c r="S722" t="s">
        <v>43</v>
      </c>
      <c r="T722">
        <v>49.98</v>
      </c>
      <c r="U722">
        <v>0</v>
      </c>
      <c r="V722">
        <v>47.6</v>
      </c>
      <c r="W722">
        <v>2.38</v>
      </c>
      <c r="X722">
        <v>0</v>
      </c>
      <c r="Y722">
        <v>-50</v>
      </c>
      <c r="Z722">
        <v>0</v>
      </c>
      <c r="AA722" t="s">
        <v>2704</v>
      </c>
      <c r="AB722" t="s">
        <v>45</v>
      </c>
      <c r="AC722" t="s">
        <v>46</v>
      </c>
      <c r="AD722" t="s">
        <v>2556</v>
      </c>
      <c r="AE722" t="s">
        <v>2557</v>
      </c>
      <c r="AF722" t="s">
        <v>2807</v>
      </c>
      <c r="AG722" t="s">
        <v>46</v>
      </c>
      <c r="AH722" t="s">
        <v>263</v>
      </c>
      <c r="AI722" t="s">
        <v>37</v>
      </c>
    </row>
    <row r="723" spans="1:35" x14ac:dyDescent="0.25">
      <c r="A723" t="s">
        <v>2808</v>
      </c>
      <c r="B723" t="s">
        <v>34</v>
      </c>
      <c r="C723" t="s">
        <v>260</v>
      </c>
      <c r="D723" t="s">
        <v>261</v>
      </c>
      <c r="E723" t="s">
        <v>37</v>
      </c>
      <c r="F723" t="s">
        <v>2166</v>
      </c>
      <c r="G723" t="s">
        <v>39</v>
      </c>
      <c r="H723" t="s">
        <v>40</v>
      </c>
      <c r="I723" t="s">
        <v>41</v>
      </c>
      <c r="J723" t="s">
        <v>37</v>
      </c>
      <c r="K723" t="s">
        <v>37</v>
      </c>
      <c r="L723" t="s">
        <v>42</v>
      </c>
      <c r="M723" s="6">
        <v>46020.418090277781</v>
      </c>
      <c r="N723" t="s">
        <v>4262</v>
      </c>
      <c r="O723" s="1">
        <v>46020.420138888891</v>
      </c>
      <c r="P723" s="1">
        <v>46020.41815972222</v>
      </c>
      <c r="Q723" t="s">
        <v>4267</v>
      </c>
      <c r="R723" s="6">
        <v>46021.670138888891</v>
      </c>
      <c r="S723" t="s">
        <v>43</v>
      </c>
      <c r="T723">
        <v>49.98</v>
      </c>
      <c r="U723">
        <v>0</v>
      </c>
      <c r="V723">
        <v>47.6</v>
      </c>
      <c r="W723">
        <v>2.38</v>
      </c>
      <c r="X723">
        <v>0</v>
      </c>
      <c r="Y723">
        <v>0</v>
      </c>
      <c r="Z723">
        <v>49.98</v>
      </c>
      <c r="AA723" t="s">
        <v>2704</v>
      </c>
      <c r="AB723" t="s">
        <v>45</v>
      </c>
      <c r="AC723" t="s">
        <v>46</v>
      </c>
      <c r="AD723" t="s">
        <v>2556</v>
      </c>
      <c r="AE723" t="s">
        <v>2557</v>
      </c>
      <c r="AF723" t="s">
        <v>2809</v>
      </c>
      <c r="AG723" t="s">
        <v>46</v>
      </c>
      <c r="AH723" t="s">
        <v>263</v>
      </c>
      <c r="AI723" t="s">
        <v>37</v>
      </c>
    </row>
    <row r="724" spans="1:35" x14ac:dyDescent="0.25">
      <c r="A724" t="s">
        <v>2810</v>
      </c>
      <c r="B724" t="s">
        <v>34</v>
      </c>
      <c r="C724" t="s">
        <v>2811</v>
      </c>
      <c r="D724" t="s">
        <v>2812</v>
      </c>
      <c r="E724" t="s">
        <v>2813</v>
      </c>
      <c r="F724" t="s">
        <v>2814</v>
      </c>
      <c r="G724" t="s">
        <v>39</v>
      </c>
      <c r="H724" t="s">
        <v>40</v>
      </c>
      <c r="I724" t="s">
        <v>41</v>
      </c>
      <c r="J724" t="s">
        <v>37</v>
      </c>
      <c r="K724" t="s">
        <v>37</v>
      </c>
      <c r="L724" t="s">
        <v>42</v>
      </c>
      <c r="M724" s="6">
        <v>46020.466365740744</v>
      </c>
      <c r="N724" t="s">
        <v>4262</v>
      </c>
      <c r="O724" s="1">
        <v>46020.552083333336</v>
      </c>
      <c r="P724" s="1">
        <v>46020.466805555552</v>
      </c>
      <c r="Q724" t="s">
        <v>4262</v>
      </c>
      <c r="R724" s="6">
        <v>46020.680555555555</v>
      </c>
      <c r="S724" t="s">
        <v>43</v>
      </c>
      <c r="T724">
        <v>24.99</v>
      </c>
      <c r="U724">
        <v>0</v>
      </c>
      <c r="V724">
        <v>23.8</v>
      </c>
      <c r="W724">
        <v>1.19</v>
      </c>
      <c r="X724">
        <v>0</v>
      </c>
      <c r="Y724">
        <v>0</v>
      </c>
      <c r="Z724">
        <v>24.99</v>
      </c>
      <c r="AA724" t="s">
        <v>2704</v>
      </c>
      <c r="AB724" t="s">
        <v>45</v>
      </c>
      <c r="AC724" t="s">
        <v>46</v>
      </c>
      <c r="AD724" t="s">
        <v>2556</v>
      </c>
      <c r="AE724" t="s">
        <v>2557</v>
      </c>
      <c r="AF724" t="s">
        <v>2815</v>
      </c>
      <c r="AG724" t="s">
        <v>46</v>
      </c>
      <c r="AH724" t="s">
        <v>2811</v>
      </c>
      <c r="AI724" t="s">
        <v>37</v>
      </c>
    </row>
    <row r="725" spans="1:35" x14ac:dyDescent="0.25">
      <c r="A725" t="s">
        <v>2816</v>
      </c>
      <c r="B725" t="s">
        <v>34</v>
      </c>
      <c r="C725" t="s">
        <v>2817</v>
      </c>
      <c r="D725" t="s">
        <v>2818</v>
      </c>
      <c r="E725" t="s">
        <v>2819</v>
      </c>
      <c r="F725" t="s">
        <v>2820</v>
      </c>
      <c r="G725" t="s">
        <v>39</v>
      </c>
      <c r="H725" t="s">
        <v>40</v>
      </c>
      <c r="I725" t="s">
        <v>41</v>
      </c>
      <c r="J725" t="s">
        <v>37</v>
      </c>
      <c r="K725" t="s">
        <v>37</v>
      </c>
      <c r="L725" t="s">
        <v>42</v>
      </c>
      <c r="M725" s="6">
        <v>46020.474340277775</v>
      </c>
      <c r="N725" t="s">
        <v>4262</v>
      </c>
      <c r="O725" s="1">
        <v>46020.479166666664</v>
      </c>
      <c r="P725" s="1">
        <v>46020.474664351852</v>
      </c>
      <c r="Q725" t="s">
        <v>4262</v>
      </c>
      <c r="R725" s="6">
        <v>46020.670138888891</v>
      </c>
      <c r="S725" t="s">
        <v>43</v>
      </c>
      <c r="T725">
        <v>24.99</v>
      </c>
      <c r="U725">
        <v>0</v>
      </c>
      <c r="V725">
        <v>23.8</v>
      </c>
      <c r="W725">
        <v>1.19</v>
      </c>
      <c r="X725">
        <v>0</v>
      </c>
      <c r="Y725">
        <v>0</v>
      </c>
      <c r="Z725">
        <v>24.99</v>
      </c>
      <c r="AA725" t="s">
        <v>2704</v>
      </c>
      <c r="AB725" t="s">
        <v>45</v>
      </c>
      <c r="AC725" t="s">
        <v>46</v>
      </c>
      <c r="AD725" t="s">
        <v>2556</v>
      </c>
      <c r="AE725" t="s">
        <v>2557</v>
      </c>
      <c r="AF725" t="s">
        <v>2821</v>
      </c>
      <c r="AG725" t="s">
        <v>46</v>
      </c>
      <c r="AH725" t="s">
        <v>2817</v>
      </c>
      <c r="AI725" t="s">
        <v>37</v>
      </c>
    </row>
    <row r="726" spans="1:35" x14ac:dyDescent="0.25">
      <c r="A726" t="s">
        <v>2822</v>
      </c>
      <c r="B726" t="s">
        <v>34</v>
      </c>
      <c r="C726" t="s">
        <v>2823</v>
      </c>
      <c r="D726" t="s">
        <v>2824</v>
      </c>
      <c r="E726" t="s">
        <v>2825</v>
      </c>
      <c r="F726" t="s">
        <v>2826</v>
      </c>
      <c r="G726" t="s">
        <v>39</v>
      </c>
      <c r="H726" t="s">
        <v>40</v>
      </c>
      <c r="I726" t="s">
        <v>41</v>
      </c>
      <c r="J726" t="s">
        <v>37</v>
      </c>
      <c r="K726" t="s">
        <v>37</v>
      </c>
      <c r="L726" t="s">
        <v>42</v>
      </c>
      <c r="M726" s="6">
        <v>46020.483275462961</v>
      </c>
      <c r="N726" t="s">
        <v>4263</v>
      </c>
      <c r="O726" s="1">
        <v>46022.416666666664</v>
      </c>
      <c r="P726" s="1">
        <v>46020.483749999999</v>
      </c>
      <c r="Q726" t="s">
        <v>4263</v>
      </c>
      <c r="R726" s="6">
        <v>46022.711805555555</v>
      </c>
      <c r="S726" t="s">
        <v>43</v>
      </c>
      <c r="T726">
        <v>24.99</v>
      </c>
      <c r="U726">
        <v>0</v>
      </c>
      <c r="V726">
        <v>23.8</v>
      </c>
      <c r="W726">
        <v>1.19</v>
      </c>
      <c r="X726">
        <v>0</v>
      </c>
      <c r="Y726">
        <v>0</v>
      </c>
      <c r="Z726">
        <v>24.99</v>
      </c>
      <c r="AA726" t="s">
        <v>2704</v>
      </c>
      <c r="AB726" t="s">
        <v>45</v>
      </c>
      <c r="AC726" t="s">
        <v>46</v>
      </c>
      <c r="AD726" t="s">
        <v>2556</v>
      </c>
      <c r="AE726" t="s">
        <v>2557</v>
      </c>
      <c r="AF726" t="s">
        <v>2827</v>
      </c>
      <c r="AG726" t="s">
        <v>46</v>
      </c>
      <c r="AH726" t="s">
        <v>2823</v>
      </c>
      <c r="AI726" t="s">
        <v>37</v>
      </c>
    </row>
    <row r="727" spans="1:35" x14ac:dyDescent="0.25">
      <c r="A727" t="s">
        <v>2828</v>
      </c>
      <c r="B727" t="s">
        <v>34</v>
      </c>
      <c r="C727" t="s">
        <v>2829</v>
      </c>
      <c r="D727" t="s">
        <v>2830</v>
      </c>
      <c r="E727" t="s">
        <v>2831</v>
      </c>
      <c r="F727" t="s">
        <v>2832</v>
      </c>
      <c r="G727" t="s">
        <v>39</v>
      </c>
      <c r="H727" t="s">
        <v>40</v>
      </c>
      <c r="I727" t="s">
        <v>41</v>
      </c>
      <c r="J727" t="s">
        <v>37</v>
      </c>
      <c r="K727" t="s">
        <v>37</v>
      </c>
      <c r="L727" t="s">
        <v>42</v>
      </c>
      <c r="M727" s="6">
        <v>46020.773738425924</v>
      </c>
      <c r="N727" t="s">
        <v>4267</v>
      </c>
      <c r="O727" s="1">
        <v>46021.375</v>
      </c>
      <c r="P727" s="1">
        <v>46020.774074074077</v>
      </c>
      <c r="Q727" t="s">
        <v>4267</v>
      </c>
      <c r="R727" s="6">
        <v>46021.670138888891</v>
      </c>
      <c r="S727" t="s">
        <v>43</v>
      </c>
      <c r="T727">
        <v>24.99</v>
      </c>
      <c r="U727">
        <v>0</v>
      </c>
      <c r="V727">
        <v>23.8</v>
      </c>
      <c r="W727">
        <v>1.19</v>
      </c>
      <c r="X727">
        <v>0</v>
      </c>
      <c r="Y727">
        <v>0</v>
      </c>
      <c r="Z727">
        <v>24.99</v>
      </c>
      <c r="AA727" t="s">
        <v>2704</v>
      </c>
      <c r="AB727" t="s">
        <v>45</v>
      </c>
      <c r="AC727" t="s">
        <v>46</v>
      </c>
      <c r="AD727" t="s">
        <v>2556</v>
      </c>
      <c r="AE727" t="s">
        <v>2557</v>
      </c>
      <c r="AF727" t="s">
        <v>2833</v>
      </c>
      <c r="AG727" t="s">
        <v>46</v>
      </c>
      <c r="AH727" t="s">
        <v>2829</v>
      </c>
      <c r="AI727" t="s">
        <v>37</v>
      </c>
    </row>
    <row r="728" spans="1:35" x14ac:dyDescent="0.25">
      <c r="A728" t="s">
        <v>2834</v>
      </c>
      <c r="B728" t="s">
        <v>34</v>
      </c>
      <c r="C728" t="s">
        <v>2835</v>
      </c>
      <c r="D728" t="s">
        <v>2836</v>
      </c>
      <c r="E728" t="s">
        <v>2837</v>
      </c>
      <c r="F728" t="s">
        <v>2838</v>
      </c>
      <c r="G728" t="s">
        <v>2601</v>
      </c>
      <c r="H728" t="s">
        <v>40</v>
      </c>
      <c r="I728" t="s">
        <v>41</v>
      </c>
      <c r="J728" t="s">
        <v>37</v>
      </c>
      <c r="K728" t="s">
        <v>37</v>
      </c>
      <c r="L728" t="s">
        <v>42</v>
      </c>
      <c r="M728" s="6">
        <v>46020.844629629632</v>
      </c>
      <c r="N728" t="s">
        <v>4267</v>
      </c>
      <c r="O728" s="1">
        <v>46021.354166666664</v>
      </c>
      <c r="P728" s="1">
        <v>46020.845266203702</v>
      </c>
      <c r="Q728" t="s">
        <v>4267</v>
      </c>
      <c r="R728" s="6">
        <v>46021.690972222219</v>
      </c>
      <c r="S728" t="s">
        <v>43</v>
      </c>
      <c r="T728">
        <v>24.99</v>
      </c>
      <c r="U728">
        <v>0</v>
      </c>
      <c r="V728">
        <v>23.8</v>
      </c>
      <c r="W728">
        <v>1.19</v>
      </c>
      <c r="X728">
        <v>0</v>
      </c>
      <c r="Y728">
        <v>0</v>
      </c>
      <c r="Z728">
        <v>24.99</v>
      </c>
      <c r="AA728" t="s">
        <v>2704</v>
      </c>
      <c r="AB728" t="s">
        <v>45</v>
      </c>
      <c r="AC728" t="s">
        <v>46</v>
      </c>
      <c r="AD728" t="s">
        <v>2556</v>
      </c>
      <c r="AE728" t="s">
        <v>2557</v>
      </c>
      <c r="AF728" t="s">
        <v>2839</v>
      </c>
      <c r="AG728" t="s">
        <v>46</v>
      </c>
      <c r="AH728" t="s">
        <v>2835</v>
      </c>
      <c r="AI728" t="s">
        <v>37</v>
      </c>
    </row>
    <row r="729" spans="1:35" x14ac:dyDescent="0.25">
      <c r="A729" t="s">
        <v>2840</v>
      </c>
      <c r="B729" t="s">
        <v>34</v>
      </c>
      <c r="C729" t="s">
        <v>2841</v>
      </c>
      <c r="D729" t="s">
        <v>2842</v>
      </c>
      <c r="E729" t="s">
        <v>2843</v>
      </c>
      <c r="F729" t="s">
        <v>2844</v>
      </c>
      <c r="G729" t="s">
        <v>39</v>
      </c>
      <c r="H729" t="s">
        <v>40</v>
      </c>
      <c r="I729" t="s">
        <v>41</v>
      </c>
      <c r="J729" t="s">
        <v>37</v>
      </c>
      <c r="K729" t="s">
        <v>37</v>
      </c>
      <c r="L729" t="s">
        <v>42</v>
      </c>
      <c r="M729" s="6">
        <v>46020.945277777777</v>
      </c>
      <c r="N729" t="s">
        <v>4267</v>
      </c>
      <c r="O729" s="1">
        <v>46021.375</v>
      </c>
      <c r="P729" s="1">
        <v>46020.946331018517</v>
      </c>
      <c r="Q729" t="s">
        <v>4267</v>
      </c>
      <c r="R729" s="6">
        <v>46021.690972222219</v>
      </c>
      <c r="S729" t="s">
        <v>43</v>
      </c>
      <c r="T729">
        <v>24.99</v>
      </c>
      <c r="U729">
        <v>0</v>
      </c>
      <c r="V729">
        <v>23.8</v>
      </c>
      <c r="W729">
        <v>1.19</v>
      </c>
      <c r="X729">
        <v>0</v>
      </c>
      <c r="Y729">
        <v>0</v>
      </c>
      <c r="Z729">
        <v>24.99</v>
      </c>
      <c r="AA729" t="s">
        <v>2704</v>
      </c>
      <c r="AB729" t="s">
        <v>45</v>
      </c>
      <c r="AC729" t="s">
        <v>46</v>
      </c>
      <c r="AD729" t="s">
        <v>2556</v>
      </c>
      <c r="AE729" t="s">
        <v>2557</v>
      </c>
      <c r="AF729" t="s">
        <v>2845</v>
      </c>
      <c r="AG729" t="s">
        <v>46</v>
      </c>
      <c r="AH729" t="s">
        <v>2841</v>
      </c>
      <c r="AI729" t="s">
        <v>37</v>
      </c>
    </row>
    <row r="730" spans="1:35" x14ac:dyDescent="0.25">
      <c r="A730" t="s">
        <v>2846</v>
      </c>
      <c r="B730" t="s">
        <v>34</v>
      </c>
      <c r="C730" t="s">
        <v>2847</v>
      </c>
      <c r="D730" t="s">
        <v>2848</v>
      </c>
      <c r="E730" t="s">
        <v>2849</v>
      </c>
      <c r="F730" t="s">
        <v>2850</v>
      </c>
      <c r="G730" t="s">
        <v>39</v>
      </c>
      <c r="H730" t="s">
        <v>40</v>
      </c>
      <c r="I730" t="s">
        <v>41</v>
      </c>
      <c r="J730" t="s">
        <v>37</v>
      </c>
      <c r="K730" t="s">
        <v>37</v>
      </c>
      <c r="L730" t="s">
        <v>42</v>
      </c>
      <c r="M730" s="6">
        <v>46021.31958333333</v>
      </c>
      <c r="N730" t="s">
        <v>4267</v>
      </c>
      <c r="O730" s="1">
        <v>46021.333333333336</v>
      </c>
      <c r="P730" s="1">
        <v>46021.320694444446</v>
      </c>
      <c r="Q730" t="s">
        <v>4267</v>
      </c>
      <c r="R730" s="6">
        <v>46021.711805555555</v>
      </c>
      <c r="S730" t="s">
        <v>43</v>
      </c>
      <c r="T730">
        <v>24.99</v>
      </c>
      <c r="U730">
        <v>0</v>
      </c>
      <c r="V730">
        <v>23.8</v>
      </c>
      <c r="W730">
        <v>1.19</v>
      </c>
      <c r="X730">
        <v>0</v>
      </c>
      <c r="Y730">
        <v>0</v>
      </c>
      <c r="Z730">
        <v>24.99</v>
      </c>
      <c r="AA730" t="s">
        <v>2704</v>
      </c>
      <c r="AB730" t="s">
        <v>45</v>
      </c>
      <c r="AC730" t="s">
        <v>46</v>
      </c>
      <c r="AD730" t="s">
        <v>2556</v>
      </c>
      <c r="AE730" t="s">
        <v>2557</v>
      </c>
      <c r="AF730" t="s">
        <v>2851</v>
      </c>
      <c r="AG730" t="s">
        <v>46</v>
      </c>
      <c r="AH730" t="s">
        <v>2847</v>
      </c>
      <c r="AI730" t="s">
        <v>37</v>
      </c>
    </row>
    <row r="731" spans="1:35" x14ac:dyDescent="0.25">
      <c r="A731" t="s">
        <v>2852</v>
      </c>
      <c r="B731" t="s">
        <v>34</v>
      </c>
      <c r="C731" t="s">
        <v>2853</v>
      </c>
      <c r="D731" t="s">
        <v>2854</v>
      </c>
      <c r="E731" t="s">
        <v>2855</v>
      </c>
      <c r="F731" t="s">
        <v>301</v>
      </c>
      <c r="G731" t="s">
        <v>39</v>
      </c>
      <c r="H731" t="s">
        <v>40</v>
      </c>
      <c r="I731" t="s">
        <v>41</v>
      </c>
      <c r="J731" t="s">
        <v>37</v>
      </c>
      <c r="K731" t="s">
        <v>37</v>
      </c>
      <c r="L731" t="s">
        <v>42</v>
      </c>
      <c r="M731" s="6">
        <v>46021.402407407404</v>
      </c>
      <c r="N731" t="s">
        <v>4267</v>
      </c>
      <c r="O731" s="1">
        <v>46021.40625</v>
      </c>
      <c r="P731" s="1">
        <v>46021.403078703705</v>
      </c>
      <c r="Q731" t="s">
        <v>4267</v>
      </c>
      <c r="R731" s="6">
        <v>46021.670138888891</v>
      </c>
      <c r="S731" t="s">
        <v>43</v>
      </c>
      <c r="T731">
        <v>24.99</v>
      </c>
      <c r="U731">
        <v>0</v>
      </c>
      <c r="V731">
        <v>23.8</v>
      </c>
      <c r="W731">
        <v>1.19</v>
      </c>
      <c r="X731">
        <v>0</v>
      </c>
      <c r="Y731">
        <v>0</v>
      </c>
      <c r="Z731">
        <v>24.99</v>
      </c>
      <c r="AA731" t="s">
        <v>2704</v>
      </c>
      <c r="AB731" t="s">
        <v>45</v>
      </c>
      <c r="AC731" t="s">
        <v>46</v>
      </c>
      <c r="AD731" t="s">
        <v>2556</v>
      </c>
      <c r="AE731" t="s">
        <v>2557</v>
      </c>
      <c r="AF731" t="s">
        <v>2856</v>
      </c>
      <c r="AG731" t="s">
        <v>46</v>
      </c>
      <c r="AH731" t="s">
        <v>2853</v>
      </c>
      <c r="AI731" t="s">
        <v>37</v>
      </c>
    </row>
    <row r="732" spans="1:35" x14ac:dyDescent="0.25">
      <c r="A732" t="s">
        <v>2857</v>
      </c>
      <c r="B732" t="s">
        <v>34</v>
      </c>
      <c r="C732" t="s">
        <v>2858</v>
      </c>
      <c r="D732" t="s">
        <v>2859</v>
      </c>
      <c r="E732" t="s">
        <v>2860</v>
      </c>
      <c r="F732" t="s">
        <v>2861</v>
      </c>
      <c r="G732" t="s">
        <v>39</v>
      </c>
      <c r="H732" t="s">
        <v>40</v>
      </c>
      <c r="I732" t="s">
        <v>41</v>
      </c>
      <c r="J732" t="s">
        <v>37</v>
      </c>
      <c r="K732" t="s">
        <v>37</v>
      </c>
      <c r="L732" t="s">
        <v>42</v>
      </c>
      <c r="M732" s="6">
        <v>46021.73646990741</v>
      </c>
      <c r="N732" t="s">
        <v>4263</v>
      </c>
      <c r="O732" s="1">
        <v>46022.416666666664</v>
      </c>
      <c r="P732" s="1">
        <v>46021.737372685187</v>
      </c>
      <c r="Q732" t="s">
        <v>4263</v>
      </c>
      <c r="R732" s="6">
        <v>46022.753472222219</v>
      </c>
      <c r="S732" t="s">
        <v>43</v>
      </c>
      <c r="T732">
        <v>24.99</v>
      </c>
      <c r="U732">
        <v>0</v>
      </c>
      <c r="V732">
        <v>23.8</v>
      </c>
      <c r="W732">
        <v>1.19</v>
      </c>
      <c r="X732">
        <v>0</v>
      </c>
      <c r="Y732">
        <v>0</v>
      </c>
      <c r="Z732">
        <v>24.99</v>
      </c>
      <c r="AA732" t="s">
        <v>2704</v>
      </c>
      <c r="AB732" t="s">
        <v>45</v>
      </c>
      <c r="AC732" t="s">
        <v>46</v>
      </c>
      <c r="AD732" t="s">
        <v>2556</v>
      </c>
      <c r="AE732" t="s">
        <v>2557</v>
      </c>
      <c r="AF732" t="s">
        <v>2862</v>
      </c>
      <c r="AG732" t="s">
        <v>46</v>
      </c>
      <c r="AH732" t="s">
        <v>2858</v>
      </c>
      <c r="AI732" t="s">
        <v>37</v>
      </c>
    </row>
    <row r="733" spans="1:35" x14ac:dyDescent="0.25">
      <c r="A733" t="s">
        <v>2863</v>
      </c>
      <c r="B733" t="s">
        <v>34</v>
      </c>
      <c r="C733" t="s">
        <v>2864</v>
      </c>
      <c r="D733" t="s">
        <v>2865</v>
      </c>
      <c r="E733" t="s">
        <v>2866</v>
      </c>
      <c r="F733" t="s">
        <v>2867</v>
      </c>
      <c r="G733" t="s">
        <v>39</v>
      </c>
      <c r="H733" t="s">
        <v>40</v>
      </c>
      <c r="I733" t="s">
        <v>41</v>
      </c>
      <c r="J733" t="s">
        <v>37</v>
      </c>
      <c r="K733" t="s">
        <v>37</v>
      </c>
      <c r="L733" t="s">
        <v>42</v>
      </c>
      <c r="M733" s="6">
        <v>46021.767337962963</v>
      </c>
      <c r="N733" t="s">
        <v>4263</v>
      </c>
      <c r="O733" s="1">
        <v>46022.375</v>
      </c>
      <c r="P733" s="1">
        <v>46021.768333333333</v>
      </c>
      <c r="Q733" t="s">
        <v>4263</v>
      </c>
      <c r="R733" s="6">
        <v>46022.670138888891</v>
      </c>
      <c r="S733" t="s">
        <v>43</v>
      </c>
      <c r="T733">
        <v>24.99</v>
      </c>
      <c r="U733">
        <v>0</v>
      </c>
      <c r="V733">
        <v>23.8</v>
      </c>
      <c r="W733">
        <v>1.19</v>
      </c>
      <c r="X733">
        <v>0</v>
      </c>
      <c r="Y733">
        <v>0</v>
      </c>
      <c r="Z733">
        <v>24.99</v>
      </c>
      <c r="AA733" t="s">
        <v>2704</v>
      </c>
      <c r="AB733" t="s">
        <v>45</v>
      </c>
      <c r="AC733" t="s">
        <v>46</v>
      </c>
      <c r="AD733" t="s">
        <v>2556</v>
      </c>
      <c r="AE733" t="s">
        <v>2557</v>
      </c>
      <c r="AF733" t="s">
        <v>2868</v>
      </c>
      <c r="AG733" t="s">
        <v>46</v>
      </c>
      <c r="AH733" t="s">
        <v>2864</v>
      </c>
      <c r="AI733" t="s">
        <v>37</v>
      </c>
    </row>
    <row r="734" spans="1:35" x14ac:dyDescent="0.25">
      <c r="A734" t="s">
        <v>2869</v>
      </c>
      <c r="B734" t="s">
        <v>34</v>
      </c>
      <c r="C734" t="s">
        <v>2870</v>
      </c>
      <c r="D734" t="s">
        <v>2871</v>
      </c>
      <c r="E734" t="s">
        <v>2872</v>
      </c>
      <c r="F734" t="s">
        <v>2873</v>
      </c>
      <c r="G734" t="s">
        <v>39</v>
      </c>
      <c r="H734" t="s">
        <v>40</v>
      </c>
      <c r="I734" t="s">
        <v>41</v>
      </c>
      <c r="J734" t="s">
        <v>37</v>
      </c>
      <c r="K734" t="s">
        <v>37</v>
      </c>
      <c r="L734" t="s">
        <v>42</v>
      </c>
      <c r="M734" s="6">
        <v>46021.775150462963</v>
      </c>
      <c r="N734" t="s">
        <v>4263</v>
      </c>
      <c r="O734" s="1">
        <v>46022.375</v>
      </c>
      <c r="P734" s="1">
        <v>46021.775833333333</v>
      </c>
      <c r="Q734" t="s">
        <v>4263</v>
      </c>
      <c r="R734" s="6">
        <v>46022.628472222219</v>
      </c>
      <c r="S734" t="s">
        <v>43</v>
      </c>
      <c r="T734">
        <v>24.99</v>
      </c>
      <c r="U734">
        <v>0</v>
      </c>
      <c r="V734">
        <v>23.8</v>
      </c>
      <c r="W734">
        <v>1.19</v>
      </c>
      <c r="X734">
        <v>0</v>
      </c>
      <c r="Y734">
        <v>0</v>
      </c>
      <c r="Z734">
        <v>24.99</v>
      </c>
      <c r="AA734" t="s">
        <v>2704</v>
      </c>
      <c r="AB734" t="s">
        <v>45</v>
      </c>
      <c r="AC734" t="s">
        <v>46</v>
      </c>
      <c r="AD734" t="s">
        <v>2556</v>
      </c>
      <c r="AE734" t="s">
        <v>2557</v>
      </c>
      <c r="AF734" t="s">
        <v>2874</v>
      </c>
      <c r="AG734" t="s">
        <v>46</v>
      </c>
      <c r="AH734" t="s">
        <v>2870</v>
      </c>
      <c r="AI734" t="s">
        <v>37</v>
      </c>
    </row>
    <row r="735" spans="1:35" x14ac:dyDescent="0.25">
      <c r="A735" t="s">
        <v>2875</v>
      </c>
      <c r="B735" t="s">
        <v>34</v>
      </c>
      <c r="C735" t="s">
        <v>2876</v>
      </c>
      <c r="D735" t="s">
        <v>2877</v>
      </c>
      <c r="E735" t="s">
        <v>2878</v>
      </c>
      <c r="F735" t="s">
        <v>2879</v>
      </c>
      <c r="G735" t="s">
        <v>2601</v>
      </c>
      <c r="H735" t="s">
        <v>40</v>
      </c>
      <c r="I735" t="s">
        <v>41</v>
      </c>
      <c r="J735" t="s">
        <v>37</v>
      </c>
      <c r="K735" t="s">
        <v>37</v>
      </c>
      <c r="L735" t="s">
        <v>42</v>
      </c>
      <c r="M735" s="6">
        <v>46021.804490740738</v>
      </c>
      <c r="N735" t="s">
        <v>4263</v>
      </c>
      <c r="O735" s="1">
        <v>46022.333333333336</v>
      </c>
      <c r="P735" s="1">
        <v>46021.805046296293</v>
      </c>
      <c r="Q735" t="s">
        <v>4263</v>
      </c>
      <c r="R735" s="6">
        <v>46022.711805555555</v>
      </c>
      <c r="S735" t="s">
        <v>43</v>
      </c>
      <c r="T735">
        <v>24.99</v>
      </c>
      <c r="U735">
        <v>0</v>
      </c>
      <c r="V735">
        <v>23.8</v>
      </c>
      <c r="W735">
        <v>1.19</v>
      </c>
      <c r="X735">
        <v>0</v>
      </c>
      <c r="Y735">
        <v>0</v>
      </c>
      <c r="Z735">
        <v>24.99</v>
      </c>
      <c r="AA735" t="s">
        <v>2704</v>
      </c>
      <c r="AB735" t="s">
        <v>45</v>
      </c>
      <c r="AC735" t="s">
        <v>46</v>
      </c>
      <c r="AD735" t="s">
        <v>2556</v>
      </c>
      <c r="AE735" t="s">
        <v>2557</v>
      </c>
      <c r="AF735" t="s">
        <v>2880</v>
      </c>
      <c r="AG735" t="s">
        <v>46</v>
      </c>
      <c r="AH735" t="s">
        <v>2876</v>
      </c>
      <c r="AI735" t="s">
        <v>37</v>
      </c>
    </row>
    <row r="736" spans="1:35" x14ac:dyDescent="0.25">
      <c r="A736" t="s">
        <v>2881</v>
      </c>
      <c r="B736" t="s">
        <v>34</v>
      </c>
      <c r="C736" t="s">
        <v>2882</v>
      </c>
      <c r="D736" t="s">
        <v>2883</v>
      </c>
      <c r="E736" t="s">
        <v>2884</v>
      </c>
      <c r="F736" t="s">
        <v>2885</v>
      </c>
      <c r="G736" t="s">
        <v>39</v>
      </c>
      <c r="H736" t="s">
        <v>40</v>
      </c>
      <c r="I736" t="s">
        <v>41</v>
      </c>
      <c r="J736" t="s">
        <v>37</v>
      </c>
      <c r="K736" t="s">
        <v>37</v>
      </c>
      <c r="L736" t="s">
        <v>42</v>
      </c>
      <c r="M736" s="6">
        <v>46021.81050925926</v>
      </c>
      <c r="N736" t="s">
        <v>4263</v>
      </c>
      <c r="O736" s="1">
        <v>46022.333333333336</v>
      </c>
      <c r="P736" s="1">
        <v>46021.810879629629</v>
      </c>
      <c r="Q736" t="s">
        <v>4263</v>
      </c>
      <c r="R736" s="6">
        <v>46022.711805555555</v>
      </c>
      <c r="S736" t="s">
        <v>43</v>
      </c>
      <c r="T736">
        <v>24.99</v>
      </c>
      <c r="U736">
        <v>0</v>
      </c>
      <c r="V736">
        <v>23.8</v>
      </c>
      <c r="W736">
        <v>1.19</v>
      </c>
      <c r="X736">
        <v>0</v>
      </c>
      <c r="Y736">
        <v>0</v>
      </c>
      <c r="Z736">
        <v>24.99</v>
      </c>
      <c r="AA736" t="s">
        <v>2704</v>
      </c>
      <c r="AB736" t="s">
        <v>45</v>
      </c>
      <c r="AC736" t="s">
        <v>46</v>
      </c>
      <c r="AD736" t="s">
        <v>2556</v>
      </c>
      <c r="AE736" t="s">
        <v>2557</v>
      </c>
      <c r="AF736" t="s">
        <v>2886</v>
      </c>
      <c r="AG736" t="s">
        <v>46</v>
      </c>
      <c r="AH736" t="s">
        <v>2882</v>
      </c>
      <c r="AI736" t="s">
        <v>37</v>
      </c>
    </row>
    <row r="737" spans="1:35" x14ac:dyDescent="0.25">
      <c r="A737" t="s">
        <v>2887</v>
      </c>
      <c r="B737" t="s">
        <v>34</v>
      </c>
      <c r="C737" t="s">
        <v>2829</v>
      </c>
      <c r="D737" t="s">
        <v>2830</v>
      </c>
      <c r="E737" t="s">
        <v>2831</v>
      </c>
      <c r="F737" t="s">
        <v>2832</v>
      </c>
      <c r="G737" t="s">
        <v>39</v>
      </c>
      <c r="H737" t="s">
        <v>40</v>
      </c>
      <c r="I737" t="s">
        <v>41</v>
      </c>
      <c r="J737" t="s">
        <v>37</v>
      </c>
      <c r="K737" t="s">
        <v>37</v>
      </c>
      <c r="L737" t="s">
        <v>42</v>
      </c>
      <c r="M737" s="6">
        <v>46021.905474537038</v>
      </c>
      <c r="N737" t="s">
        <v>4263</v>
      </c>
      <c r="O737" s="1">
        <v>46022.375</v>
      </c>
      <c r="P737" s="1">
        <v>46021.905474537038</v>
      </c>
      <c r="Q737" t="s">
        <v>4263</v>
      </c>
      <c r="R737" s="6">
        <v>46022.670138888891</v>
      </c>
      <c r="S737" t="s">
        <v>43</v>
      </c>
      <c r="T737">
        <v>24.99</v>
      </c>
      <c r="U737">
        <v>0</v>
      </c>
      <c r="V737">
        <v>23.8</v>
      </c>
      <c r="W737">
        <v>1.19</v>
      </c>
      <c r="X737">
        <v>0</v>
      </c>
      <c r="Y737">
        <v>0</v>
      </c>
      <c r="Z737">
        <v>24.99</v>
      </c>
      <c r="AA737" t="s">
        <v>2704</v>
      </c>
      <c r="AB737" t="s">
        <v>45</v>
      </c>
      <c r="AC737" t="s">
        <v>46</v>
      </c>
      <c r="AD737" t="s">
        <v>2556</v>
      </c>
      <c r="AE737" t="s">
        <v>2557</v>
      </c>
      <c r="AF737" t="s">
        <v>2888</v>
      </c>
      <c r="AG737" t="s">
        <v>46</v>
      </c>
      <c r="AH737" t="s">
        <v>2829</v>
      </c>
      <c r="AI737" t="s">
        <v>37</v>
      </c>
    </row>
    <row r="738" spans="1:35" x14ac:dyDescent="0.25">
      <c r="A738" t="s">
        <v>2889</v>
      </c>
      <c r="B738" t="s">
        <v>34</v>
      </c>
      <c r="C738" t="s">
        <v>2890</v>
      </c>
      <c r="D738" t="s">
        <v>2891</v>
      </c>
      <c r="E738" t="s">
        <v>2892</v>
      </c>
      <c r="F738" t="s">
        <v>2893</v>
      </c>
      <c r="G738" t="s">
        <v>39</v>
      </c>
      <c r="H738" t="s">
        <v>40</v>
      </c>
      <c r="I738" t="s">
        <v>41</v>
      </c>
      <c r="J738" t="s">
        <v>37</v>
      </c>
      <c r="K738" t="s">
        <v>37</v>
      </c>
      <c r="L738" t="s">
        <v>42</v>
      </c>
      <c r="M738" s="6">
        <v>46021.919733796298</v>
      </c>
      <c r="N738" t="s">
        <v>4263</v>
      </c>
      <c r="O738" s="1">
        <v>46022.395833333336</v>
      </c>
      <c r="P738" s="1">
        <v>46021.920185185183</v>
      </c>
      <c r="Q738" t="s">
        <v>4263</v>
      </c>
      <c r="R738" s="6">
        <v>46022.690972222219</v>
      </c>
      <c r="S738" t="s">
        <v>43</v>
      </c>
      <c r="T738">
        <v>24.99</v>
      </c>
      <c r="U738">
        <v>0</v>
      </c>
      <c r="V738">
        <v>23.8</v>
      </c>
      <c r="W738">
        <v>1.19</v>
      </c>
      <c r="X738">
        <v>0</v>
      </c>
      <c r="Y738">
        <v>0</v>
      </c>
      <c r="Z738">
        <v>24.99</v>
      </c>
      <c r="AA738" t="s">
        <v>2704</v>
      </c>
      <c r="AB738" t="s">
        <v>45</v>
      </c>
      <c r="AC738" t="s">
        <v>46</v>
      </c>
      <c r="AD738" t="s">
        <v>2556</v>
      </c>
      <c r="AE738" t="s">
        <v>2557</v>
      </c>
      <c r="AF738" t="s">
        <v>2894</v>
      </c>
      <c r="AG738" t="s">
        <v>46</v>
      </c>
      <c r="AH738" t="s">
        <v>2890</v>
      </c>
      <c r="AI738" t="s">
        <v>37</v>
      </c>
    </row>
    <row r="739" spans="1:35" x14ac:dyDescent="0.25">
      <c r="A739" t="s">
        <v>2895</v>
      </c>
      <c r="B739" t="s">
        <v>34</v>
      </c>
      <c r="C739" t="s">
        <v>2896</v>
      </c>
      <c r="D739" t="s">
        <v>2897</v>
      </c>
      <c r="E739" t="s">
        <v>2898</v>
      </c>
      <c r="F739" t="s">
        <v>2899</v>
      </c>
      <c r="G739" t="s">
        <v>39</v>
      </c>
      <c r="H739" t="s">
        <v>40</v>
      </c>
      <c r="I739" t="s">
        <v>41</v>
      </c>
      <c r="J739" t="s">
        <v>37</v>
      </c>
      <c r="K739" t="s">
        <v>37</v>
      </c>
      <c r="L739" t="s">
        <v>42</v>
      </c>
      <c r="M739" s="6">
        <v>46021.93246527778</v>
      </c>
      <c r="N739" t="s">
        <v>4263</v>
      </c>
      <c r="O739" s="1">
        <v>46022.375</v>
      </c>
      <c r="P739" s="1">
        <v>46021.932962962965</v>
      </c>
      <c r="Q739" t="s">
        <v>4263</v>
      </c>
      <c r="R739" s="6">
        <v>46022.690972222219</v>
      </c>
      <c r="S739" t="s">
        <v>43</v>
      </c>
      <c r="T739">
        <v>24.99</v>
      </c>
      <c r="U739">
        <v>0</v>
      </c>
      <c r="V739">
        <v>23.8</v>
      </c>
      <c r="W739">
        <v>1.19</v>
      </c>
      <c r="X739">
        <v>0</v>
      </c>
      <c r="Y739">
        <v>0</v>
      </c>
      <c r="Z739">
        <v>24.99</v>
      </c>
      <c r="AA739" t="s">
        <v>2704</v>
      </c>
      <c r="AB739" t="s">
        <v>45</v>
      </c>
      <c r="AC739" t="s">
        <v>46</v>
      </c>
      <c r="AD739" t="s">
        <v>2556</v>
      </c>
      <c r="AE739" t="s">
        <v>2557</v>
      </c>
      <c r="AF739" t="s">
        <v>2900</v>
      </c>
      <c r="AG739" t="s">
        <v>46</v>
      </c>
      <c r="AH739" t="s">
        <v>2896</v>
      </c>
      <c r="AI739" t="s">
        <v>37</v>
      </c>
    </row>
    <row r="740" spans="1:35" x14ac:dyDescent="0.25">
      <c r="A740" t="s">
        <v>2901</v>
      </c>
      <c r="B740" t="s">
        <v>34</v>
      </c>
      <c r="C740" t="s">
        <v>2847</v>
      </c>
      <c r="D740" t="s">
        <v>2848</v>
      </c>
      <c r="E740" t="s">
        <v>2849</v>
      </c>
      <c r="F740" t="s">
        <v>2850</v>
      </c>
      <c r="G740" t="s">
        <v>39</v>
      </c>
      <c r="H740" t="s">
        <v>40</v>
      </c>
      <c r="I740" t="s">
        <v>41</v>
      </c>
      <c r="J740" t="s">
        <v>37</v>
      </c>
      <c r="K740" t="s">
        <v>37</v>
      </c>
      <c r="L740" t="s">
        <v>42</v>
      </c>
      <c r="M740" s="6">
        <v>46021.973923611113</v>
      </c>
      <c r="N740" t="s">
        <v>4263</v>
      </c>
      <c r="O740" s="1">
        <v>46022.333333333336</v>
      </c>
      <c r="P740" s="1">
        <v>46021.974270833336</v>
      </c>
      <c r="Q740" t="s">
        <v>4263</v>
      </c>
      <c r="R740" s="6">
        <v>46022.711805555555</v>
      </c>
      <c r="S740" t="s">
        <v>43</v>
      </c>
      <c r="T740">
        <v>24.99</v>
      </c>
      <c r="U740">
        <v>0</v>
      </c>
      <c r="V740">
        <v>23.8</v>
      </c>
      <c r="W740">
        <v>1.19</v>
      </c>
      <c r="X740">
        <v>0</v>
      </c>
      <c r="Y740">
        <v>0</v>
      </c>
      <c r="Z740">
        <v>24.99</v>
      </c>
      <c r="AA740" t="s">
        <v>2704</v>
      </c>
      <c r="AB740" t="s">
        <v>45</v>
      </c>
      <c r="AC740" t="s">
        <v>46</v>
      </c>
      <c r="AD740" t="s">
        <v>2556</v>
      </c>
      <c r="AE740" t="s">
        <v>2557</v>
      </c>
      <c r="AF740" t="s">
        <v>2902</v>
      </c>
      <c r="AG740" t="s">
        <v>46</v>
      </c>
      <c r="AH740" t="s">
        <v>2847</v>
      </c>
      <c r="AI740" t="s">
        <v>37</v>
      </c>
    </row>
    <row r="741" spans="1:35" x14ac:dyDescent="0.25">
      <c r="A741" t="s">
        <v>2903</v>
      </c>
      <c r="B741" t="s">
        <v>34</v>
      </c>
      <c r="C741" t="s">
        <v>2904</v>
      </c>
      <c r="D741" t="s">
        <v>2905</v>
      </c>
      <c r="E741" t="s">
        <v>2906</v>
      </c>
      <c r="F741" t="s">
        <v>2907</v>
      </c>
      <c r="G741" t="s">
        <v>39</v>
      </c>
      <c r="H741" t="s">
        <v>40</v>
      </c>
      <c r="I741" t="s">
        <v>41</v>
      </c>
      <c r="J741" t="s">
        <v>37</v>
      </c>
      <c r="K741" t="s">
        <v>37</v>
      </c>
      <c r="L741" t="s">
        <v>42</v>
      </c>
      <c r="M741" s="6">
        <v>46022.002245370371</v>
      </c>
      <c r="N741" t="s">
        <v>4263</v>
      </c>
      <c r="O741" s="1">
        <v>46022.375</v>
      </c>
      <c r="P741" s="1">
        <v>46022.002557870372</v>
      </c>
      <c r="Q741" t="s">
        <v>4263</v>
      </c>
      <c r="R741" s="6">
        <v>46022.461805555555</v>
      </c>
      <c r="S741" t="s">
        <v>43</v>
      </c>
      <c r="T741">
        <v>24.99</v>
      </c>
      <c r="U741">
        <v>0</v>
      </c>
      <c r="V741">
        <v>23.8</v>
      </c>
      <c r="W741">
        <v>1.19</v>
      </c>
      <c r="X741">
        <v>0</v>
      </c>
      <c r="Y741">
        <v>0</v>
      </c>
      <c r="Z741">
        <v>24.99</v>
      </c>
      <c r="AA741" t="s">
        <v>2704</v>
      </c>
      <c r="AB741" t="s">
        <v>45</v>
      </c>
      <c r="AC741" t="s">
        <v>46</v>
      </c>
      <c r="AD741" t="s">
        <v>2556</v>
      </c>
      <c r="AE741" t="s">
        <v>2557</v>
      </c>
      <c r="AF741" t="s">
        <v>2908</v>
      </c>
      <c r="AG741" t="s">
        <v>46</v>
      </c>
      <c r="AH741" t="s">
        <v>2904</v>
      </c>
      <c r="AI741" t="s">
        <v>37</v>
      </c>
    </row>
    <row r="742" spans="1:35" x14ac:dyDescent="0.25">
      <c r="A742" t="s">
        <v>2909</v>
      </c>
      <c r="B742" t="s">
        <v>34</v>
      </c>
      <c r="C742" t="s">
        <v>2904</v>
      </c>
      <c r="D742" t="s">
        <v>2905</v>
      </c>
      <c r="E742" t="s">
        <v>2906</v>
      </c>
      <c r="F742" t="s">
        <v>2907</v>
      </c>
      <c r="G742" t="s">
        <v>39</v>
      </c>
      <c r="H742" t="s">
        <v>40</v>
      </c>
      <c r="I742" t="s">
        <v>41</v>
      </c>
      <c r="J742" t="s">
        <v>37</v>
      </c>
      <c r="K742" t="s">
        <v>37</v>
      </c>
      <c r="L742" t="s">
        <v>42</v>
      </c>
      <c r="M742" s="6">
        <v>46022.002962962964</v>
      </c>
      <c r="N742" t="s">
        <v>4263</v>
      </c>
      <c r="O742" s="1">
        <v>46022.375</v>
      </c>
      <c r="P742" s="1">
        <v>46022.003263888888</v>
      </c>
      <c r="Q742" t="s">
        <v>4263</v>
      </c>
      <c r="R742" s="6">
        <v>46022.461805555555</v>
      </c>
      <c r="S742" t="s">
        <v>43</v>
      </c>
      <c r="T742">
        <v>24.99</v>
      </c>
      <c r="U742">
        <v>0</v>
      </c>
      <c r="V742">
        <v>23.8</v>
      </c>
      <c r="W742">
        <v>1.19</v>
      </c>
      <c r="X742">
        <v>0</v>
      </c>
      <c r="Y742">
        <v>0</v>
      </c>
      <c r="Z742">
        <v>24.99</v>
      </c>
      <c r="AA742" t="s">
        <v>2704</v>
      </c>
      <c r="AB742" t="s">
        <v>45</v>
      </c>
      <c r="AC742" t="s">
        <v>46</v>
      </c>
      <c r="AD742" t="s">
        <v>2556</v>
      </c>
      <c r="AE742" t="s">
        <v>2557</v>
      </c>
      <c r="AF742" t="s">
        <v>2910</v>
      </c>
      <c r="AG742" t="s">
        <v>46</v>
      </c>
      <c r="AH742" t="s">
        <v>2904</v>
      </c>
      <c r="AI742" t="s">
        <v>37</v>
      </c>
    </row>
    <row r="743" spans="1:35" x14ac:dyDescent="0.25">
      <c r="A743" t="s">
        <v>2911</v>
      </c>
      <c r="B743" t="s">
        <v>34</v>
      </c>
      <c r="C743" t="s">
        <v>2904</v>
      </c>
      <c r="D743" t="s">
        <v>2905</v>
      </c>
      <c r="E743" t="s">
        <v>2906</v>
      </c>
      <c r="F743" t="s">
        <v>2907</v>
      </c>
      <c r="G743" t="s">
        <v>39</v>
      </c>
      <c r="H743" t="s">
        <v>40</v>
      </c>
      <c r="I743" t="s">
        <v>41</v>
      </c>
      <c r="J743" t="s">
        <v>37</v>
      </c>
      <c r="K743" t="s">
        <v>37</v>
      </c>
      <c r="L743" t="s">
        <v>42</v>
      </c>
      <c r="M743" s="6">
        <v>46022.003761574073</v>
      </c>
      <c r="N743" t="s">
        <v>4264</v>
      </c>
      <c r="O743" s="1">
        <v>46023.375</v>
      </c>
      <c r="P743" s="1">
        <v>46022.004004629627</v>
      </c>
      <c r="Q743" t="s">
        <v>4264</v>
      </c>
      <c r="R743" s="6">
        <v>46023.461805555555</v>
      </c>
      <c r="S743" t="s">
        <v>43</v>
      </c>
      <c r="T743">
        <v>24.99</v>
      </c>
      <c r="U743">
        <v>0</v>
      </c>
      <c r="V743">
        <v>23.8</v>
      </c>
      <c r="W743">
        <v>1.19</v>
      </c>
      <c r="X743">
        <v>0</v>
      </c>
      <c r="Y743">
        <v>0</v>
      </c>
      <c r="Z743">
        <v>24.99</v>
      </c>
      <c r="AA743" t="s">
        <v>2704</v>
      </c>
      <c r="AB743" t="s">
        <v>45</v>
      </c>
      <c r="AC743" t="s">
        <v>46</v>
      </c>
      <c r="AD743" t="s">
        <v>2556</v>
      </c>
      <c r="AE743" t="s">
        <v>2557</v>
      </c>
      <c r="AF743" t="s">
        <v>2912</v>
      </c>
      <c r="AG743" t="s">
        <v>46</v>
      </c>
      <c r="AH743" t="s">
        <v>2904</v>
      </c>
      <c r="AI743" t="s">
        <v>37</v>
      </c>
    </row>
    <row r="744" spans="1:35" x14ac:dyDescent="0.25">
      <c r="A744" t="s">
        <v>2913</v>
      </c>
      <c r="B744" t="s">
        <v>34</v>
      </c>
      <c r="C744" t="s">
        <v>2914</v>
      </c>
      <c r="D744" t="s">
        <v>2915</v>
      </c>
      <c r="E744" t="s">
        <v>2916</v>
      </c>
      <c r="F744" t="s">
        <v>2917</v>
      </c>
      <c r="G744" t="s">
        <v>39</v>
      </c>
      <c r="H744" t="s">
        <v>40</v>
      </c>
      <c r="I744" t="s">
        <v>41</v>
      </c>
      <c r="J744" t="s">
        <v>37</v>
      </c>
      <c r="K744" t="s">
        <v>37</v>
      </c>
      <c r="L744" t="s">
        <v>42</v>
      </c>
      <c r="M744" s="6">
        <v>46022.323530092595</v>
      </c>
      <c r="N744" t="s">
        <v>4263</v>
      </c>
      <c r="O744" s="1">
        <v>46022.375</v>
      </c>
      <c r="P744" s="1">
        <v>46022.323530092595</v>
      </c>
      <c r="Q744" t="s">
        <v>4263</v>
      </c>
      <c r="R744" s="6">
        <v>46022.670138888891</v>
      </c>
      <c r="S744" t="s">
        <v>43</v>
      </c>
      <c r="T744">
        <v>24.99</v>
      </c>
      <c r="U744">
        <v>0</v>
      </c>
      <c r="V744">
        <v>23.8</v>
      </c>
      <c r="W744">
        <v>1.19</v>
      </c>
      <c r="X744">
        <v>0</v>
      </c>
      <c r="Y744">
        <v>0</v>
      </c>
      <c r="Z744">
        <v>24.99</v>
      </c>
      <c r="AA744" t="s">
        <v>2704</v>
      </c>
      <c r="AB744" t="s">
        <v>45</v>
      </c>
      <c r="AC744" t="s">
        <v>46</v>
      </c>
      <c r="AD744" t="s">
        <v>2556</v>
      </c>
      <c r="AE744" t="s">
        <v>2557</v>
      </c>
      <c r="AF744" t="s">
        <v>2918</v>
      </c>
      <c r="AG744" t="s">
        <v>46</v>
      </c>
      <c r="AH744" t="s">
        <v>2914</v>
      </c>
      <c r="AI744" t="s">
        <v>37</v>
      </c>
    </row>
    <row r="745" spans="1:35" x14ac:dyDescent="0.25">
      <c r="A745" t="s">
        <v>2919</v>
      </c>
      <c r="B745" t="s">
        <v>34</v>
      </c>
      <c r="C745" t="s">
        <v>2920</v>
      </c>
      <c r="D745" t="s">
        <v>2921</v>
      </c>
      <c r="E745" t="s">
        <v>2922</v>
      </c>
      <c r="F745" t="s">
        <v>2923</v>
      </c>
      <c r="G745" t="s">
        <v>39</v>
      </c>
      <c r="H745" t="s">
        <v>40</v>
      </c>
      <c r="I745" t="s">
        <v>41</v>
      </c>
      <c r="J745" t="s">
        <v>37</v>
      </c>
      <c r="K745" t="s">
        <v>37</v>
      </c>
      <c r="L745" t="s">
        <v>42</v>
      </c>
      <c r="M745" s="6">
        <v>46022.401273148149</v>
      </c>
      <c r="N745" t="s">
        <v>4263</v>
      </c>
      <c r="O745" s="1">
        <v>46022.40625</v>
      </c>
      <c r="P745" s="1">
        <v>46022.401423611111</v>
      </c>
      <c r="Q745" t="s">
        <v>4263</v>
      </c>
      <c r="R745" s="6">
        <v>46022.628472222219</v>
      </c>
      <c r="S745" t="s">
        <v>43</v>
      </c>
      <c r="T745">
        <v>24.99</v>
      </c>
      <c r="U745">
        <v>0</v>
      </c>
      <c r="V745">
        <v>23.8</v>
      </c>
      <c r="W745">
        <v>1.19</v>
      </c>
      <c r="X745">
        <v>0</v>
      </c>
      <c r="Y745">
        <v>0</v>
      </c>
      <c r="Z745">
        <v>24.99</v>
      </c>
      <c r="AA745" t="s">
        <v>2704</v>
      </c>
      <c r="AB745" t="s">
        <v>45</v>
      </c>
      <c r="AC745" t="s">
        <v>46</v>
      </c>
      <c r="AD745" t="s">
        <v>2556</v>
      </c>
      <c r="AE745" t="s">
        <v>2557</v>
      </c>
      <c r="AF745" t="s">
        <v>2924</v>
      </c>
      <c r="AG745" t="s">
        <v>46</v>
      </c>
      <c r="AH745" t="s">
        <v>2920</v>
      </c>
      <c r="AI745" t="s">
        <v>37</v>
      </c>
    </row>
    <row r="746" spans="1:35" x14ac:dyDescent="0.25">
      <c r="A746" t="s">
        <v>2925</v>
      </c>
      <c r="B746" t="s">
        <v>34</v>
      </c>
      <c r="C746" t="s">
        <v>2926</v>
      </c>
      <c r="D746" t="s">
        <v>2927</v>
      </c>
      <c r="E746" t="s">
        <v>2928</v>
      </c>
      <c r="F746" t="s">
        <v>2929</v>
      </c>
      <c r="G746" t="s">
        <v>39</v>
      </c>
      <c r="H746" t="s">
        <v>40</v>
      </c>
      <c r="I746" t="s">
        <v>41</v>
      </c>
      <c r="J746" t="s">
        <v>37</v>
      </c>
      <c r="K746" t="s">
        <v>37</v>
      </c>
      <c r="L746" t="s">
        <v>42</v>
      </c>
      <c r="M746" s="6">
        <v>46022.472013888888</v>
      </c>
      <c r="N746" t="s">
        <v>4265</v>
      </c>
      <c r="O746" s="1">
        <v>46053.479166666664</v>
      </c>
      <c r="P746" s="1">
        <v>46022.472557870373</v>
      </c>
      <c r="Q746" t="s">
        <v>4266</v>
      </c>
      <c r="R746" s="6">
        <v>46054.690972222219</v>
      </c>
      <c r="S746" t="s">
        <v>43</v>
      </c>
      <c r="T746">
        <v>49.98</v>
      </c>
      <c r="U746">
        <v>0</v>
      </c>
      <c r="V746">
        <v>47.6</v>
      </c>
      <c r="W746">
        <v>2.38</v>
      </c>
      <c r="X746">
        <v>0</v>
      </c>
      <c r="Y746">
        <v>0</v>
      </c>
      <c r="Z746">
        <v>49.98</v>
      </c>
      <c r="AA746" t="s">
        <v>2704</v>
      </c>
      <c r="AB746" t="s">
        <v>45</v>
      </c>
      <c r="AC746" t="s">
        <v>46</v>
      </c>
      <c r="AD746" t="s">
        <v>2556</v>
      </c>
      <c r="AE746" t="s">
        <v>2557</v>
      </c>
      <c r="AF746" t="s">
        <v>2930</v>
      </c>
      <c r="AG746" t="s">
        <v>46</v>
      </c>
      <c r="AH746" t="s">
        <v>2926</v>
      </c>
      <c r="AI746" t="s">
        <v>37</v>
      </c>
    </row>
    <row r="747" spans="1:35" x14ac:dyDescent="0.25">
      <c r="A747" t="s">
        <v>2931</v>
      </c>
      <c r="B747" t="s">
        <v>34</v>
      </c>
      <c r="C747" t="s">
        <v>2932</v>
      </c>
      <c r="D747" t="s">
        <v>2933</v>
      </c>
      <c r="E747" t="s">
        <v>2934</v>
      </c>
      <c r="F747" t="s">
        <v>2935</v>
      </c>
      <c r="G747" t="s">
        <v>39</v>
      </c>
      <c r="H747" t="s">
        <v>40</v>
      </c>
      <c r="I747" t="s">
        <v>41</v>
      </c>
      <c r="J747" t="s">
        <v>37</v>
      </c>
      <c r="K747" t="s">
        <v>37</v>
      </c>
      <c r="L747" t="s">
        <v>42</v>
      </c>
      <c r="M747" s="6">
        <v>46022.660231481481</v>
      </c>
      <c r="N747" t="s">
        <v>4264</v>
      </c>
      <c r="O747" s="1">
        <v>46023.333333333336</v>
      </c>
      <c r="P747" s="1">
        <v>46022.660509259258</v>
      </c>
      <c r="Q747" t="s">
        <v>4264</v>
      </c>
      <c r="R747" s="6">
        <v>46023.670138888891</v>
      </c>
      <c r="S747" t="s">
        <v>43</v>
      </c>
      <c r="T747">
        <v>24.99</v>
      </c>
      <c r="U747">
        <v>0</v>
      </c>
      <c r="V747">
        <v>23.8</v>
      </c>
      <c r="W747">
        <v>1.19</v>
      </c>
      <c r="X747">
        <v>0</v>
      </c>
      <c r="Y747">
        <v>0</v>
      </c>
      <c r="Z747">
        <v>24.99</v>
      </c>
      <c r="AA747" t="s">
        <v>2704</v>
      </c>
      <c r="AB747" t="s">
        <v>45</v>
      </c>
      <c r="AC747" t="s">
        <v>46</v>
      </c>
      <c r="AD747" t="s">
        <v>2556</v>
      </c>
      <c r="AE747" t="s">
        <v>2557</v>
      </c>
      <c r="AF747" t="s">
        <v>2936</v>
      </c>
      <c r="AG747" t="s">
        <v>46</v>
      </c>
      <c r="AH747" t="s">
        <v>2932</v>
      </c>
      <c r="AI747" t="s">
        <v>37</v>
      </c>
    </row>
    <row r="748" spans="1:35" x14ac:dyDescent="0.25">
      <c r="A748" t="s">
        <v>2937</v>
      </c>
      <c r="B748" t="s">
        <v>34</v>
      </c>
      <c r="C748" t="s">
        <v>2938</v>
      </c>
      <c r="D748" t="s">
        <v>2939</v>
      </c>
      <c r="E748" t="s">
        <v>2940</v>
      </c>
      <c r="F748" t="s">
        <v>2941</v>
      </c>
      <c r="G748" t="s">
        <v>39</v>
      </c>
      <c r="H748" t="s">
        <v>40</v>
      </c>
      <c r="I748" t="s">
        <v>41</v>
      </c>
      <c r="J748" t="s">
        <v>37</v>
      </c>
      <c r="K748" t="s">
        <v>37</v>
      </c>
      <c r="L748" t="s">
        <v>42</v>
      </c>
      <c r="M748" s="6">
        <v>46023.428148148145</v>
      </c>
      <c r="N748" t="s">
        <v>4264</v>
      </c>
      <c r="O748" s="1">
        <v>46023.430555555555</v>
      </c>
      <c r="P748" s="1">
        <v>46023.429027777776</v>
      </c>
      <c r="Q748" t="s">
        <v>4264</v>
      </c>
      <c r="R748" s="6">
        <v>46023.753472222219</v>
      </c>
      <c r="S748" t="s">
        <v>43</v>
      </c>
      <c r="T748">
        <v>24.99</v>
      </c>
      <c r="U748">
        <v>0</v>
      </c>
      <c r="V748">
        <v>23.8</v>
      </c>
      <c r="W748">
        <v>1.19</v>
      </c>
      <c r="X748">
        <v>0</v>
      </c>
      <c r="Y748">
        <v>0</v>
      </c>
      <c r="Z748">
        <v>24.99</v>
      </c>
      <c r="AA748" t="s">
        <v>2704</v>
      </c>
      <c r="AB748" t="s">
        <v>45</v>
      </c>
      <c r="AC748" t="s">
        <v>46</v>
      </c>
      <c r="AD748" t="s">
        <v>2556</v>
      </c>
      <c r="AE748" t="s">
        <v>2557</v>
      </c>
      <c r="AF748" t="s">
        <v>2942</v>
      </c>
      <c r="AG748" t="s">
        <v>46</v>
      </c>
      <c r="AH748" t="s">
        <v>2938</v>
      </c>
      <c r="AI748" t="s">
        <v>37</v>
      </c>
    </row>
    <row r="749" spans="1:35" x14ac:dyDescent="0.25">
      <c r="A749" t="s">
        <v>2943</v>
      </c>
      <c r="B749" t="s">
        <v>34</v>
      </c>
      <c r="C749" t="s">
        <v>2944</v>
      </c>
      <c r="D749" t="s">
        <v>2945</v>
      </c>
      <c r="E749" t="s">
        <v>2946</v>
      </c>
      <c r="F749" t="s">
        <v>2947</v>
      </c>
      <c r="G749" t="s">
        <v>39</v>
      </c>
      <c r="H749" t="s">
        <v>40</v>
      </c>
      <c r="I749" t="s">
        <v>41</v>
      </c>
      <c r="J749" t="s">
        <v>37</v>
      </c>
      <c r="K749" t="s">
        <v>37</v>
      </c>
      <c r="L749" t="s">
        <v>42</v>
      </c>
      <c r="M749" s="6">
        <v>46023.445104166669</v>
      </c>
      <c r="N749" t="s">
        <v>4264</v>
      </c>
      <c r="O749" s="1">
        <v>46023.46875</v>
      </c>
      <c r="P749" s="1">
        <v>46023.4453125</v>
      </c>
      <c r="Q749" t="s">
        <v>4264</v>
      </c>
      <c r="R749" s="6">
        <v>46023.670138888891</v>
      </c>
      <c r="S749" t="s">
        <v>43</v>
      </c>
      <c r="T749">
        <v>24.99</v>
      </c>
      <c r="U749">
        <v>0</v>
      </c>
      <c r="V749">
        <v>23.8</v>
      </c>
      <c r="W749">
        <v>1.19</v>
      </c>
      <c r="X749">
        <v>0</v>
      </c>
      <c r="Y749">
        <v>0</v>
      </c>
      <c r="Z749">
        <v>24.99</v>
      </c>
      <c r="AA749" t="s">
        <v>2704</v>
      </c>
      <c r="AB749" t="s">
        <v>45</v>
      </c>
      <c r="AC749" t="s">
        <v>46</v>
      </c>
      <c r="AD749" t="s">
        <v>2556</v>
      </c>
      <c r="AE749" t="s">
        <v>2557</v>
      </c>
      <c r="AF749" t="s">
        <v>2948</v>
      </c>
      <c r="AG749" t="s">
        <v>46</v>
      </c>
      <c r="AH749" t="s">
        <v>2944</v>
      </c>
      <c r="AI749" t="s">
        <v>37</v>
      </c>
    </row>
    <row r="750" spans="1:35" x14ac:dyDescent="0.25">
      <c r="A750" t="s">
        <v>2949</v>
      </c>
      <c r="B750" t="s">
        <v>34</v>
      </c>
      <c r="C750" t="s">
        <v>2950</v>
      </c>
      <c r="D750" t="s">
        <v>2951</v>
      </c>
      <c r="E750" t="s">
        <v>2952</v>
      </c>
      <c r="F750" t="s">
        <v>2953</v>
      </c>
      <c r="G750" t="s">
        <v>39</v>
      </c>
      <c r="H750" t="s">
        <v>40</v>
      </c>
      <c r="I750" t="s">
        <v>41</v>
      </c>
      <c r="J750" t="s">
        <v>37</v>
      </c>
      <c r="K750" t="s">
        <v>37</v>
      </c>
      <c r="L750" t="s">
        <v>42</v>
      </c>
      <c r="M750" s="6">
        <v>46023.52648148148</v>
      </c>
      <c r="N750" t="s">
        <v>4264</v>
      </c>
      <c r="O750" s="1">
        <v>46023.614583333336</v>
      </c>
      <c r="P750" s="1">
        <v>46023.526770833334</v>
      </c>
      <c r="Q750" t="s">
        <v>4264</v>
      </c>
      <c r="R750" s="6">
        <v>46023.701388888891</v>
      </c>
      <c r="S750" t="s">
        <v>43</v>
      </c>
      <c r="T750">
        <v>24.99</v>
      </c>
      <c r="U750">
        <v>0</v>
      </c>
      <c r="V750">
        <v>23.8</v>
      </c>
      <c r="W750">
        <v>1.19</v>
      </c>
      <c r="X750">
        <v>0</v>
      </c>
      <c r="Y750">
        <v>0</v>
      </c>
      <c r="Z750">
        <v>24.99</v>
      </c>
      <c r="AA750" t="s">
        <v>2704</v>
      </c>
      <c r="AB750" t="s">
        <v>45</v>
      </c>
      <c r="AC750" t="s">
        <v>46</v>
      </c>
      <c r="AD750" t="s">
        <v>2556</v>
      </c>
      <c r="AE750" t="s">
        <v>2557</v>
      </c>
      <c r="AF750" t="s">
        <v>2954</v>
      </c>
      <c r="AG750" t="s">
        <v>46</v>
      </c>
      <c r="AH750" t="s">
        <v>2950</v>
      </c>
      <c r="AI750" t="s">
        <v>37</v>
      </c>
    </row>
    <row r="751" spans="1:35" x14ac:dyDescent="0.25">
      <c r="A751" t="s">
        <v>2955</v>
      </c>
      <c r="B751" t="s">
        <v>34</v>
      </c>
      <c r="C751" t="s">
        <v>2956</v>
      </c>
      <c r="D751" t="s">
        <v>2957</v>
      </c>
      <c r="E751" t="s">
        <v>2958</v>
      </c>
      <c r="F751" t="s">
        <v>2959</v>
      </c>
      <c r="G751" t="s">
        <v>39</v>
      </c>
      <c r="H751" t="s">
        <v>40</v>
      </c>
      <c r="I751" t="s">
        <v>41</v>
      </c>
      <c r="J751" t="s">
        <v>37</v>
      </c>
      <c r="K751" t="s">
        <v>37</v>
      </c>
      <c r="L751" t="s">
        <v>42</v>
      </c>
      <c r="M751" s="6">
        <v>46023.864930555559</v>
      </c>
      <c r="N751" t="s">
        <v>4268</v>
      </c>
      <c r="O751" s="1">
        <v>46024.385416666664</v>
      </c>
      <c r="P751" s="1">
        <v>46023.86519675926</v>
      </c>
      <c r="Q751" t="s">
        <v>4268</v>
      </c>
      <c r="R751" s="6">
        <v>46024.670138888891</v>
      </c>
      <c r="S751" t="s">
        <v>43</v>
      </c>
      <c r="T751">
        <v>24.99</v>
      </c>
      <c r="U751">
        <v>0</v>
      </c>
      <c r="V751">
        <v>23.8</v>
      </c>
      <c r="W751">
        <v>1.19</v>
      </c>
      <c r="X751">
        <v>0</v>
      </c>
      <c r="Y751">
        <v>0</v>
      </c>
      <c r="Z751">
        <v>24.99</v>
      </c>
      <c r="AA751" t="s">
        <v>2704</v>
      </c>
      <c r="AB751" t="s">
        <v>45</v>
      </c>
      <c r="AC751" t="s">
        <v>46</v>
      </c>
      <c r="AD751" t="s">
        <v>2556</v>
      </c>
      <c r="AE751" t="s">
        <v>2557</v>
      </c>
      <c r="AF751" t="s">
        <v>2960</v>
      </c>
      <c r="AG751" t="s">
        <v>46</v>
      </c>
      <c r="AH751" t="s">
        <v>2956</v>
      </c>
      <c r="AI751" t="s">
        <v>37</v>
      </c>
    </row>
    <row r="752" spans="1:35" x14ac:dyDescent="0.25">
      <c r="A752" t="s">
        <v>2961</v>
      </c>
      <c r="B752" t="s">
        <v>34</v>
      </c>
      <c r="C752" t="s">
        <v>515</v>
      </c>
      <c r="D752" t="s">
        <v>516</v>
      </c>
      <c r="E752" t="s">
        <v>37</v>
      </c>
      <c r="F752" t="s">
        <v>517</v>
      </c>
      <c r="G752" t="s">
        <v>39</v>
      </c>
      <c r="H752" t="s">
        <v>40</v>
      </c>
      <c r="I752" t="s">
        <v>41</v>
      </c>
      <c r="J752" t="s">
        <v>37</v>
      </c>
      <c r="K752" t="s">
        <v>37</v>
      </c>
      <c r="L752" t="s">
        <v>42</v>
      </c>
      <c r="M752" s="6">
        <v>46023.876701388886</v>
      </c>
      <c r="N752" t="s">
        <v>4268</v>
      </c>
      <c r="O752" s="1">
        <v>46024.333333333336</v>
      </c>
      <c r="P752" s="1">
        <v>46023.876967592594</v>
      </c>
      <c r="Q752" t="s">
        <v>4268</v>
      </c>
      <c r="R752" s="6">
        <v>46024.711805555555</v>
      </c>
      <c r="S752" t="s">
        <v>43</v>
      </c>
      <c r="T752">
        <v>24.99</v>
      </c>
      <c r="U752">
        <v>0</v>
      </c>
      <c r="V752">
        <v>23.8</v>
      </c>
      <c r="W752">
        <v>1.19</v>
      </c>
      <c r="X752">
        <v>0</v>
      </c>
      <c r="Y752">
        <v>0</v>
      </c>
      <c r="Z752">
        <v>24.99</v>
      </c>
      <c r="AA752" t="s">
        <v>2704</v>
      </c>
      <c r="AB752" t="s">
        <v>45</v>
      </c>
      <c r="AC752" t="s">
        <v>46</v>
      </c>
      <c r="AD752" t="s">
        <v>2556</v>
      </c>
      <c r="AE752" t="s">
        <v>2557</v>
      </c>
      <c r="AF752" t="s">
        <v>2962</v>
      </c>
      <c r="AG752" t="s">
        <v>46</v>
      </c>
      <c r="AH752" t="s">
        <v>515</v>
      </c>
      <c r="AI752" t="s">
        <v>37</v>
      </c>
    </row>
    <row r="753" spans="1:35" x14ac:dyDescent="0.25">
      <c r="A753" t="s">
        <v>2963</v>
      </c>
      <c r="B753" t="s">
        <v>34</v>
      </c>
      <c r="C753" t="s">
        <v>437</v>
      </c>
      <c r="D753" t="s">
        <v>438</v>
      </c>
      <c r="E753" t="s">
        <v>37</v>
      </c>
      <c r="F753" t="s">
        <v>439</v>
      </c>
      <c r="G753" t="s">
        <v>39</v>
      </c>
      <c r="H753" t="s">
        <v>40</v>
      </c>
      <c r="I753" t="s">
        <v>41</v>
      </c>
      <c r="J753" t="s">
        <v>37</v>
      </c>
      <c r="K753" t="s">
        <v>37</v>
      </c>
      <c r="L753" t="s">
        <v>42</v>
      </c>
      <c r="M753" s="6">
        <v>46023.881736111114</v>
      </c>
      <c r="N753" t="s">
        <v>4268</v>
      </c>
      <c r="O753" s="1">
        <v>46024.375</v>
      </c>
      <c r="P753" s="1">
        <v>46023.881932870368</v>
      </c>
      <c r="Q753" t="s">
        <v>4268</v>
      </c>
      <c r="R753" s="6">
        <v>46024.711805555555</v>
      </c>
      <c r="S753" t="s">
        <v>43</v>
      </c>
      <c r="T753">
        <v>24.99</v>
      </c>
      <c r="U753">
        <v>0</v>
      </c>
      <c r="V753">
        <v>23.8</v>
      </c>
      <c r="W753">
        <v>1.19</v>
      </c>
      <c r="X753">
        <v>0</v>
      </c>
      <c r="Y753">
        <v>0</v>
      </c>
      <c r="Z753">
        <v>24.99</v>
      </c>
      <c r="AA753" t="s">
        <v>2704</v>
      </c>
      <c r="AB753" t="s">
        <v>45</v>
      </c>
      <c r="AC753" t="s">
        <v>46</v>
      </c>
      <c r="AD753" t="s">
        <v>2556</v>
      </c>
      <c r="AE753" t="s">
        <v>2557</v>
      </c>
      <c r="AF753" t="s">
        <v>2964</v>
      </c>
      <c r="AG753" t="s">
        <v>46</v>
      </c>
      <c r="AH753" t="s">
        <v>437</v>
      </c>
      <c r="AI753" t="s">
        <v>37</v>
      </c>
    </row>
    <row r="754" spans="1:35" x14ac:dyDescent="0.25">
      <c r="A754" t="s">
        <v>2965</v>
      </c>
      <c r="B754" t="s">
        <v>34</v>
      </c>
      <c r="C754" t="s">
        <v>2966</v>
      </c>
      <c r="D754" t="s">
        <v>2967</v>
      </c>
      <c r="E754" t="s">
        <v>2968</v>
      </c>
      <c r="F754" t="s">
        <v>2969</v>
      </c>
      <c r="G754" t="s">
        <v>39</v>
      </c>
      <c r="H754" t="s">
        <v>40</v>
      </c>
      <c r="I754" t="s">
        <v>41</v>
      </c>
      <c r="J754" t="s">
        <v>37</v>
      </c>
      <c r="K754" t="s">
        <v>37</v>
      </c>
      <c r="L754" t="s">
        <v>42</v>
      </c>
      <c r="M754" s="6">
        <v>46023.882534722223</v>
      </c>
      <c r="N754" t="s">
        <v>4268</v>
      </c>
      <c r="O754" s="1">
        <v>46024.354166666664</v>
      </c>
      <c r="P754" s="1">
        <v>46023.883518518516</v>
      </c>
      <c r="Q754" t="s">
        <v>4268</v>
      </c>
      <c r="R754" s="6">
        <v>46024.711805555555</v>
      </c>
      <c r="S754" t="s">
        <v>43</v>
      </c>
      <c r="T754">
        <v>24.99</v>
      </c>
      <c r="U754">
        <v>0</v>
      </c>
      <c r="V754">
        <v>23.8</v>
      </c>
      <c r="W754">
        <v>1.19</v>
      </c>
      <c r="X754">
        <v>0</v>
      </c>
      <c r="Y754">
        <v>0</v>
      </c>
      <c r="Z754">
        <v>24.99</v>
      </c>
      <c r="AA754" t="s">
        <v>2704</v>
      </c>
      <c r="AB754" t="s">
        <v>45</v>
      </c>
      <c r="AC754" t="s">
        <v>46</v>
      </c>
      <c r="AD754" t="s">
        <v>2556</v>
      </c>
      <c r="AE754" t="s">
        <v>2557</v>
      </c>
      <c r="AF754" t="s">
        <v>2970</v>
      </c>
      <c r="AG754" t="s">
        <v>46</v>
      </c>
      <c r="AH754" t="s">
        <v>2966</v>
      </c>
      <c r="AI754" t="s">
        <v>37</v>
      </c>
    </row>
    <row r="755" spans="1:35" x14ac:dyDescent="0.25">
      <c r="A755" t="s">
        <v>2971</v>
      </c>
      <c r="B755" t="s">
        <v>34</v>
      </c>
      <c r="C755" t="s">
        <v>2700</v>
      </c>
      <c r="D755" t="s">
        <v>2701</v>
      </c>
      <c r="E755" t="s">
        <v>2702</v>
      </c>
      <c r="F755" t="s">
        <v>2703</v>
      </c>
      <c r="G755" t="s">
        <v>39</v>
      </c>
      <c r="H755" t="s">
        <v>40</v>
      </c>
      <c r="I755" t="s">
        <v>41</v>
      </c>
      <c r="J755" t="s">
        <v>37</v>
      </c>
      <c r="K755" t="s">
        <v>37</v>
      </c>
      <c r="L755" t="s">
        <v>42</v>
      </c>
      <c r="M755" s="6">
        <v>46023.903715277775</v>
      </c>
      <c r="N755" t="s">
        <v>4268</v>
      </c>
      <c r="O755" s="1">
        <v>46024.375</v>
      </c>
      <c r="P755" s="1">
        <v>46023.903715277775</v>
      </c>
      <c r="Q755" t="s">
        <v>4268</v>
      </c>
      <c r="R755" s="6">
        <v>46024.670138888891</v>
      </c>
      <c r="S755" t="s">
        <v>43</v>
      </c>
      <c r="T755">
        <v>24.99</v>
      </c>
      <c r="U755">
        <v>0</v>
      </c>
      <c r="V755">
        <v>23.8</v>
      </c>
      <c r="W755">
        <v>1.19</v>
      </c>
      <c r="X755">
        <v>0</v>
      </c>
      <c r="Y755">
        <v>0</v>
      </c>
      <c r="Z755">
        <v>24.99</v>
      </c>
      <c r="AA755" t="s">
        <v>2704</v>
      </c>
      <c r="AB755" t="s">
        <v>45</v>
      </c>
      <c r="AC755" t="s">
        <v>46</v>
      </c>
      <c r="AD755" t="s">
        <v>2556</v>
      </c>
      <c r="AE755" t="s">
        <v>2557</v>
      </c>
      <c r="AF755" t="s">
        <v>2972</v>
      </c>
      <c r="AG755" t="s">
        <v>46</v>
      </c>
      <c r="AH755" t="s">
        <v>2700</v>
      </c>
      <c r="AI755" t="s">
        <v>37</v>
      </c>
    </row>
    <row r="756" spans="1:35" x14ac:dyDescent="0.25">
      <c r="A756" t="s">
        <v>2973</v>
      </c>
      <c r="B756" t="s">
        <v>34</v>
      </c>
      <c r="C756" t="s">
        <v>265</v>
      </c>
      <c r="D756" t="s">
        <v>266</v>
      </c>
      <c r="E756" t="s">
        <v>37</v>
      </c>
      <c r="F756" t="s">
        <v>2974</v>
      </c>
      <c r="G756" t="s">
        <v>39</v>
      </c>
      <c r="H756" t="s">
        <v>40</v>
      </c>
      <c r="I756" t="s">
        <v>41</v>
      </c>
      <c r="J756" t="s">
        <v>37</v>
      </c>
      <c r="K756" t="s">
        <v>37</v>
      </c>
      <c r="L756" t="s">
        <v>42</v>
      </c>
      <c r="M756" s="6">
        <v>46023.907002314816</v>
      </c>
      <c r="N756" t="s">
        <v>4268</v>
      </c>
      <c r="O756" s="1">
        <v>46024.333333333336</v>
      </c>
      <c r="P756" s="1">
        <v>46023.907233796293</v>
      </c>
      <c r="Q756" t="s">
        <v>4268</v>
      </c>
      <c r="R756" s="6">
        <v>46024.690972222219</v>
      </c>
      <c r="S756" t="s">
        <v>43</v>
      </c>
      <c r="T756">
        <v>24.99</v>
      </c>
      <c r="U756">
        <v>0</v>
      </c>
      <c r="V756">
        <v>23.8</v>
      </c>
      <c r="W756">
        <v>1.19</v>
      </c>
      <c r="X756">
        <v>0</v>
      </c>
      <c r="Y756">
        <v>0</v>
      </c>
      <c r="Z756">
        <v>24.99</v>
      </c>
      <c r="AA756" t="s">
        <v>2704</v>
      </c>
      <c r="AB756" t="s">
        <v>45</v>
      </c>
      <c r="AC756" t="s">
        <v>46</v>
      </c>
      <c r="AD756" t="s">
        <v>2556</v>
      </c>
      <c r="AE756" t="s">
        <v>2557</v>
      </c>
      <c r="AF756" t="s">
        <v>2975</v>
      </c>
      <c r="AG756" t="s">
        <v>46</v>
      </c>
      <c r="AH756" t="s">
        <v>265</v>
      </c>
      <c r="AI756" t="s">
        <v>37</v>
      </c>
    </row>
    <row r="757" spans="1:35" x14ac:dyDescent="0.25">
      <c r="A757" t="s">
        <v>2976</v>
      </c>
      <c r="B757" t="s">
        <v>34</v>
      </c>
      <c r="C757" t="s">
        <v>2977</v>
      </c>
      <c r="D757" t="s">
        <v>2978</v>
      </c>
      <c r="E757" t="s">
        <v>2979</v>
      </c>
      <c r="F757" t="s">
        <v>2980</v>
      </c>
      <c r="G757" t="s">
        <v>39</v>
      </c>
      <c r="H757" t="s">
        <v>40</v>
      </c>
      <c r="I757" t="s">
        <v>41</v>
      </c>
      <c r="J757" t="s">
        <v>37</v>
      </c>
      <c r="K757" t="s">
        <v>37</v>
      </c>
      <c r="L757" t="s">
        <v>42</v>
      </c>
      <c r="M757" s="6">
        <v>46024.304097222222</v>
      </c>
      <c r="N757" t="s">
        <v>4268</v>
      </c>
      <c r="O757" s="1">
        <v>46024.354166666664</v>
      </c>
      <c r="P757" s="1">
        <v>46024.305034722223</v>
      </c>
      <c r="Q757" t="s">
        <v>4268</v>
      </c>
      <c r="R757" s="6">
        <v>46024.680555555555</v>
      </c>
      <c r="S757" t="s">
        <v>43</v>
      </c>
      <c r="T757">
        <v>24.99</v>
      </c>
      <c r="U757">
        <v>0</v>
      </c>
      <c r="V757">
        <v>23.8</v>
      </c>
      <c r="W757">
        <v>1.19</v>
      </c>
      <c r="X757">
        <v>0</v>
      </c>
      <c r="Y757">
        <v>0</v>
      </c>
      <c r="Z757">
        <v>24.99</v>
      </c>
      <c r="AA757" t="s">
        <v>2704</v>
      </c>
      <c r="AB757" t="s">
        <v>45</v>
      </c>
      <c r="AC757" t="s">
        <v>46</v>
      </c>
      <c r="AD757" t="s">
        <v>2556</v>
      </c>
      <c r="AE757" t="s">
        <v>2557</v>
      </c>
      <c r="AF757" t="s">
        <v>2981</v>
      </c>
      <c r="AG757" t="s">
        <v>46</v>
      </c>
      <c r="AH757" t="s">
        <v>2977</v>
      </c>
      <c r="AI757" t="s">
        <v>37</v>
      </c>
    </row>
    <row r="758" spans="1:35" x14ac:dyDescent="0.25">
      <c r="A758" t="s">
        <v>2982</v>
      </c>
      <c r="B758" t="s">
        <v>34</v>
      </c>
      <c r="C758" t="s">
        <v>2983</v>
      </c>
      <c r="D758" t="s">
        <v>2984</v>
      </c>
      <c r="E758" t="s">
        <v>2985</v>
      </c>
      <c r="F758" t="s">
        <v>2986</v>
      </c>
      <c r="G758" t="s">
        <v>39</v>
      </c>
      <c r="H758" t="s">
        <v>40</v>
      </c>
      <c r="I758" t="s">
        <v>41</v>
      </c>
      <c r="J758" t="s">
        <v>37</v>
      </c>
      <c r="K758" t="s">
        <v>37</v>
      </c>
      <c r="L758" t="s">
        <v>42</v>
      </c>
      <c r="M758" s="6">
        <v>46024.431886574072</v>
      </c>
      <c r="N758" t="s">
        <v>4268</v>
      </c>
      <c r="O758" s="1">
        <v>46024.4375</v>
      </c>
      <c r="P758" s="1">
        <v>46024.433067129627</v>
      </c>
      <c r="Q758" t="s">
        <v>4268</v>
      </c>
      <c r="R758" s="6">
        <v>46024.690972222219</v>
      </c>
      <c r="S758" t="s">
        <v>43</v>
      </c>
      <c r="T758">
        <v>24.99</v>
      </c>
      <c r="U758">
        <v>0</v>
      </c>
      <c r="V758">
        <v>23.8</v>
      </c>
      <c r="W758">
        <v>1.19</v>
      </c>
      <c r="X758">
        <v>0</v>
      </c>
      <c r="Y758">
        <v>0</v>
      </c>
      <c r="Z758">
        <v>24.99</v>
      </c>
      <c r="AA758" t="s">
        <v>2704</v>
      </c>
      <c r="AB758" t="s">
        <v>45</v>
      </c>
      <c r="AC758" t="s">
        <v>46</v>
      </c>
      <c r="AD758" t="s">
        <v>2556</v>
      </c>
      <c r="AE758" t="s">
        <v>2557</v>
      </c>
      <c r="AF758" t="s">
        <v>2987</v>
      </c>
      <c r="AG758" t="s">
        <v>46</v>
      </c>
      <c r="AH758" t="s">
        <v>2983</v>
      </c>
      <c r="AI758" t="s">
        <v>37</v>
      </c>
    </row>
    <row r="759" spans="1:35" x14ac:dyDescent="0.25">
      <c r="A759" t="s">
        <v>2988</v>
      </c>
      <c r="B759" t="s">
        <v>34</v>
      </c>
      <c r="C759" t="s">
        <v>2156</v>
      </c>
      <c r="D759" t="s">
        <v>2157</v>
      </c>
      <c r="E759" t="s">
        <v>37</v>
      </c>
      <c r="F759" t="s">
        <v>2158</v>
      </c>
      <c r="G759" t="s">
        <v>39</v>
      </c>
      <c r="H759" t="s">
        <v>40</v>
      </c>
      <c r="I759" t="s">
        <v>41</v>
      </c>
      <c r="J759" t="s">
        <v>37</v>
      </c>
      <c r="K759" t="s">
        <v>37</v>
      </c>
      <c r="L759" t="s">
        <v>42</v>
      </c>
      <c r="M759" s="6">
        <v>46024.569155092591</v>
      </c>
      <c r="N759" t="s">
        <v>4265</v>
      </c>
      <c r="O759" s="1">
        <v>46025.395833333336</v>
      </c>
      <c r="P759" s="1">
        <v>46024.569409722222</v>
      </c>
      <c r="Q759" t="s">
        <v>4265</v>
      </c>
      <c r="R759" s="6">
        <v>46025.711805555555</v>
      </c>
      <c r="S759" t="s">
        <v>43</v>
      </c>
      <c r="T759">
        <v>24.99</v>
      </c>
      <c r="U759">
        <v>0</v>
      </c>
      <c r="V759">
        <v>23.8</v>
      </c>
      <c r="W759">
        <v>1.19</v>
      </c>
      <c r="X759">
        <v>0</v>
      </c>
      <c r="Y759">
        <v>0</v>
      </c>
      <c r="Z759">
        <v>24.99</v>
      </c>
      <c r="AA759" t="s">
        <v>2704</v>
      </c>
      <c r="AB759" t="s">
        <v>45</v>
      </c>
      <c r="AC759" t="s">
        <v>46</v>
      </c>
      <c r="AD759" t="s">
        <v>2556</v>
      </c>
      <c r="AE759" t="s">
        <v>2557</v>
      </c>
      <c r="AF759" t="s">
        <v>2989</v>
      </c>
      <c r="AG759" t="s">
        <v>46</v>
      </c>
      <c r="AH759" t="s">
        <v>2156</v>
      </c>
      <c r="AI759" t="s">
        <v>37</v>
      </c>
    </row>
    <row r="760" spans="1:35" x14ac:dyDescent="0.25">
      <c r="A760" t="s">
        <v>2990</v>
      </c>
      <c r="B760" t="s">
        <v>34</v>
      </c>
      <c r="C760" t="s">
        <v>2991</v>
      </c>
      <c r="D760" t="s">
        <v>2992</v>
      </c>
      <c r="E760" t="s">
        <v>2993</v>
      </c>
      <c r="F760" t="s">
        <v>2994</v>
      </c>
      <c r="G760" t="s">
        <v>39</v>
      </c>
      <c r="H760" t="s">
        <v>40</v>
      </c>
      <c r="I760" t="s">
        <v>41</v>
      </c>
      <c r="J760" t="s">
        <v>37</v>
      </c>
      <c r="K760" t="s">
        <v>37</v>
      </c>
      <c r="L760" t="s">
        <v>42</v>
      </c>
      <c r="M760" s="6">
        <v>46024.902037037034</v>
      </c>
      <c r="N760" t="s">
        <v>4265</v>
      </c>
      <c r="O760" s="1">
        <v>46025.333333333336</v>
      </c>
      <c r="P760" s="1">
        <v>46024.902719907404</v>
      </c>
      <c r="Q760" t="s">
        <v>4265</v>
      </c>
      <c r="R760" s="6">
        <v>46025.628472222219</v>
      </c>
      <c r="S760" t="s">
        <v>43</v>
      </c>
      <c r="T760">
        <v>24.99</v>
      </c>
      <c r="U760">
        <v>0</v>
      </c>
      <c r="V760">
        <v>23.8</v>
      </c>
      <c r="W760">
        <v>1.19</v>
      </c>
      <c r="X760">
        <v>0</v>
      </c>
      <c r="Y760">
        <v>0</v>
      </c>
      <c r="Z760">
        <v>24.99</v>
      </c>
      <c r="AA760" t="s">
        <v>2704</v>
      </c>
      <c r="AB760" t="s">
        <v>45</v>
      </c>
      <c r="AC760" t="s">
        <v>46</v>
      </c>
      <c r="AD760" t="s">
        <v>2556</v>
      </c>
      <c r="AE760" t="s">
        <v>2557</v>
      </c>
      <c r="AF760" t="s">
        <v>2995</v>
      </c>
      <c r="AG760" t="s">
        <v>46</v>
      </c>
      <c r="AH760" t="s">
        <v>2991</v>
      </c>
      <c r="AI760" t="s">
        <v>37</v>
      </c>
    </row>
    <row r="761" spans="1:35" x14ac:dyDescent="0.25">
      <c r="A761" t="s">
        <v>2996</v>
      </c>
      <c r="B761" t="s">
        <v>34</v>
      </c>
      <c r="C761" t="s">
        <v>2997</v>
      </c>
      <c r="D761" t="s">
        <v>2998</v>
      </c>
      <c r="E761" t="s">
        <v>2999</v>
      </c>
      <c r="F761" t="s">
        <v>3000</v>
      </c>
      <c r="G761" t="s">
        <v>39</v>
      </c>
      <c r="H761" t="s">
        <v>40</v>
      </c>
      <c r="I761" t="s">
        <v>41</v>
      </c>
      <c r="J761" t="s">
        <v>37</v>
      </c>
      <c r="K761" t="s">
        <v>37</v>
      </c>
      <c r="L761" t="s">
        <v>42</v>
      </c>
      <c r="M761" s="6">
        <v>46024.917361111111</v>
      </c>
      <c r="N761" t="s">
        <v>4265</v>
      </c>
      <c r="O761" s="1">
        <v>46025.354166666664</v>
      </c>
      <c r="P761" s="1">
        <v>46024.917361111111</v>
      </c>
      <c r="Q761" t="s">
        <v>4265</v>
      </c>
      <c r="R761" s="6">
        <v>46025.690972222219</v>
      </c>
      <c r="S761" t="s">
        <v>43</v>
      </c>
      <c r="T761">
        <v>24.99</v>
      </c>
      <c r="U761">
        <v>0</v>
      </c>
      <c r="V761">
        <v>23.8</v>
      </c>
      <c r="W761">
        <v>1.19</v>
      </c>
      <c r="X761">
        <v>0</v>
      </c>
      <c r="Y761">
        <v>0</v>
      </c>
      <c r="Z761">
        <v>24.99</v>
      </c>
      <c r="AA761" t="s">
        <v>2704</v>
      </c>
      <c r="AB761" t="s">
        <v>45</v>
      </c>
      <c r="AC761" t="s">
        <v>46</v>
      </c>
      <c r="AD761" t="s">
        <v>2556</v>
      </c>
      <c r="AE761" t="s">
        <v>2557</v>
      </c>
      <c r="AF761" t="s">
        <v>3001</v>
      </c>
      <c r="AG761" t="s">
        <v>46</v>
      </c>
      <c r="AH761" t="s">
        <v>2997</v>
      </c>
      <c r="AI761" t="s">
        <v>37</v>
      </c>
    </row>
    <row r="762" spans="1:35" x14ac:dyDescent="0.25">
      <c r="A762" t="s">
        <v>3002</v>
      </c>
      <c r="B762" t="s">
        <v>34</v>
      </c>
      <c r="C762" t="s">
        <v>3003</v>
      </c>
      <c r="D762" t="s">
        <v>3004</v>
      </c>
      <c r="E762" t="s">
        <v>3005</v>
      </c>
      <c r="F762" t="s">
        <v>3006</v>
      </c>
      <c r="G762" t="s">
        <v>39</v>
      </c>
      <c r="H762" t="s">
        <v>40</v>
      </c>
      <c r="I762" t="s">
        <v>41</v>
      </c>
      <c r="J762" t="s">
        <v>37</v>
      </c>
      <c r="K762" t="s">
        <v>37</v>
      </c>
      <c r="L762" t="s">
        <v>42</v>
      </c>
      <c r="M762" s="6">
        <v>46024.988657407404</v>
      </c>
      <c r="N762" t="s">
        <v>4265</v>
      </c>
      <c r="O762" s="1">
        <v>46025.354166666664</v>
      </c>
      <c r="P762" s="1">
        <v>46024.988657407404</v>
      </c>
      <c r="Q762" t="s">
        <v>4265</v>
      </c>
      <c r="R762" s="6">
        <v>46025.711805555555</v>
      </c>
      <c r="S762" t="s">
        <v>43</v>
      </c>
      <c r="T762">
        <v>24.99</v>
      </c>
      <c r="U762">
        <v>0</v>
      </c>
      <c r="V762">
        <v>23.8</v>
      </c>
      <c r="W762">
        <v>1.19</v>
      </c>
      <c r="X762">
        <v>0</v>
      </c>
      <c r="Y762">
        <v>0</v>
      </c>
      <c r="Z762">
        <v>24.99</v>
      </c>
      <c r="AA762" t="s">
        <v>2704</v>
      </c>
      <c r="AB762" t="s">
        <v>45</v>
      </c>
      <c r="AC762" t="s">
        <v>46</v>
      </c>
      <c r="AD762" t="s">
        <v>2556</v>
      </c>
      <c r="AE762" t="s">
        <v>2557</v>
      </c>
      <c r="AF762" t="s">
        <v>3007</v>
      </c>
      <c r="AG762" t="s">
        <v>46</v>
      </c>
      <c r="AH762" t="s">
        <v>3003</v>
      </c>
      <c r="AI762" t="s">
        <v>37</v>
      </c>
    </row>
    <row r="763" spans="1:35" x14ac:dyDescent="0.25">
      <c r="A763" t="s">
        <v>3008</v>
      </c>
      <c r="B763" t="s">
        <v>34</v>
      </c>
      <c r="C763" t="s">
        <v>3009</v>
      </c>
      <c r="D763" t="s">
        <v>3010</v>
      </c>
      <c r="E763" t="s">
        <v>3011</v>
      </c>
      <c r="F763" t="s">
        <v>3012</v>
      </c>
      <c r="G763" t="s">
        <v>39</v>
      </c>
      <c r="H763" t="s">
        <v>40</v>
      </c>
      <c r="I763" t="s">
        <v>41</v>
      </c>
      <c r="J763" t="s">
        <v>37</v>
      </c>
      <c r="K763" t="s">
        <v>37</v>
      </c>
      <c r="L763" t="s">
        <v>42</v>
      </c>
      <c r="M763" s="6">
        <v>46025.208923611113</v>
      </c>
      <c r="N763" t="s">
        <v>4265</v>
      </c>
      <c r="O763" s="1">
        <v>46025.375</v>
      </c>
      <c r="P763" s="1">
        <v>46025.209351851852</v>
      </c>
      <c r="Q763" t="s">
        <v>4265</v>
      </c>
      <c r="R763" s="6">
        <v>46025.670138888891</v>
      </c>
      <c r="S763" t="s">
        <v>43</v>
      </c>
      <c r="T763">
        <v>24.99</v>
      </c>
      <c r="U763">
        <v>0</v>
      </c>
      <c r="V763">
        <v>23.8</v>
      </c>
      <c r="W763">
        <v>1.19</v>
      </c>
      <c r="X763">
        <v>0</v>
      </c>
      <c r="Y763">
        <v>0</v>
      </c>
      <c r="Z763">
        <v>24.99</v>
      </c>
      <c r="AA763" t="s">
        <v>2704</v>
      </c>
      <c r="AB763" t="s">
        <v>45</v>
      </c>
      <c r="AC763" t="s">
        <v>46</v>
      </c>
      <c r="AD763" t="s">
        <v>2556</v>
      </c>
      <c r="AE763" t="s">
        <v>2557</v>
      </c>
      <c r="AF763" t="s">
        <v>3013</v>
      </c>
      <c r="AG763" t="s">
        <v>46</v>
      </c>
      <c r="AH763" t="s">
        <v>3009</v>
      </c>
      <c r="AI763" t="s">
        <v>37</v>
      </c>
    </row>
    <row r="764" spans="1:35" x14ac:dyDescent="0.25">
      <c r="A764" t="s">
        <v>3014</v>
      </c>
      <c r="B764" t="s">
        <v>34</v>
      </c>
      <c r="C764" t="s">
        <v>2956</v>
      </c>
      <c r="D764" t="s">
        <v>2957</v>
      </c>
      <c r="E764" t="s">
        <v>2958</v>
      </c>
      <c r="F764" t="s">
        <v>2959</v>
      </c>
      <c r="G764" t="s">
        <v>39</v>
      </c>
      <c r="H764" t="s">
        <v>40</v>
      </c>
      <c r="I764" t="s">
        <v>41</v>
      </c>
      <c r="J764" t="s">
        <v>37</v>
      </c>
      <c r="K764" t="s">
        <v>37</v>
      </c>
      <c r="L764" t="s">
        <v>42</v>
      </c>
      <c r="M764" s="6">
        <v>46025.436620370368</v>
      </c>
      <c r="N764" t="s">
        <v>4265</v>
      </c>
      <c r="O764" s="1">
        <v>46025.520833333336</v>
      </c>
      <c r="P764" s="1">
        <v>46025.436620370368</v>
      </c>
      <c r="Q764" t="s">
        <v>4265</v>
      </c>
      <c r="R764" s="6">
        <v>46025.690972222219</v>
      </c>
      <c r="S764" t="s">
        <v>43</v>
      </c>
      <c r="T764">
        <v>24.99</v>
      </c>
      <c r="U764">
        <v>0</v>
      </c>
      <c r="V764">
        <v>23.8</v>
      </c>
      <c r="W764">
        <v>1.19</v>
      </c>
      <c r="X764">
        <v>0</v>
      </c>
      <c r="Y764">
        <v>0</v>
      </c>
      <c r="Z764">
        <v>24.99</v>
      </c>
      <c r="AA764" t="s">
        <v>2704</v>
      </c>
      <c r="AB764" t="s">
        <v>45</v>
      </c>
      <c r="AC764" t="s">
        <v>46</v>
      </c>
      <c r="AD764" t="s">
        <v>2556</v>
      </c>
      <c r="AE764" t="s">
        <v>2557</v>
      </c>
      <c r="AF764" t="s">
        <v>3015</v>
      </c>
      <c r="AG764" t="s">
        <v>46</v>
      </c>
      <c r="AH764" t="s">
        <v>2956</v>
      </c>
      <c r="AI764" t="s">
        <v>37</v>
      </c>
    </row>
    <row r="765" spans="1:35" x14ac:dyDescent="0.25">
      <c r="A765" t="s">
        <v>3016</v>
      </c>
      <c r="B765" t="s">
        <v>34</v>
      </c>
      <c r="C765" t="s">
        <v>3017</v>
      </c>
      <c r="D765" t="s">
        <v>3018</v>
      </c>
      <c r="E765" t="s">
        <v>3019</v>
      </c>
      <c r="F765" t="s">
        <v>3020</v>
      </c>
      <c r="G765" t="s">
        <v>39</v>
      </c>
      <c r="H765" t="s">
        <v>40</v>
      </c>
      <c r="I765" t="s">
        <v>41</v>
      </c>
      <c r="J765" t="s">
        <v>37</v>
      </c>
      <c r="K765" t="s">
        <v>37</v>
      </c>
      <c r="L765" t="s">
        <v>42</v>
      </c>
      <c r="M765" s="6">
        <v>46026.493657407409</v>
      </c>
      <c r="N765" t="s">
        <v>4266</v>
      </c>
      <c r="O765" s="1">
        <v>46026.5</v>
      </c>
      <c r="P765" s="1">
        <v>46026.494062500002</v>
      </c>
      <c r="Q765" t="s">
        <v>4266</v>
      </c>
      <c r="R765" s="6">
        <v>46026.607638888891</v>
      </c>
      <c r="S765" t="s">
        <v>43</v>
      </c>
      <c r="T765">
        <v>24.99</v>
      </c>
      <c r="U765">
        <v>0</v>
      </c>
      <c r="V765">
        <v>23.8</v>
      </c>
      <c r="W765">
        <v>1.19</v>
      </c>
      <c r="X765">
        <v>0</v>
      </c>
      <c r="Y765">
        <v>0</v>
      </c>
      <c r="Z765">
        <v>24.99</v>
      </c>
      <c r="AA765" t="s">
        <v>2704</v>
      </c>
      <c r="AB765" t="s">
        <v>45</v>
      </c>
      <c r="AC765" t="s">
        <v>46</v>
      </c>
      <c r="AD765" t="s">
        <v>2556</v>
      </c>
      <c r="AE765" t="s">
        <v>2557</v>
      </c>
      <c r="AF765" t="s">
        <v>3021</v>
      </c>
      <c r="AG765" t="s">
        <v>46</v>
      </c>
      <c r="AH765" t="s">
        <v>3017</v>
      </c>
      <c r="AI765" t="s">
        <v>37</v>
      </c>
    </row>
    <row r="766" spans="1:35" x14ac:dyDescent="0.25">
      <c r="A766" t="s">
        <v>3022</v>
      </c>
      <c r="B766" t="s">
        <v>34</v>
      </c>
      <c r="C766" t="s">
        <v>2372</v>
      </c>
      <c r="D766" t="s">
        <v>3023</v>
      </c>
      <c r="E766" t="s">
        <v>3024</v>
      </c>
      <c r="F766" t="s">
        <v>2374</v>
      </c>
      <c r="G766" t="s">
        <v>39</v>
      </c>
      <c r="H766" t="s">
        <v>40</v>
      </c>
      <c r="I766" t="s">
        <v>41</v>
      </c>
      <c r="J766" t="s">
        <v>37</v>
      </c>
      <c r="K766" t="s">
        <v>37</v>
      </c>
      <c r="L766" t="s">
        <v>42</v>
      </c>
      <c r="M766" s="6">
        <v>46026.608402777776</v>
      </c>
      <c r="N766" t="s">
        <v>4266</v>
      </c>
      <c r="O766" s="1">
        <v>46026.614583333336</v>
      </c>
      <c r="P766" s="1">
        <v>46026.608877314815</v>
      </c>
      <c r="Q766" t="s">
        <v>4266</v>
      </c>
      <c r="R766" s="6">
        <v>46026.670138888891</v>
      </c>
      <c r="S766" t="s">
        <v>43</v>
      </c>
      <c r="T766">
        <v>24.99</v>
      </c>
      <c r="U766">
        <v>0</v>
      </c>
      <c r="V766">
        <v>23.8</v>
      </c>
      <c r="W766">
        <v>1.19</v>
      </c>
      <c r="X766">
        <v>0</v>
      </c>
      <c r="Y766">
        <v>0</v>
      </c>
      <c r="Z766">
        <v>24.99</v>
      </c>
      <c r="AA766" t="s">
        <v>2704</v>
      </c>
      <c r="AB766" t="s">
        <v>45</v>
      </c>
      <c r="AC766" t="s">
        <v>46</v>
      </c>
      <c r="AD766" t="s">
        <v>2556</v>
      </c>
      <c r="AE766" t="s">
        <v>2557</v>
      </c>
      <c r="AF766" t="s">
        <v>3025</v>
      </c>
      <c r="AG766" t="s">
        <v>46</v>
      </c>
      <c r="AH766" t="s">
        <v>2372</v>
      </c>
      <c r="AI766" t="s">
        <v>37</v>
      </c>
    </row>
    <row r="767" spans="1:35" x14ac:dyDescent="0.25">
      <c r="A767" t="s">
        <v>3026</v>
      </c>
      <c r="B767" t="s">
        <v>34</v>
      </c>
      <c r="C767" t="s">
        <v>3027</v>
      </c>
      <c r="D767" t="s">
        <v>3028</v>
      </c>
      <c r="E767" t="s">
        <v>3029</v>
      </c>
      <c r="F767" t="s">
        <v>3030</v>
      </c>
      <c r="G767" t="s">
        <v>39</v>
      </c>
      <c r="H767" t="s">
        <v>40</v>
      </c>
      <c r="I767" t="s">
        <v>41</v>
      </c>
      <c r="J767" t="s">
        <v>37</v>
      </c>
      <c r="K767" t="s">
        <v>37</v>
      </c>
      <c r="L767" t="s">
        <v>42</v>
      </c>
      <c r="M767" s="6">
        <v>46027.441168981481</v>
      </c>
      <c r="N767" t="s">
        <v>4265</v>
      </c>
      <c r="O767" s="1">
        <v>46032.34375</v>
      </c>
      <c r="P767" s="1">
        <v>46027.441168981481</v>
      </c>
      <c r="Q767" t="s">
        <v>4265</v>
      </c>
      <c r="R767" s="6">
        <v>46032.680555555555</v>
      </c>
      <c r="S767" t="s">
        <v>43</v>
      </c>
      <c r="T767">
        <v>24.99</v>
      </c>
      <c r="U767">
        <v>0</v>
      </c>
      <c r="V767">
        <v>23.8</v>
      </c>
      <c r="W767">
        <v>1.19</v>
      </c>
      <c r="X767">
        <v>0</v>
      </c>
      <c r="Y767">
        <v>0</v>
      </c>
      <c r="Z767">
        <v>24.99</v>
      </c>
      <c r="AA767" t="s">
        <v>2704</v>
      </c>
      <c r="AB767" t="s">
        <v>45</v>
      </c>
      <c r="AC767" t="s">
        <v>46</v>
      </c>
      <c r="AD767" t="s">
        <v>2556</v>
      </c>
      <c r="AE767" t="s">
        <v>2557</v>
      </c>
      <c r="AF767" t="s">
        <v>3031</v>
      </c>
      <c r="AG767" t="s">
        <v>46</v>
      </c>
      <c r="AH767" t="s">
        <v>3027</v>
      </c>
      <c r="AI767" t="s">
        <v>37</v>
      </c>
    </row>
    <row r="768" spans="1:35" x14ac:dyDescent="0.25">
      <c r="A768" t="s">
        <v>3032</v>
      </c>
      <c r="B768" t="s">
        <v>34</v>
      </c>
      <c r="C768" t="s">
        <v>3027</v>
      </c>
      <c r="D768" t="s">
        <v>3028</v>
      </c>
      <c r="E768" t="s">
        <v>3029</v>
      </c>
      <c r="F768" t="s">
        <v>3030</v>
      </c>
      <c r="G768" t="s">
        <v>39</v>
      </c>
      <c r="H768" t="s">
        <v>40</v>
      </c>
      <c r="I768" t="s">
        <v>41</v>
      </c>
      <c r="J768" t="s">
        <v>37</v>
      </c>
      <c r="K768" t="s">
        <v>37</v>
      </c>
      <c r="L768" t="s">
        <v>42</v>
      </c>
      <c r="M768" s="6">
        <v>46027.441840277781</v>
      </c>
      <c r="N768" t="s">
        <v>4266</v>
      </c>
      <c r="O768" s="1">
        <v>46033.34375</v>
      </c>
      <c r="P768" s="1">
        <v>46027.441840277781</v>
      </c>
      <c r="Q768" t="s">
        <v>4266</v>
      </c>
      <c r="R768" s="6">
        <v>46033.680555555555</v>
      </c>
      <c r="S768" t="s">
        <v>43</v>
      </c>
      <c r="T768">
        <v>24.99</v>
      </c>
      <c r="U768">
        <v>0</v>
      </c>
      <c r="V768">
        <v>23.8</v>
      </c>
      <c r="W768">
        <v>1.19</v>
      </c>
      <c r="X768">
        <v>0</v>
      </c>
      <c r="Y768">
        <v>0</v>
      </c>
      <c r="Z768">
        <v>24.99</v>
      </c>
      <c r="AA768" t="s">
        <v>2704</v>
      </c>
      <c r="AB768" t="s">
        <v>45</v>
      </c>
      <c r="AC768" t="s">
        <v>46</v>
      </c>
      <c r="AD768" t="s">
        <v>2556</v>
      </c>
      <c r="AE768" t="s">
        <v>2557</v>
      </c>
      <c r="AF768" t="s">
        <v>3033</v>
      </c>
      <c r="AG768" t="s">
        <v>46</v>
      </c>
      <c r="AH768" t="s">
        <v>3027</v>
      </c>
      <c r="AI768" t="s">
        <v>37</v>
      </c>
    </row>
    <row r="769" spans="1:35" x14ac:dyDescent="0.25">
      <c r="A769" t="s">
        <v>3034</v>
      </c>
      <c r="B769" t="s">
        <v>34</v>
      </c>
      <c r="C769" t="s">
        <v>663</v>
      </c>
      <c r="D769" t="s">
        <v>3035</v>
      </c>
      <c r="E769" t="s">
        <v>3036</v>
      </c>
      <c r="F769" t="s">
        <v>665</v>
      </c>
      <c r="G769" t="s">
        <v>39</v>
      </c>
      <c r="H769" t="s">
        <v>40</v>
      </c>
      <c r="I769" t="s">
        <v>41</v>
      </c>
      <c r="J769" t="s">
        <v>37</v>
      </c>
      <c r="K769" t="s">
        <v>37</v>
      </c>
      <c r="L769" t="s">
        <v>42</v>
      </c>
      <c r="M769" s="6">
        <v>46028.539456018516</v>
      </c>
      <c r="N769" t="s">
        <v>4265</v>
      </c>
      <c r="O769" s="1">
        <v>46053.395833333336</v>
      </c>
      <c r="P769" s="1">
        <v>46028.541192129633</v>
      </c>
      <c r="Q769" t="s">
        <v>4265</v>
      </c>
      <c r="R769" s="6">
        <v>46053.711805555555</v>
      </c>
      <c r="S769" t="s">
        <v>43</v>
      </c>
      <c r="T769">
        <v>24.99</v>
      </c>
      <c r="U769">
        <v>0</v>
      </c>
      <c r="V769">
        <v>23.8</v>
      </c>
      <c r="W769">
        <v>1.19</v>
      </c>
      <c r="X769">
        <v>0</v>
      </c>
      <c r="Y769">
        <v>0</v>
      </c>
      <c r="Z769">
        <v>24.99</v>
      </c>
      <c r="AA769" t="s">
        <v>2704</v>
      </c>
      <c r="AB769" t="s">
        <v>45</v>
      </c>
      <c r="AC769" t="s">
        <v>46</v>
      </c>
      <c r="AD769" t="s">
        <v>2556</v>
      </c>
      <c r="AE769" t="s">
        <v>2557</v>
      </c>
      <c r="AF769" t="s">
        <v>3037</v>
      </c>
      <c r="AG769" t="s">
        <v>46</v>
      </c>
      <c r="AH769" t="s">
        <v>663</v>
      </c>
      <c r="AI769" t="s">
        <v>37</v>
      </c>
    </row>
    <row r="770" spans="1:35" x14ac:dyDescent="0.25">
      <c r="A770" t="s">
        <v>3038</v>
      </c>
      <c r="B770" t="s">
        <v>34</v>
      </c>
      <c r="C770" t="s">
        <v>1336</v>
      </c>
      <c r="D770" t="s">
        <v>1337</v>
      </c>
      <c r="E770" t="s">
        <v>37</v>
      </c>
      <c r="F770" t="s">
        <v>3039</v>
      </c>
      <c r="G770" t="s">
        <v>39</v>
      </c>
      <c r="H770" t="s">
        <v>40</v>
      </c>
      <c r="I770" t="s">
        <v>41</v>
      </c>
      <c r="J770" t="s">
        <v>37</v>
      </c>
      <c r="K770" t="s">
        <v>37</v>
      </c>
      <c r="L770" t="s">
        <v>42</v>
      </c>
      <c r="M770" s="6">
        <v>46029.474120370367</v>
      </c>
      <c r="N770" t="s">
        <v>4265</v>
      </c>
      <c r="O770" s="1">
        <v>46032.333333333336</v>
      </c>
      <c r="P770" s="1">
        <v>46029.474282407406</v>
      </c>
      <c r="Q770" t="s">
        <v>4266</v>
      </c>
      <c r="R770" s="6">
        <v>46033.670138888891</v>
      </c>
      <c r="S770" t="s">
        <v>43</v>
      </c>
      <c r="T770">
        <v>49.98</v>
      </c>
      <c r="U770">
        <v>0</v>
      </c>
      <c r="V770">
        <v>47.6</v>
      </c>
      <c r="W770">
        <v>2.38</v>
      </c>
      <c r="X770">
        <v>0</v>
      </c>
      <c r="Y770">
        <v>0</v>
      </c>
      <c r="Z770">
        <v>49.98</v>
      </c>
      <c r="AA770" t="s">
        <v>2704</v>
      </c>
      <c r="AB770" t="s">
        <v>45</v>
      </c>
      <c r="AC770" t="s">
        <v>46</v>
      </c>
      <c r="AD770" t="s">
        <v>2556</v>
      </c>
      <c r="AE770" t="s">
        <v>2557</v>
      </c>
      <c r="AF770" t="s">
        <v>3040</v>
      </c>
      <c r="AG770" t="s">
        <v>46</v>
      </c>
      <c r="AH770" t="s">
        <v>1336</v>
      </c>
      <c r="AI770" t="s">
        <v>37</v>
      </c>
    </row>
    <row r="771" spans="1:35" x14ac:dyDescent="0.25">
      <c r="A771" t="s">
        <v>3041</v>
      </c>
      <c r="B771" t="s">
        <v>34</v>
      </c>
      <c r="C771" t="s">
        <v>3042</v>
      </c>
      <c r="D771" t="s">
        <v>3043</v>
      </c>
      <c r="E771" t="s">
        <v>3044</v>
      </c>
      <c r="F771" t="s">
        <v>3045</v>
      </c>
      <c r="G771" t="s">
        <v>39</v>
      </c>
      <c r="H771" t="s">
        <v>40</v>
      </c>
      <c r="I771" t="s">
        <v>41</v>
      </c>
      <c r="J771" t="s">
        <v>37</v>
      </c>
      <c r="K771" t="s">
        <v>37</v>
      </c>
      <c r="L771" t="s">
        <v>42</v>
      </c>
      <c r="M771" s="6">
        <v>46031.505740740744</v>
      </c>
      <c r="N771" t="s">
        <v>4266</v>
      </c>
      <c r="O771" s="1">
        <v>46117.354166666664</v>
      </c>
      <c r="P771" s="1">
        <v>46031.505925925929</v>
      </c>
      <c r="Q771" t="s">
        <v>4266</v>
      </c>
      <c r="R771" s="6">
        <v>46117.680555555555</v>
      </c>
      <c r="S771" t="s">
        <v>43</v>
      </c>
      <c r="T771">
        <v>24.99</v>
      </c>
      <c r="U771">
        <v>0</v>
      </c>
      <c r="V771">
        <v>23.8</v>
      </c>
      <c r="W771">
        <v>1.19</v>
      </c>
      <c r="X771">
        <v>0</v>
      </c>
      <c r="Y771">
        <v>0</v>
      </c>
      <c r="Z771">
        <v>24.99</v>
      </c>
      <c r="AA771" t="s">
        <v>2704</v>
      </c>
      <c r="AB771" t="s">
        <v>45</v>
      </c>
      <c r="AC771" t="s">
        <v>46</v>
      </c>
      <c r="AD771" t="s">
        <v>2556</v>
      </c>
      <c r="AE771" t="s">
        <v>2557</v>
      </c>
      <c r="AF771" t="s">
        <v>3046</v>
      </c>
      <c r="AG771" t="s">
        <v>46</v>
      </c>
      <c r="AH771" t="s">
        <v>3042</v>
      </c>
      <c r="AI771" t="s">
        <v>37</v>
      </c>
    </row>
    <row r="772" spans="1:35" x14ac:dyDescent="0.25">
      <c r="A772" t="s">
        <v>3047</v>
      </c>
      <c r="B772" t="s">
        <v>34</v>
      </c>
      <c r="C772" t="s">
        <v>3048</v>
      </c>
      <c r="D772" t="s">
        <v>3049</v>
      </c>
      <c r="E772" t="s">
        <v>3050</v>
      </c>
      <c r="F772" t="s">
        <v>3051</v>
      </c>
      <c r="G772" t="s">
        <v>39</v>
      </c>
      <c r="H772" t="s">
        <v>40</v>
      </c>
      <c r="I772" t="s">
        <v>41</v>
      </c>
      <c r="J772" t="s">
        <v>37</v>
      </c>
      <c r="K772" t="s">
        <v>37</v>
      </c>
      <c r="L772" t="s">
        <v>42</v>
      </c>
      <c r="M772" s="6">
        <v>46031.87804398148</v>
      </c>
      <c r="N772" t="s">
        <v>4265</v>
      </c>
      <c r="O772" s="1">
        <v>46032.364583333336</v>
      </c>
      <c r="P772" s="1">
        <v>46031.878206018519</v>
      </c>
      <c r="Q772" t="s">
        <v>4265</v>
      </c>
      <c r="R772" s="6">
        <v>46032.701388888891</v>
      </c>
      <c r="S772" t="s">
        <v>43</v>
      </c>
      <c r="T772">
        <v>24.99</v>
      </c>
      <c r="U772">
        <v>0</v>
      </c>
      <c r="V772">
        <v>23.8</v>
      </c>
      <c r="W772">
        <v>1.19</v>
      </c>
      <c r="X772">
        <v>0</v>
      </c>
      <c r="Y772">
        <v>0</v>
      </c>
      <c r="Z772">
        <v>24.99</v>
      </c>
      <c r="AA772" t="s">
        <v>2704</v>
      </c>
      <c r="AB772" t="s">
        <v>45</v>
      </c>
      <c r="AC772" t="s">
        <v>46</v>
      </c>
      <c r="AD772" t="s">
        <v>2556</v>
      </c>
      <c r="AE772" t="s">
        <v>2557</v>
      </c>
      <c r="AF772" t="s">
        <v>3052</v>
      </c>
      <c r="AG772" t="s">
        <v>46</v>
      </c>
      <c r="AH772" t="s">
        <v>3048</v>
      </c>
      <c r="AI772" t="s">
        <v>37</v>
      </c>
    </row>
    <row r="773" spans="1:35" x14ac:dyDescent="0.25">
      <c r="A773" t="s">
        <v>3053</v>
      </c>
      <c r="B773" t="s">
        <v>34</v>
      </c>
      <c r="C773" t="s">
        <v>3054</v>
      </c>
      <c r="D773" t="s">
        <v>3055</v>
      </c>
      <c r="E773" t="s">
        <v>3056</v>
      </c>
      <c r="F773" t="s">
        <v>3057</v>
      </c>
      <c r="G773" t="s">
        <v>2601</v>
      </c>
      <c r="H773" t="s">
        <v>40</v>
      </c>
      <c r="I773" t="s">
        <v>41</v>
      </c>
      <c r="J773" t="s">
        <v>37</v>
      </c>
      <c r="K773" t="s">
        <v>37</v>
      </c>
      <c r="L773" t="s">
        <v>42</v>
      </c>
      <c r="M773" s="6">
        <v>46031.896747685183</v>
      </c>
      <c r="N773" t="s">
        <v>4266</v>
      </c>
      <c r="O773" s="1">
        <v>46040.375</v>
      </c>
      <c r="P773" s="1">
        <v>46031.897361111114</v>
      </c>
      <c r="Q773" t="s">
        <v>4266</v>
      </c>
      <c r="R773" s="6">
        <v>46040.711805555555</v>
      </c>
      <c r="S773" t="s">
        <v>43</v>
      </c>
      <c r="T773">
        <v>24.99</v>
      </c>
      <c r="U773">
        <v>0</v>
      </c>
      <c r="V773">
        <v>23.8</v>
      </c>
      <c r="W773">
        <v>1.19</v>
      </c>
      <c r="X773">
        <v>0</v>
      </c>
      <c r="Y773">
        <v>0</v>
      </c>
      <c r="Z773">
        <v>24.99</v>
      </c>
      <c r="AA773" t="s">
        <v>2704</v>
      </c>
      <c r="AB773" t="s">
        <v>45</v>
      </c>
      <c r="AC773" t="s">
        <v>46</v>
      </c>
      <c r="AD773" t="s">
        <v>2556</v>
      </c>
      <c r="AE773" t="s">
        <v>2557</v>
      </c>
      <c r="AF773" t="s">
        <v>3058</v>
      </c>
      <c r="AG773" t="s">
        <v>46</v>
      </c>
      <c r="AH773" t="s">
        <v>3054</v>
      </c>
      <c r="AI773" t="s">
        <v>37</v>
      </c>
    </row>
    <row r="774" spans="1:35" x14ac:dyDescent="0.25">
      <c r="A774" t="s">
        <v>3059</v>
      </c>
      <c r="B774" t="s">
        <v>34</v>
      </c>
      <c r="C774" t="s">
        <v>3060</v>
      </c>
      <c r="D774" t="s">
        <v>3061</v>
      </c>
      <c r="E774" t="s">
        <v>3062</v>
      </c>
      <c r="F774" t="s">
        <v>3063</v>
      </c>
      <c r="G774" t="s">
        <v>39</v>
      </c>
      <c r="H774" t="s">
        <v>40</v>
      </c>
      <c r="I774" t="s">
        <v>41</v>
      </c>
      <c r="J774" t="s">
        <v>37</v>
      </c>
      <c r="K774" t="s">
        <v>37</v>
      </c>
      <c r="L774" t="s">
        <v>42</v>
      </c>
      <c r="M774" s="6">
        <v>46032.531666666669</v>
      </c>
      <c r="N774" t="s">
        <v>4265</v>
      </c>
      <c r="O774" s="1">
        <v>46032.534722222219</v>
      </c>
      <c r="P774" s="1">
        <v>46032.531666666669</v>
      </c>
      <c r="Q774" t="s">
        <v>4265</v>
      </c>
      <c r="R774" s="6">
        <v>46032.711805555555</v>
      </c>
      <c r="S774" t="s">
        <v>43</v>
      </c>
      <c r="T774">
        <v>24.99</v>
      </c>
      <c r="U774">
        <v>0</v>
      </c>
      <c r="V774">
        <v>23.8</v>
      </c>
      <c r="W774">
        <v>1.19</v>
      </c>
      <c r="X774">
        <v>0</v>
      </c>
      <c r="Y774">
        <v>0</v>
      </c>
      <c r="Z774">
        <v>24.99</v>
      </c>
      <c r="AA774" t="s">
        <v>2704</v>
      </c>
      <c r="AB774" t="s">
        <v>45</v>
      </c>
      <c r="AC774" t="s">
        <v>46</v>
      </c>
      <c r="AD774" t="s">
        <v>2556</v>
      </c>
      <c r="AE774" t="s">
        <v>2557</v>
      </c>
      <c r="AF774" t="s">
        <v>3064</v>
      </c>
      <c r="AG774" t="s">
        <v>46</v>
      </c>
      <c r="AH774" t="s">
        <v>3060</v>
      </c>
      <c r="AI774" t="s">
        <v>37</v>
      </c>
    </row>
    <row r="775" spans="1:35" x14ac:dyDescent="0.25">
      <c r="A775" t="s">
        <v>3065</v>
      </c>
      <c r="B775" t="s">
        <v>34</v>
      </c>
      <c r="C775" t="s">
        <v>2662</v>
      </c>
      <c r="D775" t="s">
        <v>2663</v>
      </c>
      <c r="E775" t="s">
        <v>2664</v>
      </c>
      <c r="F775" t="s">
        <v>2665</v>
      </c>
      <c r="G775" t="s">
        <v>39</v>
      </c>
      <c r="H775" t="s">
        <v>40</v>
      </c>
      <c r="I775" t="s">
        <v>41</v>
      </c>
      <c r="J775" t="s">
        <v>37</v>
      </c>
      <c r="K775" t="s">
        <v>37</v>
      </c>
      <c r="L775" t="s">
        <v>42</v>
      </c>
      <c r="M775" s="6">
        <v>46032.955497685187</v>
      </c>
      <c r="N775" t="s">
        <v>4266</v>
      </c>
      <c r="O775" s="1">
        <v>46033.375</v>
      </c>
      <c r="P775" s="1">
        <v>46032.955497685187</v>
      </c>
      <c r="Q775" t="s">
        <v>4266</v>
      </c>
      <c r="R775" s="6">
        <v>46033.711805555555</v>
      </c>
      <c r="S775" t="s">
        <v>43</v>
      </c>
      <c r="T775">
        <v>24.99</v>
      </c>
      <c r="U775">
        <v>0</v>
      </c>
      <c r="V775">
        <v>23.8</v>
      </c>
      <c r="W775">
        <v>1.19</v>
      </c>
      <c r="X775">
        <v>0</v>
      </c>
      <c r="Y775">
        <v>0</v>
      </c>
      <c r="Z775">
        <v>24.99</v>
      </c>
      <c r="AA775" t="s">
        <v>2704</v>
      </c>
      <c r="AB775" t="s">
        <v>45</v>
      </c>
      <c r="AC775" t="s">
        <v>46</v>
      </c>
      <c r="AD775" t="s">
        <v>2556</v>
      </c>
      <c r="AE775" t="s">
        <v>2557</v>
      </c>
      <c r="AF775" t="s">
        <v>3066</v>
      </c>
      <c r="AG775" t="s">
        <v>46</v>
      </c>
      <c r="AH775" t="s">
        <v>2662</v>
      </c>
      <c r="AI775" t="s">
        <v>37</v>
      </c>
    </row>
    <row r="776" spans="1:35" x14ac:dyDescent="0.25">
      <c r="A776" t="s">
        <v>3067</v>
      </c>
      <c r="B776" t="s">
        <v>34</v>
      </c>
      <c r="C776" t="s">
        <v>3068</v>
      </c>
      <c r="D776" t="s">
        <v>3069</v>
      </c>
      <c r="E776" t="s">
        <v>3070</v>
      </c>
      <c r="F776" t="s">
        <v>3071</v>
      </c>
      <c r="G776" t="s">
        <v>39</v>
      </c>
      <c r="H776" t="s">
        <v>40</v>
      </c>
      <c r="I776" t="s">
        <v>41</v>
      </c>
      <c r="J776" t="s">
        <v>37</v>
      </c>
      <c r="K776" t="s">
        <v>37</v>
      </c>
      <c r="L776" t="s">
        <v>42</v>
      </c>
      <c r="M776" s="6">
        <v>46033.440601851849</v>
      </c>
      <c r="N776" t="s">
        <v>4266</v>
      </c>
      <c r="O776" s="1">
        <v>46033.520833333336</v>
      </c>
      <c r="P776" s="1">
        <v>46033.441064814811</v>
      </c>
      <c r="Q776" t="s">
        <v>4266</v>
      </c>
      <c r="R776" s="6">
        <v>46033.670138888891</v>
      </c>
      <c r="S776" t="s">
        <v>43</v>
      </c>
      <c r="T776">
        <v>24.99</v>
      </c>
      <c r="U776">
        <v>0</v>
      </c>
      <c r="V776">
        <v>23.8</v>
      </c>
      <c r="W776">
        <v>1.19</v>
      </c>
      <c r="X776">
        <v>0</v>
      </c>
      <c r="Y776">
        <v>0</v>
      </c>
      <c r="Z776">
        <v>24.99</v>
      </c>
      <c r="AA776" t="s">
        <v>2704</v>
      </c>
      <c r="AB776" t="s">
        <v>45</v>
      </c>
      <c r="AC776" t="s">
        <v>46</v>
      </c>
      <c r="AD776" t="s">
        <v>2556</v>
      </c>
      <c r="AE776" t="s">
        <v>2557</v>
      </c>
      <c r="AF776" t="s">
        <v>3072</v>
      </c>
      <c r="AG776" t="s">
        <v>46</v>
      </c>
      <c r="AH776" t="s">
        <v>3068</v>
      </c>
      <c r="AI776" t="s">
        <v>37</v>
      </c>
    </row>
    <row r="777" spans="1:35" x14ac:dyDescent="0.25">
      <c r="A777" t="s">
        <v>3073</v>
      </c>
      <c r="B777" t="s">
        <v>34</v>
      </c>
      <c r="C777" t="s">
        <v>1390</v>
      </c>
      <c r="D777" t="s">
        <v>3074</v>
      </c>
      <c r="E777" t="s">
        <v>3075</v>
      </c>
      <c r="F777" t="s">
        <v>1392</v>
      </c>
      <c r="G777" t="s">
        <v>39</v>
      </c>
      <c r="H777" t="s">
        <v>40</v>
      </c>
      <c r="I777" t="s">
        <v>41</v>
      </c>
      <c r="J777" t="s">
        <v>37</v>
      </c>
      <c r="K777" t="s">
        <v>37</v>
      </c>
      <c r="L777" t="s">
        <v>42</v>
      </c>
      <c r="M777" s="6">
        <v>46034.545474537037</v>
      </c>
      <c r="N777" t="s">
        <v>4265</v>
      </c>
      <c r="O777" s="1">
        <v>46039.333333333336</v>
      </c>
      <c r="P777" s="1">
        <v>46034.545960648145</v>
      </c>
      <c r="Q777" t="s">
        <v>4265</v>
      </c>
      <c r="R777" s="6">
        <v>46039.711805555555</v>
      </c>
      <c r="S777" t="s">
        <v>43</v>
      </c>
      <c r="T777">
        <v>24.99</v>
      </c>
      <c r="U777">
        <v>0</v>
      </c>
      <c r="V777">
        <v>23.8</v>
      </c>
      <c r="W777">
        <v>1.19</v>
      </c>
      <c r="X777">
        <v>0</v>
      </c>
      <c r="Y777">
        <v>0</v>
      </c>
      <c r="Z777">
        <v>24.99</v>
      </c>
      <c r="AA777" t="s">
        <v>2704</v>
      </c>
      <c r="AB777" t="s">
        <v>45</v>
      </c>
      <c r="AC777" t="s">
        <v>46</v>
      </c>
      <c r="AD777" t="s">
        <v>2556</v>
      </c>
      <c r="AE777" t="s">
        <v>2557</v>
      </c>
      <c r="AF777" t="s">
        <v>3076</v>
      </c>
      <c r="AG777" t="s">
        <v>46</v>
      </c>
      <c r="AH777" t="s">
        <v>1390</v>
      </c>
      <c r="AI777" t="s">
        <v>37</v>
      </c>
    </row>
    <row r="778" spans="1:35" x14ac:dyDescent="0.25">
      <c r="A778" t="s">
        <v>3077</v>
      </c>
      <c r="B778" t="s">
        <v>34</v>
      </c>
      <c r="C778" t="s">
        <v>1390</v>
      </c>
      <c r="D778" t="s">
        <v>3074</v>
      </c>
      <c r="E778" t="s">
        <v>3075</v>
      </c>
      <c r="F778" t="s">
        <v>1392</v>
      </c>
      <c r="G778" t="s">
        <v>39</v>
      </c>
      <c r="H778" t="s">
        <v>40</v>
      </c>
      <c r="I778" t="s">
        <v>41</v>
      </c>
      <c r="J778" t="s">
        <v>37</v>
      </c>
      <c r="K778" t="s">
        <v>37</v>
      </c>
      <c r="L778" t="s">
        <v>42</v>
      </c>
      <c r="M778" s="6">
        <v>46034.547314814816</v>
      </c>
      <c r="N778" t="s">
        <v>4266</v>
      </c>
      <c r="O778" s="1">
        <v>46040.322916666664</v>
      </c>
      <c r="P778" s="1">
        <v>46034.547314814816</v>
      </c>
      <c r="Q778" t="s">
        <v>4266</v>
      </c>
      <c r="R778" s="6">
        <v>46040.711805555555</v>
      </c>
      <c r="S778" t="s">
        <v>43</v>
      </c>
      <c r="T778">
        <v>24.99</v>
      </c>
      <c r="U778">
        <v>0</v>
      </c>
      <c r="V778">
        <v>23.8</v>
      </c>
      <c r="W778">
        <v>1.19</v>
      </c>
      <c r="X778">
        <v>0</v>
      </c>
      <c r="Y778">
        <v>0</v>
      </c>
      <c r="Z778">
        <v>24.99</v>
      </c>
      <c r="AA778" t="s">
        <v>2704</v>
      </c>
      <c r="AB778" t="s">
        <v>45</v>
      </c>
      <c r="AC778" t="s">
        <v>46</v>
      </c>
      <c r="AD778" t="s">
        <v>2556</v>
      </c>
      <c r="AE778" t="s">
        <v>2557</v>
      </c>
      <c r="AF778" t="s">
        <v>3078</v>
      </c>
      <c r="AG778" t="s">
        <v>46</v>
      </c>
      <c r="AH778" t="s">
        <v>1390</v>
      </c>
      <c r="AI778" t="s">
        <v>37</v>
      </c>
    </row>
    <row r="779" spans="1:35" x14ac:dyDescent="0.25">
      <c r="A779" t="s">
        <v>3079</v>
      </c>
      <c r="B779" t="s">
        <v>34</v>
      </c>
      <c r="C779" t="s">
        <v>3080</v>
      </c>
      <c r="D779" t="s">
        <v>3081</v>
      </c>
      <c r="E779" t="s">
        <v>3082</v>
      </c>
      <c r="F779" t="s">
        <v>3083</v>
      </c>
      <c r="G779" t="s">
        <v>39</v>
      </c>
      <c r="H779" t="s">
        <v>40</v>
      </c>
      <c r="I779" t="s">
        <v>41</v>
      </c>
      <c r="J779" t="s">
        <v>37</v>
      </c>
      <c r="K779" t="s">
        <v>37</v>
      </c>
      <c r="L779" t="s">
        <v>42</v>
      </c>
      <c r="M779" s="6">
        <v>46034.808935185189</v>
      </c>
      <c r="N779" t="s">
        <v>4265</v>
      </c>
      <c r="O779" s="1">
        <v>46060.354166666664</v>
      </c>
      <c r="P779" s="1">
        <v>46034.809178240743</v>
      </c>
      <c r="Q779" t="s">
        <v>4266</v>
      </c>
      <c r="R779" s="6">
        <v>46061.711805555555</v>
      </c>
      <c r="S779" t="s">
        <v>43</v>
      </c>
      <c r="T779">
        <v>49.98</v>
      </c>
      <c r="U779">
        <v>0</v>
      </c>
      <c r="V779">
        <v>47.6</v>
      </c>
      <c r="W779">
        <v>2.38</v>
      </c>
      <c r="X779">
        <v>0</v>
      </c>
      <c r="Y779">
        <v>0</v>
      </c>
      <c r="Z779">
        <v>49.98</v>
      </c>
      <c r="AA779" t="s">
        <v>2704</v>
      </c>
      <c r="AB779" t="s">
        <v>45</v>
      </c>
      <c r="AC779" t="s">
        <v>46</v>
      </c>
      <c r="AD779" t="s">
        <v>2556</v>
      </c>
      <c r="AE779" t="s">
        <v>2557</v>
      </c>
      <c r="AF779" t="s">
        <v>3084</v>
      </c>
      <c r="AG779" t="s">
        <v>46</v>
      </c>
      <c r="AH779" t="s">
        <v>3080</v>
      </c>
      <c r="AI779" t="s">
        <v>37</v>
      </c>
    </row>
    <row r="780" spans="1:35" x14ac:dyDescent="0.25">
      <c r="A780" t="s">
        <v>3085</v>
      </c>
      <c r="B780" t="s">
        <v>34</v>
      </c>
      <c r="C780" t="s">
        <v>3086</v>
      </c>
      <c r="D780" t="s">
        <v>3087</v>
      </c>
      <c r="E780" t="s">
        <v>3088</v>
      </c>
      <c r="F780" t="s">
        <v>3089</v>
      </c>
      <c r="G780" t="s">
        <v>39</v>
      </c>
      <c r="H780" t="s">
        <v>40</v>
      </c>
      <c r="I780" t="s">
        <v>41</v>
      </c>
      <c r="J780" t="s">
        <v>37</v>
      </c>
      <c r="K780" t="s">
        <v>37</v>
      </c>
      <c r="L780" t="s">
        <v>42</v>
      </c>
      <c r="M780" s="6">
        <v>46036.891388888886</v>
      </c>
      <c r="N780" t="s">
        <v>4266</v>
      </c>
      <c r="O780" s="1">
        <v>46040.395833333336</v>
      </c>
      <c r="P780" s="1">
        <v>46036.891805555555</v>
      </c>
      <c r="Q780" t="s">
        <v>4266</v>
      </c>
      <c r="R780" s="6">
        <v>46040.670138888891</v>
      </c>
      <c r="S780" t="s">
        <v>43</v>
      </c>
      <c r="T780">
        <v>24.99</v>
      </c>
      <c r="U780">
        <v>0</v>
      </c>
      <c r="V780">
        <v>23.8</v>
      </c>
      <c r="W780">
        <v>1.19</v>
      </c>
      <c r="X780">
        <v>0</v>
      </c>
      <c r="Y780">
        <v>0</v>
      </c>
      <c r="Z780">
        <v>24.99</v>
      </c>
      <c r="AA780" t="s">
        <v>2704</v>
      </c>
      <c r="AB780" t="s">
        <v>45</v>
      </c>
      <c r="AC780" t="s">
        <v>46</v>
      </c>
      <c r="AD780" t="s">
        <v>2556</v>
      </c>
      <c r="AE780" t="s">
        <v>2557</v>
      </c>
      <c r="AF780" t="s">
        <v>3090</v>
      </c>
      <c r="AG780" t="s">
        <v>46</v>
      </c>
      <c r="AH780" t="s">
        <v>3086</v>
      </c>
      <c r="AI780" t="s">
        <v>37</v>
      </c>
    </row>
    <row r="781" spans="1:35" x14ac:dyDescent="0.25">
      <c r="A781" t="s">
        <v>3091</v>
      </c>
      <c r="B781" t="s">
        <v>34</v>
      </c>
      <c r="C781" t="s">
        <v>365</v>
      </c>
      <c r="D781" t="s">
        <v>366</v>
      </c>
      <c r="E781" t="s">
        <v>37</v>
      </c>
      <c r="F781" t="s">
        <v>367</v>
      </c>
      <c r="G781" t="s">
        <v>39</v>
      </c>
      <c r="H781" t="s">
        <v>40</v>
      </c>
      <c r="I781" t="s">
        <v>41</v>
      </c>
      <c r="J781" t="s">
        <v>37</v>
      </c>
      <c r="K781" t="s">
        <v>37</v>
      </c>
      <c r="L781" t="s">
        <v>42</v>
      </c>
      <c r="M781" s="6">
        <v>46038.749780092592</v>
      </c>
      <c r="N781" t="s">
        <v>4265</v>
      </c>
      <c r="O781" s="1">
        <v>46039.375</v>
      </c>
      <c r="P781" s="1">
        <v>46038.750543981485</v>
      </c>
      <c r="Q781" t="s">
        <v>4265</v>
      </c>
      <c r="R781" s="6">
        <v>46039.711805555555</v>
      </c>
      <c r="S781" t="s">
        <v>43</v>
      </c>
      <c r="T781">
        <v>24.99</v>
      </c>
      <c r="U781">
        <v>0</v>
      </c>
      <c r="V781">
        <v>23.8</v>
      </c>
      <c r="W781">
        <v>1.19</v>
      </c>
      <c r="X781">
        <v>0</v>
      </c>
      <c r="Y781">
        <v>0</v>
      </c>
      <c r="Z781">
        <v>24.99</v>
      </c>
      <c r="AA781" t="s">
        <v>2704</v>
      </c>
      <c r="AB781" t="s">
        <v>45</v>
      </c>
      <c r="AC781" t="s">
        <v>46</v>
      </c>
      <c r="AD781" t="s">
        <v>2556</v>
      </c>
      <c r="AE781" t="s">
        <v>2557</v>
      </c>
      <c r="AF781" t="s">
        <v>3092</v>
      </c>
      <c r="AG781" t="s">
        <v>46</v>
      </c>
      <c r="AH781" t="s">
        <v>365</v>
      </c>
      <c r="AI781" t="s">
        <v>37</v>
      </c>
    </row>
    <row r="782" spans="1:35" x14ac:dyDescent="0.25">
      <c r="A782" t="s">
        <v>3093</v>
      </c>
      <c r="B782" t="s">
        <v>34</v>
      </c>
      <c r="C782" t="s">
        <v>3094</v>
      </c>
      <c r="D782" t="s">
        <v>3095</v>
      </c>
      <c r="E782" t="s">
        <v>3096</v>
      </c>
      <c r="F782" t="s">
        <v>3097</v>
      </c>
      <c r="G782" t="s">
        <v>39</v>
      </c>
      <c r="H782" t="s">
        <v>40</v>
      </c>
      <c r="I782" t="s">
        <v>41</v>
      </c>
      <c r="J782" t="s">
        <v>37</v>
      </c>
      <c r="K782" t="s">
        <v>37</v>
      </c>
      <c r="L782" t="s">
        <v>42</v>
      </c>
      <c r="M782" s="6">
        <v>46039.895150462966</v>
      </c>
      <c r="N782" t="s">
        <v>4266</v>
      </c>
      <c r="O782" s="1">
        <v>46040.375</v>
      </c>
      <c r="P782" s="1">
        <v>46039.895150462966</v>
      </c>
      <c r="Q782" t="s">
        <v>4266</v>
      </c>
      <c r="R782" s="6">
        <v>46040.670138888891</v>
      </c>
      <c r="S782" t="s">
        <v>43</v>
      </c>
      <c r="T782">
        <v>24.99</v>
      </c>
      <c r="U782">
        <v>0</v>
      </c>
      <c r="V782">
        <v>23.8</v>
      </c>
      <c r="W782">
        <v>1.19</v>
      </c>
      <c r="X782">
        <v>0</v>
      </c>
      <c r="Y782">
        <v>0</v>
      </c>
      <c r="Z782">
        <v>24.99</v>
      </c>
      <c r="AA782" t="s">
        <v>2704</v>
      </c>
      <c r="AB782" t="s">
        <v>45</v>
      </c>
      <c r="AC782" t="s">
        <v>46</v>
      </c>
      <c r="AD782" t="s">
        <v>2556</v>
      </c>
      <c r="AE782" t="s">
        <v>2557</v>
      </c>
      <c r="AF782" t="s">
        <v>3098</v>
      </c>
      <c r="AG782" t="s">
        <v>46</v>
      </c>
      <c r="AH782" t="s">
        <v>3094</v>
      </c>
      <c r="AI782" t="s">
        <v>37</v>
      </c>
    </row>
    <row r="783" spans="1:35" x14ac:dyDescent="0.25">
      <c r="A783" t="s">
        <v>3099</v>
      </c>
      <c r="B783" t="s">
        <v>34</v>
      </c>
      <c r="C783" t="s">
        <v>3100</v>
      </c>
      <c r="D783" t="s">
        <v>3101</v>
      </c>
      <c r="E783" t="s">
        <v>3102</v>
      </c>
      <c r="F783" t="s">
        <v>2879</v>
      </c>
      <c r="G783" t="s">
        <v>2601</v>
      </c>
      <c r="H783" t="s">
        <v>40</v>
      </c>
      <c r="I783" t="s">
        <v>41</v>
      </c>
      <c r="J783" t="s">
        <v>37</v>
      </c>
      <c r="K783" t="s">
        <v>37</v>
      </c>
      <c r="L783" t="s">
        <v>42</v>
      </c>
      <c r="M783" s="6">
        <v>46044.897488425922</v>
      </c>
      <c r="N783" t="s">
        <v>4268</v>
      </c>
      <c r="O783" s="1">
        <v>46045.354166666664</v>
      </c>
      <c r="P783" s="1">
        <v>46044.897662037038</v>
      </c>
      <c r="Q783" t="s">
        <v>4268</v>
      </c>
      <c r="R783" s="6">
        <v>46045.628472222219</v>
      </c>
      <c r="S783" t="s">
        <v>43</v>
      </c>
      <c r="T783">
        <v>24.99</v>
      </c>
      <c r="U783">
        <v>0</v>
      </c>
      <c r="V783">
        <v>23.8</v>
      </c>
      <c r="W783">
        <v>1.19</v>
      </c>
      <c r="X783">
        <v>0</v>
      </c>
      <c r="Y783">
        <v>0</v>
      </c>
      <c r="Z783">
        <v>24.99</v>
      </c>
      <c r="AA783" t="s">
        <v>2704</v>
      </c>
      <c r="AB783" t="s">
        <v>45</v>
      </c>
      <c r="AC783" t="s">
        <v>46</v>
      </c>
      <c r="AD783" t="s">
        <v>2556</v>
      </c>
      <c r="AE783" t="s">
        <v>2557</v>
      </c>
      <c r="AF783" t="s">
        <v>3103</v>
      </c>
      <c r="AG783" t="s">
        <v>46</v>
      </c>
      <c r="AH783" t="s">
        <v>3100</v>
      </c>
      <c r="AI783" t="s">
        <v>37</v>
      </c>
    </row>
    <row r="784" spans="1:35" x14ac:dyDescent="0.25">
      <c r="A784" t="s">
        <v>3104</v>
      </c>
      <c r="B784" t="s">
        <v>34</v>
      </c>
      <c r="C784" t="s">
        <v>2700</v>
      </c>
      <c r="D784" t="s">
        <v>2701</v>
      </c>
      <c r="E784" t="s">
        <v>2702</v>
      </c>
      <c r="F784" t="s">
        <v>2703</v>
      </c>
      <c r="G784" t="s">
        <v>39</v>
      </c>
      <c r="H784" t="s">
        <v>40</v>
      </c>
      <c r="I784" t="s">
        <v>41</v>
      </c>
      <c r="J784" t="s">
        <v>37</v>
      </c>
      <c r="K784" t="s">
        <v>37</v>
      </c>
      <c r="L784" t="s">
        <v>42</v>
      </c>
      <c r="M784" s="6">
        <v>46045.024097222224</v>
      </c>
      <c r="N784" t="s">
        <v>4265</v>
      </c>
      <c r="O784" s="1">
        <v>46046.375</v>
      </c>
      <c r="P784" s="1">
        <v>46045.024108796293</v>
      </c>
      <c r="Q784" t="s">
        <v>4265</v>
      </c>
      <c r="R784" s="6">
        <v>46046.711805555555</v>
      </c>
      <c r="S784" t="s">
        <v>43</v>
      </c>
      <c r="T784">
        <v>24.99</v>
      </c>
      <c r="U784">
        <v>0</v>
      </c>
      <c r="V784">
        <v>23.8</v>
      </c>
      <c r="W784">
        <v>1.19</v>
      </c>
      <c r="X784">
        <v>0</v>
      </c>
      <c r="Y784">
        <v>0</v>
      </c>
      <c r="Z784">
        <v>24.99</v>
      </c>
      <c r="AA784" t="s">
        <v>2704</v>
      </c>
      <c r="AB784" t="s">
        <v>45</v>
      </c>
      <c r="AC784" t="s">
        <v>46</v>
      </c>
      <c r="AD784" t="s">
        <v>2556</v>
      </c>
      <c r="AE784" t="s">
        <v>2557</v>
      </c>
      <c r="AF784" t="s">
        <v>3105</v>
      </c>
      <c r="AG784" t="s">
        <v>46</v>
      </c>
      <c r="AH784" t="s">
        <v>2700</v>
      </c>
      <c r="AI784" t="s">
        <v>37</v>
      </c>
    </row>
    <row r="785" spans="1:35" x14ac:dyDescent="0.25">
      <c r="A785" t="s">
        <v>3106</v>
      </c>
      <c r="B785" t="s">
        <v>34</v>
      </c>
      <c r="C785" t="s">
        <v>3107</v>
      </c>
      <c r="D785" t="s">
        <v>3108</v>
      </c>
      <c r="E785" t="s">
        <v>3109</v>
      </c>
      <c r="F785" t="s">
        <v>3110</v>
      </c>
      <c r="G785" t="s">
        <v>2601</v>
      </c>
      <c r="H785" t="s">
        <v>40</v>
      </c>
      <c r="I785" t="s">
        <v>41</v>
      </c>
      <c r="J785" t="s">
        <v>37</v>
      </c>
      <c r="K785" t="s">
        <v>37</v>
      </c>
      <c r="L785" t="s">
        <v>42</v>
      </c>
      <c r="M785" s="6">
        <v>46045.185925925929</v>
      </c>
      <c r="N785" t="s">
        <v>4268</v>
      </c>
      <c r="O785" s="1">
        <v>46045.385416666664</v>
      </c>
      <c r="P785" s="1">
        <v>46045.186724537038</v>
      </c>
      <c r="Q785" t="s">
        <v>4268</v>
      </c>
      <c r="R785" s="6">
        <v>46045.701388888891</v>
      </c>
      <c r="S785" t="s">
        <v>43</v>
      </c>
      <c r="T785">
        <v>24.99</v>
      </c>
      <c r="U785">
        <v>0</v>
      </c>
      <c r="V785">
        <v>23.8</v>
      </c>
      <c r="W785">
        <v>1.19</v>
      </c>
      <c r="X785">
        <v>0</v>
      </c>
      <c r="Y785">
        <v>0</v>
      </c>
      <c r="Z785">
        <v>24.99</v>
      </c>
      <c r="AA785" t="s">
        <v>2704</v>
      </c>
      <c r="AB785" t="s">
        <v>45</v>
      </c>
      <c r="AC785" t="s">
        <v>46</v>
      </c>
      <c r="AD785" t="s">
        <v>2556</v>
      </c>
      <c r="AE785" t="s">
        <v>2557</v>
      </c>
      <c r="AF785" t="s">
        <v>3111</v>
      </c>
      <c r="AG785" t="s">
        <v>46</v>
      </c>
      <c r="AH785" t="s">
        <v>3107</v>
      </c>
      <c r="AI785" t="s">
        <v>37</v>
      </c>
    </row>
    <row r="786" spans="1:35" x14ac:dyDescent="0.25">
      <c r="A786" t="s">
        <v>3112</v>
      </c>
      <c r="B786" t="s">
        <v>34</v>
      </c>
      <c r="C786" t="s">
        <v>3113</v>
      </c>
      <c r="D786" t="s">
        <v>3114</v>
      </c>
      <c r="E786" t="s">
        <v>3115</v>
      </c>
      <c r="F786" t="s">
        <v>3116</v>
      </c>
      <c r="G786" t="s">
        <v>2601</v>
      </c>
      <c r="H786" t="s">
        <v>40</v>
      </c>
      <c r="I786" t="s">
        <v>41</v>
      </c>
      <c r="J786" t="s">
        <v>37</v>
      </c>
      <c r="K786" t="s">
        <v>37</v>
      </c>
      <c r="L786" t="s">
        <v>42</v>
      </c>
      <c r="M786" s="6">
        <v>46045.661817129629</v>
      </c>
      <c r="N786" t="s">
        <v>4265</v>
      </c>
      <c r="O786" s="1">
        <v>46046.375</v>
      </c>
      <c r="P786" s="1">
        <v>46045.662175925929</v>
      </c>
      <c r="Q786" t="s">
        <v>4265</v>
      </c>
      <c r="R786" s="6">
        <v>46046.711805555555</v>
      </c>
      <c r="S786" t="s">
        <v>43</v>
      </c>
      <c r="T786">
        <v>24.99</v>
      </c>
      <c r="U786">
        <v>0</v>
      </c>
      <c r="V786">
        <v>23.8</v>
      </c>
      <c r="W786">
        <v>1.19</v>
      </c>
      <c r="X786">
        <v>0</v>
      </c>
      <c r="Y786">
        <v>0</v>
      </c>
      <c r="Z786">
        <v>24.99</v>
      </c>
      <c r="AA786" t="s">
        <v>2704</v>
      </c>
      <c r="AB786" t="s">
        <v>45</v>
      </c>
      <c r="AC786" t="s">
        <v>46</v>
      </c>
      <c r="AD786" t="s">
        <v>2556</v>
      </c>
      <c r="AE786" t="s">
        <v>2557</v>
      </c>
      <c r="AF786" t="s">
        <v>3117</v>
      </c>
      <c r="AG786" t="s">
        <v>46</v>
      </c>
      <c r="AH786" t="s">
        <v>3113</v>
      </c>
      <c r="AI786" t="s">
        <v>37</v>
      </c>
    </row>
    <row r="787" spans="1:35" x14ac:dyDescent="0.25">
      <c r="A787" t="s">
        <v>3118</v>
      </c>
      <c r="B787" t="s">
        <v>34</v>
      </c>
      <c r="C787" t="s">
        <v>3119</v>
      </c>
      <c r="D787" t="s">
        <v>3120</v>
      </c>
      <c r="E787" t="s">
        <v>3121</v>
      </c>
      <c r="F787" t="s">
        <v>3122</v>
      </c>
      <c r="G787" t="s">
        <v>39</v>
      </c>
      <c r="H787" t="s">
        <v>40</v>
      </c>
      <c r="I787" t="s">
        <v>41</v>
      </c>
      <c r="J787" t="s">
        <v>37</v>
      </c>
      <c r="K787" t="s">
        <v>37</v>
      </c>
      <c r="L787" t="s">
        <v>42</v>
      </c>
      <c r="M787" s="6">
        <v>46045.892974537041</v>
      </c>
      <c r="N787" t="s">
        <v>4265</v>
      </c>
      <c r="O787" s="1">
        <v>46046.354166666664</v>
      </c>
      <c r="P787" s="1">
        <v>46045.893425925926</v>
      </c>
      <c r="Q787" t="s">
        <v>4265</v>
      </c>
      <c r="R787" s="6">
        <v>46046.670138888891</v>
      </c>
      <c r="S787" t="s">
        <v>43</v>
      </c>
      <c r="T787">
        <v>24.99</v>
      </c>
      <c r="U787">
        <v>0</v>
      </c>
      <c r="V787">
        <v>23.8</v>
      </c>
      <c r="W787">
        <v>1.19</v>
      </c>
      <c r="X787">
        <v>0</v>
      </c>
      <c r="Y787">
        <v>0</v>
      </c>
      <c r="Z787">
        <v>24.99</v>
      </c>
      <c r="AA787" t="s">
        <v>2704</v>
      </c>
      <c r="AB787" t="s">
        <v>45</v>
      </c>
      <c r="AC787" t="s">
        <v>46</v>
      </c>
      <c r="AD787" t="s">
        <v>2556</v>
      </c>
      <c r="AE787" t="s">
        <v>2557</v>
      </c>
      <c r="AF787" t="s">
        <v>3123</v>
      </c>
      <c r="AG787" t="s">
        <v>46</v>
      </c>
      <c r="AH787" t="s">
        <v>3119</v>
      </c>
      <c r="AI787" t="s">
        <v>37</v>
      </c>
    </row>
    <row r="788" spans="1:35" x14ac:dyDescent="0.25">
      <c r="A788" t="s">
        <v>3124</v>
      </c>
      <c r="B788" t="s">
        <v>34</v>
      </c>
      <c r="C788" t="s">
        <v>3125</v>
      </c>
      <c r="D788" t="s">
        <v>3126</v>
      </c>
      <c r="E788" t="s">
        <v>3127</v>
      </c>
      <c r="F788" t="s">
        <v>3128</v>
      </c>
      <c r="G788" t="s">
        <v>39</v>
      </c>
      <c r="H788" t="s">
        <v>40</v>
      </c>
      <c r="I788" t="s">
        <v>41</v>
      </c>
      <c r="J788" t="s">
        <v>37</v>
      </c>
      <c r="K788" t="s">
        <v>37</v>
      </c>
      <c r="L788" t="s">
        <v>42</v>
      </c>
      <c r="M788" s="6">
        <v>46046.323020833333</v>
      </c>
      <c r="N788" t="s">
        <v>4265</v>
      </c>
      <c r="O788" s="1">
        <v>46046.395833333336</v>
      </c>
      <c r="P788" s="1">
        <v>46046.323773148149</v>
      </c>
      <c r="Q788" t="s">
        <v>4265</v>
      </c>
      <c r="R788" s="6">
        <v>46046.690972222219</v>
      </c>
      <c r="S788" t="s">
        <v>43</v>
      </c>
      <c r="T788">
        <v>24.99</v>
      </c>
      <c r="U788">
        <v>0</v>
      </c>
      <c r="V788">
        <v>23.8</v>
      </c>
      <c r="W788">
        <v>1.19</v>
      </c>
      <c r="X788">
        <v>0</v>
      </c>
      <c r="Y788">
        <v>0</v>
      </c>
      <c r="Z788">
        <v>24.99</v>
      </c>
      <c r="AA788" t="s">
        <v>2704</v>
      </c>
      <c r="AB788" t="s">
        <v>45</v>
      </c>
      <c r="AC788" t="s">
        <v>46</v>
      </c>
      <c r="AD788" t="s">
        <v>2556</v>
      </c>
      <c r="AE788" t="s">
        <v>2557</v>
      </c>
      <c r="AF788" t="s">
        <v>3129</v>
      </c>
      <c r="AG788" t="s">
        <v>46</v>
      </c>
      <c r="AH788" t="s">
        <v>3125</v>
      </c>
      <c r="AI788" t="s">
        <v>37</v>
      </c>
    </row>
    <row r="789" spans="1:35" x14ac:dyDescent="0.25">
      <c r="A789" t="s">
        <v>3130</v>
      </c>
      <c r="B789" t="s">
        <v>34</v>
      </c>
      <c r="C789" t="s">
        <v>3131</v>
      </c>
      <c r="D789" t="s">
        <v>3132</v>
      </c>
      <c r="E789" t="s">
        <v>3133</v>
      </c>
      <c r="F789" t="s">
        <v>3134</v>
      </c>
      <c r="G789" t="s">
        <v>39</v>
      </c>
      <c r="H789" t="s">
        <v>40</v>
      </c>
      <c r="I789" t="s">
        <v>41</v>
      </c>
      <c r="J789" t="s">
        <v>37</v>
      </c>
      <c r="K789" t="s">
        <v>37</v>
      </c>
      <c r="L789" t="s">
        <v>42</v>
      </c>
      <c r="M789" s="6">
        <v>46046.392326388886</v>
      </c>
      <c r="N789" t="s">
        <v>4265</v>
      </c>
      <c r="O789" s="1">
        <v>46046.395833333336</v>
      </c>
      <c r="P789" s="1">
        <v>46046.392500000002</v>
      </c>
      <c r="Q789" t="s">
        <v>4265</v>
      </c>
      <c r="R789" s="6">
        <v>46046.711805555555</v>
      </c>
      <c r="S789" t="s">
        <v>43</v>
      </c>
      <c r="T789">
        <v>24.99</v>
      </c>
      <c r="U789">
        <v>0</v>
      </c>
      <c r="V789">
        <v>23.8</v>
      </c>
      <c r="W789">
        <v>1.19</v>
      </c>
      <c r="X789">
        <v>0</v>
      </c>
      <c r="Y789">
        <v>0</v>
      </c>
      <c r="Z789">
        <v>24.99</v>
      </c>
      <c r="AA789" t="s">
        <v>2704</v>
      </c>
      <c r="AB789" t="s">
        <v>45</v>
      </c>
      <c r="AC789" t="s">
        <v>46</v>
      </c>
      <c r="AD789" t="s">
        <v>2556</v>
      </c>
      <c r="AE789" t="s">
        <v>2557</v>
      </c>
      <c r="AF789" t="s">
        <v>3135</v>
      </c>
      <c r="AG789" t="s">
        <v>46</v>
      </c>
      <c r="AH789" t="s">
        <v>3131</v>
      </c>
      <c r="AI789" t="s">
        <v>37</v>
      </c>
    </row>
    <row r="790" spans="1:35" x14ac:dyDescent="0.25">
      <c r="A790" t="s">
        <v>3136</v>
      </c>
      <c r="B790" t="s">
        <v>34</v>
      </c>
      <c r="C790" t="s">
        <v>2610</v>
      </c>
      <c r="D790" t="s">
        <v>2611</v>
      </c>
      <c r="E790" t="s">
        <v>2612</v>
      </c>
      <c r="F790" t="s">
        <v>2613</v>
      </c>
      <c r="G790" t="s">
        <v>39</v>
      </c>
      <c r="H790" t="s">
        <v>40</v>
      </c>
      <c r="I790" t="s">
        <v>41</v>
      </c>
      <c r="J790" t="s">
        <v>37</v>
      </c>
      <c r="K790" t="s">
        <v>37</v>
      </c>
      <c r="L790" t="s">
        <v>42</v>
      </c>
      <c r="M790" s="6">
        <v>46046.662222222221</v>
      </c>
      <c r="N790" t="s">
        <v>4265</v>
      </c>
      <c r="O790" s="1">
        <v>46067.375</v>
      </c>
      <c r="P790" s="1">
        <v>46046.662222222221</v>
      </c>
      <c r="Q790" t="s">
        <v>4265</v>
      </c>
      <c r="R790" s="6">
        <v>46067.711805555555</v>
      </c>
      <c r="S790" t="s">
        <v>43</v>
      </c>
      <c r="T790">
        <v>24.99</v>
      </c>
      <c r="U790">
        <v>0</v>
      </c>
      <c r="V790">
        <v>23.8</v>
      </c>
      <c r="W790">
        <v>1.19</v>
      </c>
      <c r="X790">
        <v>0</v>
      </c>
      <c r="Y790">
        <v>0</v>
      </c>
      <c r="Z790">
        <v>24.99</v>
      </c>
      <c r="AA790" t="s">
        <v>2704</v>
      </c>
      <c r="AB790" t="s">
        <v>45</v>
      </c>
      <c r="AC790" t="s">
        <v>46</v>
      </c>
      <c r="AD790" t="s">
        <v>2556</v>
      </c>
      <c r="AE790" t="s">
        <v>2557</v>
      </c>
      <c r="AF790" t="s">
        <v>3137</v>
      </c>
      <c r="AG790" t="s">
        <v>46</v>
      </c>
      <c r="AH790" t="s">
        <v>2610</v>
      </c>
      <c r="AI790" t="s">
        <v>37</v>
      </c>
    </row>
    <row r="791" spans="1:35" x14ac:dyDescent="0.25">
      <c r="A791" t="s">
        <v>3138</v>
      </c>
      <c r="B791" t="s">
        <v>34</v>
      </c>
      <c r="C791" t="s">
        <v>3139</v>
      </c>
      <c r="D791" t="s">
        <v>3140</v>
      </c>
      <c r="E791" t="s">
        <v>3141</v>
      </c>
      <c r="F791" t="s">
        <v>3142</v>
      </c>
      <c r="G791" t="s">
        <v>39</v>
      </c>
      <c r="H791" t="s">
        <v>40</v>
      </c>
      <c r="I791" t="s">
        <v>41</v>
      </c>
      <c r="J791" t="s">
        <v>37</v>
      </c>
      <c r="K791" t="s">
        <v>37</v>
      </c>
      <c r="L791" t="s">
        <v>42</v>
      </c>
      <c r="M791" s="6">
        <v>46046.832442129627</v>
      </c>
      <c r="N791" t="s">
        <v>4266</v>
      </c>
      <c r="O791" s="1">
        <v>46047.354166666664</v>
      </c>
      <c r="P791" s="1">
        <v>46046.832569444443</v>
      </c>
      <c r="Q791" t="s">
        <v>4266</v>
      </c>
      <c r="R791" s="6">
        <v>46047.711805555555</v>
      </c>
      <c r="S791" t="s">
        <v>43</v>
      </c>
      <c r="T791">
        <v>24.99</v>
      </c>
      <c r="U791">
        <v>0</v>
      </c>
      <c r="V791">
        <v>23.8</v>
      </c>
      <c r="W791">
        <v>1.19</v>
      </c>
      <c r="X791">
        <v>0</v>
      </c>
      <c r="Y791">
        <v>0</v>
      </c>
      <c r="Z791">
        <v>24.99</v>
      </c>
      <c r="AA791" t="s">
        <v>2704</v>
      </c>
      <c r="AB791" t="s">
        <v>45</v>
      </c>
      <c r="AC791" t="s">
        <v>46</v>
      </c>
      <c r="AD791" t="s">
        <v>2556</v>
      </c>
      <c r="AE791" t="s">
        <v>2557</v>
      </c>
      <c r="AF791" t="s">
        <v>3143</v>
      </c>
      <c r="AG791" t="s">
        <v>46</v>
      </c>
      <c r="AH791" t="s">
        <v>3139</v>
      </c>
      <c r="AI791" t="s">
        <v>37</v>
      </c>
    </row>
    <row r="792" spans="1:35" x14ac:dyDescent="0.25">
      <c r="A792" t="s">
        <v>3144</v>
      </c>
      <c r="B792" t="s">
        <v>34</v>
      </c>
      <c r="C792" t="s">
        <v>3145</v>
      </c>
      <c r="D792" t="s">
        <v>3146</v>
      </c>
      <c r="E792" t="s">
        <v>3147</v>
      </c>
      <c r="F792" t="s">
        <v>3122</v>
      </c>
      <c r="G792" t="s">
        <v>39</v>
      </c>
      <c r="H792" t="s">
        <v>40</v>
      </c>
      <c r="I792" t="s">
        <v>41</v>
      </c>
      <c r="J792" t="s">
        <v>37</v>
      </c>
      <c r="K792" t="s">
        <v>37</v>
      </c>
      <c r="L792" t="s">
        <v>42</v>
      </c>
      <c r="M792" s="6">
        <v>46046.988402777781</v>
      </c>
      <c r="N792" t="s">
        <v>4266</v>
      </c>
      <c r="O792" s="1">
        <v>46047.364583333336</v>
      </c>
      <c r="P792" s="1">
        <v>46046.988865740743</v>
      </c>
      <c r="Q792" t="s">
        <v>4266</v>
      </c>
      <c r="R792" s="6">
        <v>46047.628472222219</v>
      </c>
      <c r="S792" t="s">
        <v>43</v>
      </c>
      <c r="T792">
        <v>24.99</v>
      </c>
      <c r="U792">
        <v>0</v>
      </c>
      <c r="V792">
        <v>23.8</v>
      </c>
      <c r="W792">
        <v>1.19</v>
      </c>
      <c r="X792">
        <v>0</v>
      </c>
      <c r="Y792">
        <v>0</v>
      </c>
      <c r="Z792">
        <v>24.99</v>
      </c>
      <c r="AA792" t="s">
        <v>2704</v>
      </c>
      <c r="AB792" t="s">
        <v>45</v>
      </c>
      <c r="AC792" t="s">
        <v>46</v>
      </c>
      <c r="AD792" t="s">
        <v>2556</v>
      </c>
      <c r="AE792" t="s">
        <v>2557</v>
      </c>
      <c r="AF792" t="s">
        <v>3148</v>
      </c>
      <c r="AG792" t="s">
        <v>46</v>
      </c>
      <c r="AH792" t="s">
        <v>3145</v>
      </c>
      <c r="AI792" t="s">
        <v>37</v>
      </c>
    </row>
    <row r="793" spans="1:35" x14ac:dyDescent="0.25">
      <c r="A793" t="s">
        <v>3149</v>
      </c>
      <c r="B793" t="s">
        <v>34</v>
      </c>
      <c r="C793" t="s">
        <v>3150</v>
      </c>
      <c r="D793" t="s">
        <v>3151</v>
      </c>
      <c r="E793" t="s">
        <v>3152</v>
      </c>
      <c r="F793" t="s">
        <v>3153</v>
      </c>
      <c r="G793" t="s">
        <v>39</v>
      </c>
      <c r="H793" t="s">
        <v>40</v>
      </c>
      <c r="I793" t="s">
        <v>41</v>
      </c>
      <c r="J793" t="s">
        <v>37</v>
      </c>
      <c r="K793" t="s">
        <v>37</v>
      </c>
      <c r="L793" t="s">
        <v>42</v>
      </c>
      <c r="M793" s="6">
        <v>46047.367986111109</v>
      </c>
      <c r="N793" t="s">
        <v>4266</v>
      </c>
      <c r="O793" s="1">
        <v>46047.416666666664</v>
      </c>
      <c r="P793" s="1">
        <v>46047.36824074074</v>
      </c>
      <c r="Q793" t="s">
        <v>4266</v>
      </c>
      <c r="R793" s="6">
        <v>46047.586805555555</v>
      </c>
      <c r="S793" t="s">
        <v>43</v>
      </c>
      <c r="T793">
        <v>24.99</v>
      </c>
      <c r="U793">
        <v>0</v>
      </c>
      <c r="V793">
        <v>23.8</v>
      </c>
      <c r="W793">
        <v>1.19</v>
      </c>
      <c r="X793">
        <v>0</v>
      </c>
      <c r="Y793">
        <v>0</v>
      </c>
      <c r="Z793">
        <v>24.99</v>
      </c>
      <c r="AA793" t="s">
        <v>2704</v>
      </c>
      <c r="AB793" t="s">
        <v>45</v>
      </c>
      <c r="AC793" t="s">
        <v>46</v>
      </c>
      <c r="AD793" t="s">
        <v>2556</v>
      </c>
      <c r="AE793" t="s">
        <v>2557</v>
      </c>
      <c r="AF793" t="s">
        <v>3154</v>
      </c>
      <c r="AG793" t="s">
        <v>46</v>
      </c>
      <c r="AH793" t="s">
        <v>3150</v>
      </c>
      <c r="AI793" t="s">
        <v>37</v>
      </c>
    </row>
    <row r="794" spans="1:35" x14ac:dyDescent="0.25">
      <c r="A794" t="s">
        <v>3155</v>
      </c>
      <c r="B794" t="s">
        <v>34</v>
      </c>
      <c r="C794" t="s">
        <v>2700</v>
      </c>
      <c r="D794" t="s">
        <v>2701</v>
      </c>
      <c r="E794" t="s">
        <v>2702</v>
      </c>
      <c r="F794" t="s">
        <v>2703</v>
      </c>
      <c r="G794" t="s">
        <v>39</v>
      </c>
      <c r="H794" t="s">
        <v>40</v>
      </c>
      <c r="I794" t="s">
        <v>41</v>
      </c>
      <c r="J794" t="s">
        <v>37</v>
      </c>
      <c r="K794" t="s">
        <v>37</v>
      </c>
      <c r="L794" t="s">
        <v>42</v>
      </c>
      <c r="M794" s="6">
        <v>46047.408634259256</v>
      </c>
      <c r="N794" t="s">
        <v>4266</v>
      </c>
      <c r="O794" s="1">
        <v>46047.416666666664</v>
      </c>
      <c r="P794" s="1">
        <v>46047.408634259256</v>
      </c>
      <c r="Q794" t="s">
        <v>4266</v>
      </c>
      <c r="R794" s="6">
        <v>46047.670138888891</v>
      </c>
      <c r="S794" t="s">
        <v>43</v>
      </c>
      <c r="T794">
        <v>24.99</v>
      </c>
      <c r="U794">
        <v>0</v>
      </c>
      <c r="V794">
        <v>23.8</v>
      </c>
      <c r="W794">
        <v>1.19</v>
      </c>
      <c r="X794">
        <v>0</v>
      </c>
      <c r="Y794">
        <v>0</v>
      </c>
      <c r="Z794">
        <v>24.99</v>
      </c>
      <c r="AA794" t="s">
        <v>2704</v>
      </c>
      <c r="AB794" t="s">
        <v>45</v>
      </c>
      <c r="AC794" t="s">
        <v>46</v>
      </c>
      <c r="AD794" t="s">
        <v>2556</v>
      </c>
      <c r="AE794" t="s">
        <v>2557</v>
      </c>
      <c r="AF794" t="s">
        <v>3156</v>
      </c>
      <c r="AG794" t="s">
        <v>46</v>
      </c>
      <c r="AH794" t="s">
        <v>2700</v>
      </c>
      <c r="AI794" t="s">
        <v>37</v>
      </c>
    </row>
    <row r="795" spans="1:35" x14ac:dyDescent="0.25">
      <c r="A795" t="s">
        <v>3157</v>
      </c>
      <c r="B795" t="s">
        <v>34</v>
      </c>
      <c r="C795" t="s">
        <v>3158</v>
      </c>
      <c r="D795" t="s">
        <v>3159</v>
      </c>
      <c r="E795" t="s">
        <v>3160</v>
      </c>
      <c r="F795" t="s">
        <v>3161</v>
      </c>
      <c r="G795" t="s">
        <v>39</v>
      </c>
      <c r="H795" t="s">
        <v>40</v>
      </c>
      <c r="I795" t="s">
        <v>41</v>
      </c>
      <c r="J795" t="s">
        <v>37</v>
      </c>
      <c r="K795" t="s">
        <v>37</v>
      </c>
      <c r="L795" t="s">
        <v>42</v>
      </c>
      <c r="M795" s="6">
        <v>46047.415520833332</v>
      </c>
      <c r="N795" t="s">
        <v>4266</v>
      </c>
      <c r="O795" s="1">
        <v>46047.416666666664</v>
      </c>
      <c r="P795" s="1">
        <v>46047.415648148148</v>
      </c>
      <c r="Q795" t="s">
        <v>4266</v>
      </c>
      <c r="R795" s="6">
        <v>46047.670138888891</v>
      </c>
      <c r="S795" t="s">
        <v>43</v>
      </c>
      <c r="T795">
        <v>24.99</v>
      </c>
      <c r="U795">
        <v>0</v>
      </c>
      <c r="V795">
        <v>23.8</v>
      </c>
      <c r="W795">
        <v>1.19</v>
      </c>
      <c r="X795">
        <v>0</v>
      </c>
      <c r="Y795">
        <v>0</v>
      </c>
      <c r="Z795">
        <v>24.99</v>
      </c>
      <c r="AA795" t="s">
        <v>2704</v>
      </c>
      <c r="AB795" t="s">
        <v>45</v>
      </c>
      <c r="AC795" t="s">
        <v>46</v>
      </c>
      <c r="AD795" t="s">
        <v>2556</v>
      </c>
      <c r="AE795" t="s">
        <v>2557</v>
      </c>
      <c r="AF795" t="s">
        <v>3162</v>
      </c>
      <c r="AG795" t="s">
        <v>46</v>
      </c>
      <c r="AH795" t="s">
        <v>3158</v>
      </c>
      <c r="AI795" t="s">
        <v>37</v>
      </c>
    </row>
    <row r="796" spans="1:35" x14ac:dyDescent="0.25">
      <c r="A796" t="s">
        <v>3163</v>
      </c>
      <c r="B796" t="s">
        <v>34</v>
      </c>
      <c r="C796" t="s">
        <v>2372</v>
      </c>
      <c r="D796" t="s">
        <v>3023</v>
      </c>
      <c r="E796" t="s">
        <v>3024</v>
      </c>
      <c r="F796" t="s">
        <v>2374</v>
      </c>
      <c r="G796" t="s">
        <v>39</v>
      </c>
      <c r="H796" t="s">
        <v>40</v>
      </c>
      <c r="I796" t="s">
        <v>41</v>
      </c>
      <c r="J796" t="s">
        <v>37</v>
      </c>
      <c r="K796" t="s">
        <v>37</v>
      </c>
      <c r="L796" t="s">
        <v>42</v>
      </c>
      <c r="M796" s="6">
        <v>46047.521053240744</v>
      </c>
      <c r="N796" t="s">
        <v>4266</v>
      </c>
      <c r="O796" s="1">
        <v>46047.604166666664</v>
      </c>
      <c r="P796" s="1">
        <v>46047.521469907406</v>
      </c>
      <c r="Q796" t="s">
        <v>4266</v>
      </c>
      <c r="R796" s="6">
        <v>46047.670138888891</v>
      </c>
      <c r="S796" t="s">
        <v>43</v>
      </c>
      <c r="T796">
        <v>24.99</v>
      </c>
      <c r="U796">
        <v>0</v>
      </c>
      <c r="V796">
        <v>23.8</v>
      </c>
      <c r="W796">
        <v>1.19</v>
      </c>
      <c r="X796">
        <v>0</v>
      </c>
      <c r="Y796">
        <v>0</v>
      </c>
      <c r="Z796">
        <v>24.99</v>
      </c>
      <c r="AA796" t="s">
        <v>2704</v>
      </c>
      <c r="AB796" t="s">
        <v>45</v>
      </c>
      <c r="AC796" t="s">
        <v>46</v>
      </c>
      <c r="AD796" t="s">
        <v>2556</v>
      </c>
      <c r="AE796" t="s">
        <v>2557</v>
      </c>
      <c r="AF796" t="s">
        <v>3164</v>
      </c>
      <c r="AG796" t="s">
        <v>46</v>
      </c>
      <c r="AH796" t="s">
        <v>2372</v>
      </c>
      <c r="AI796" t="s">
        <v>37</v>
      </c>
    </row>
    <row r="797" spans="1:35" x14ac:dyDescent="0.25">
      <c r="A797" t="s">
        <v>3165</v>
      </c>
      <c r="B797" t="s">
        <v>34</v>
      </c>
      <c r="C797" t="s">
        <v>2610</v>
      </c>
      <c r="D797" t="s">
        <v>2611</v>
      </c>
      <c r="E797" t="s">
        <v>2612</v>
      </c>
      <c r="F797" t="s">
        <v>2613</v>
      </c>
      <c r="G797" t="s">
        <v>39</v>
      </c>
      <c r="H797" t="s">
        <v>40</v>
      </c>
      <c r="I797" t="s">
        <v>41</v>
      </c>
      <c r="J797" t="s">
        <v>37</v>
      </c>
      <c r="K797" t="s">
        <v>37</v>
      </c>
      <c r="L797" t="s">
        <v>42</v>
      </c>
      <c r="M797" s="6">
        <v>46049.334791666668</v>
      </c>
      <c r="N797" t="s">
        <v>4266</v>
      </c>
      <c r="O797" s="1">
        <v>46068.375</v>
      </c>
      <c r="P797" s="1">
        <v>46049.334791666668</v>
      </c>
      <c r="Q797" t="s">
        <v>4266</v>
      </c>
      <c r="R797" s="6">
        <v>46068.711805555555</v>
      </c>
      <c r="S797" t="s">
        <v>43</v>
      </c>
      <c r="T797">
        <v>24.99</v>
      </c>
      <c r="U797">
        <v>0</v>
      </c>
      <c r="V797">
        <v>23.8</v>
      </c>
      <c r="W797">
        <v>1.19</v>
      </c>
      <c r="X797">
        <v>0</v>
      </c>
      <c r="Y797">
        <v>0</v>
      </c>
      <c r="Z797">
        <v>24.99</v>
      </c>
      <c r="AA797" t="s">
        <v>2704</v>
      </c>
      <c r="AB797" t="s">
        <v>45</v>
      </c>
      <c r="AC797" t="s">
        <v>46</v>
      </c>
      <c r="AD797" t="s">
        <v>2556</v>
      </c>
      <c r="AE797" t="s">
        <v>2557</v>
      </c>
      <c r="AF797" t="s">
        <v>3166</v>
      </c>
      <c r="AG797" t="s">
        <v>46</v>
      </c>
      <c r="AH797" t="s">
        <v>2610</v>
      </c>
      <c r="AI797" t="s">
        <v>37</v>
      </c>
    </row>
    <row r="798" spans="1:35" x14ac:dyDescent="0.25">
      <c r="A798" t="s">
        <v>3167</v>
      </c>
      <c r="B798" t="s">
        <v>34</v>
      </c>
      <c r="C798" t="s">
        <v>2610</v>
      </c>
      <c r="D798" t="s">
        <v>2611</v>
      </c>
      <c r="E798" t="s">
        <v>2612</v>
      </c>
      <c r="F798" t="s">
        <v>3168</v>
      </c>
      <c r="G798" t="s">
        <v>39</v>
      </c>
      <c r="H798" t="s">
        <v>40</v>
      </c>
      <c r="I798" t="s">
        <v>41</v>
      </c>
      <c r="J798" t="s">
        <v>37</v>
      </c>
      <c r="K798" t="s">
        <v>37</v>
      </c>
      <c r="L798" t="s">
        <v>42</v>
      </c>
      <c r="M798" s="6">
        <v>46049.338680555556</v>
      </c>
      <c r="N798" t="s">
        <v>4265</v>
      </c>
      <c r="O798" s="1">
        <v>46067.375</v>
      </c>
      <c r="P798" s="1">
        <v>46049.338680555556</v>
      </c>
      <c r="Q798" t="s">
        <v>4265</v>
      </c>
      <c r="R798" s="6">
        <v>46067.711805555555</v>
      </c>
      <c r="S798" t="s">
        <v>43</v>
      </c>
      <c r="T798">
        <v>24.99</v>
      </c>
      <c r="U798">
        <v>0</v>
      </c>
      <c r="V798">
        <v>23.8</v>
      </c>
      <c r="W798">
        <v>1.19</v>
      </c>
      <c r="X798">
        <v>0</v>
      </c>
      <c r="Y798">
        <v>0</v>
      </c>
      <c r="Z798">
        <v>24.99</v>
      </c>
      <c r="AA798" t="s">
        <v>2704</v>
      </c>
      <c r="AB798" t="s">
        <v>45</v>
      </c>
      <c r="AC798" t="s">
        <v>46</v>
      </c>
      <c r="AD798" t="s">
        <v>2556</v>
      </c>
      <c r="AE798" t="s">
        <v>2557</v>
      </c>
      <c r="AF798" t="s">
        <v>3169</v>
      </c>
      <c r="AG798" t="s">
        <v>46</v>
      </c>
      <c r="AH798" t="s">
        <v>2610</v>
      </c>
      <c r="AI798" t="s">
        <v>37</v>
      </c>
    </row>
    <row r="799" spans="1:35" x14ac:dyDescent="0.25">
      <c r="A799" t="s">
        <v>3170</v>
      </c>
      <c r="B799" t="s">
        <v>34</v>
      </c>
      <c r="C799" t="s">
        <v>2610</v>
      </c>
      <c r="D799" t="s">
        <v>2611</v>
      </c>
      <c r="E799" t="s">
        <v>2612</v>
      </c>
      <c r="F799" t="s">
        <v>3168</v>
      </c>
      <c r="G799" t="s">
        <v>39</v>
      </c>
      <c r="H799" t="s">
        <v>40</v>
      </c>
      <c r="I799" t="s">
        <v>41</v>
      </c>
      <c r="J799" t="s">
        <v>37</v>
      </c>
      <c r="K799" t="s">
        <v>37</v>
      </c>
      <c r="L799" t="s">
        <v>42</v>
      </c>
      <c r="M799" s="6">
        <v>46049.339050925926</v>
      </c>
      <c r="N799" t="s">
        <v>4266</v>
      </c>
      <c r="O799" s="1">
        <v>46068.375</v>
      </c>
      <c r="P799" s="1">
        <v>46049.339050925926</v>
      </c>
      <c r="Q799" t="s">
        <v>4266</v>
      </c>
      <c r="R799" s="6">
        <v>46068.711805555555</v>
      </c>
      <c r="S799" t="s">
        <v>43</v>
      </c>
      <c r="T799">
        <v>24.99</v>
      </c>
      <c r="U799">
        <v>0</v>
      </c>
      <c r="V799">
        <v>23.8</v>
      </c>
      <c r="W799">
        <v>1.19</v>
      </c>
      <c r="X799">
        <v>0</v>
      </c>
      <c r="Y799">
        <v>0</v>
      </c>
      <c r="Z799">
        <v>24.99</v>
      </c>
      <c r="AA799" t="s">
        <v>2704</v>
      </c>
      <c r="AB799" t="s">
        <v>45</v>
      </c>
      <c r="AC799" t="s">
        <v>46</v>
      </c>
      <c r="AD799" t="s">
        <v>2556</v>
      </c>
      <c r="AE799" t="s">
        <v>2557</v>
      </c>
      <c r="AF799" t="s">
        <v>3171</v>
      </c>
      <c r="AG799" t="s">
        <v>46</v>
      </c>
      <c r="AH799" t="s">
        <v>2610</v>
      </c>
      <c r="AI799" t="s">
        <v>37</v>
      </c>
    </row>
    <row r="800" spans="1:35" x14ac:dyDescent="0.25">
      <c r="A800" t="s">
        <v>3172</v>
      </c>
      <c r="B800" t="s">
        <v>34</v>
      </c>
      <c r="C800" t="s">
        <v>3173</v>
      </c>
      <c r="D800" t="s">
        <v>3174</v>
      </c>
      <c r="E800" t="s">
        <v>3175</v>
      </c>
      <c r="F800" t="s">
        <v>3176</v>
      </c>
      <c r="G800" t="s">
        <v>39</v>
      </c>
      <c r="H800" t="s">
        <v>40</v>
      </c>
      <c r="I800" t="s">
        <v>41</v>
      </c>
      <c r="J800" t="s">
        <v>37</v>
      </c>
      <c r="K800" t="s">
        <v>37</v>
      </c>
      <c r="L800" t="s">
        <v>42</v>
      </c>
      <c r="M800" s="6">
        <v>46052.655787037038</v>
      </c>
      <c r="N800" t="s">
        <v>4265</v>
      </c>
      <c r="O800" s="1">
        <v>46053.354166666664</v>
      </c>
      <c r="P800" s="1">
        <v>46052.656226851854</v>
      </c>
      <c r="Q800" t="s">
        <v>4265</v>
      </c>
      <c r="R800" s="6">
        <v>46053.711805555555</v>
      </c>
      <c r="S800" t="s">
        <v>43</v>
      </c>
      <c r="T800">
        <v>24.99</v>
      </c>
      <c r="U800">
        <v>0</v>
      </c>
      <c r="V800">
        <v>23.8</v>
      </c>
      <c r="W800">
        <v>1.19</v>
      </c>
      <c r="X800">
        <v>0</v>
      </c>
      <c r="Y800">
        <v>0</v>
      </c>
      <c r="Z800">
        <v>24.99</v>
      </c>
      <c r="AA800" t="s">
        <v>2704</v>
      </c>
      <c r="AB800" t="s">
        <v>45</v>
      </c>
      <c r="AC800" t="s">
        <v>46</v>
      </c>
      <c r="AD800" t="s">
        <v>2556</v>
      </c>
      <c r="AE800" t="s">
        <v>2557</v>
      </c>
      <c r="AF800" t="s">
        <v>3177</v>
      </c>
      <c r="AG800" t="s">
        <v>46</v>
      </c>
      <c r="AH800" t="s">
        <v>3173</v>
      </c>
      <c r="AI800" t="s">
        <v>37</v>
      </c>
    </row>
    <row r="801" spans="1:35" x14ac:dyDescent="0.25">
      <c r="A801" t="s">
        <v>3178</v>
      </c>
      <c r="B801" t="s">
        <v>34</v>
      </c>
      <c r="C801" t="s">
        <v>3179</v>
      </c>
      <c r="D801" t="s">
        <v>3180</v>
      </c>
      <c r="E801" t="s">
        <v>3181</v>
      </c>
      <c r="F801" t="s">
        <v>3182</v>
      </c>
      <c r="G801" t="s">
        <v>2601</v>
      </c>
      <c r="H801" t="s">
        <v>40</v>
      </c>
      <c r="I801" t="s">
        <v>41</v>
      </c>
      <c r="J801" t="s">
        <v>37</v>
      </c>
      <c r="K801" t="s">
        <v>37</v>
      </c>
      <c r="L801" t="s">
        <v>42</v>
      </c>
      <c r="M801" s="6">
        <v>46052.68340277778</v>
      </c>
      <c r="N801" t="s">
        <v>4265</v>
      </c>
      <c r="O801" s="1">
        <v>46053.375</v>
      </c>
      <c r="P801" s="1">
        <v>46052.684108796297</v>
      </c>
      <c r="Q801" t="s">
        <v>4265</v>
      </c>
      <c r="R801" s="6">
        <v>46053.711805555555</v>
      </c>
      <c r="S801" t="s">
        <v>43</v>
      </c>
      <c r="T801">
        <v>24.99</v>
      </c>
      <c r="U801">
        <v>0</v>
      </c>
      <c r="V801">
        <v>23.8</v>
      </c>
      <c r="W801">
        <v>1.19</v>
      </c>
      <c r="X801">
        <v>0</v>
      </c>
      <c r="Y801">
        <v>0</v>
      </c>
      <c r="Z801">
        <v>24.99</v>
      </c>
      <c r="AA801" t="s">
        <v>2704</v>
      </c>
      <c r="AB801" t="s">
        <v>45</v>
      </c>
      <c r="AC801" t="s">
        <v>46</v>
      </c>
      <c r="AD801" t="s">
        <v>2556</v>
      </c>
      <c r="AE801" t="s">
        <v>2557</v>
      </c>
      <c r="AF801" t="s">
        <v>3183</v>
      </c>
      <c r="AG801" t="s">
        <v>46</v>
      </c>
      <c r="AH801" t="s">
        <v>3179</v>
      </c>
      <c r="AI801" t="s">
        <v>37</v>
      </c>
    </row>
    <row r="802" spans="1:35" x14ac:dyDescent="0.25">
      <c r="A802" t="s">
        <v>3184</v>
      </c>
      <c r="B802" t="s">
        <v>34</v>
      </c>
      <c r="C802" t="s">
        <v>3179</v>
      </c>
      <c r="D802" t="s">
        <v>3180</v>
      </c>
      <c r="E802" t="s">
        <v>3181</v>
      </c>
      <c r="F802" t="s">
        <v>3185</v>
      </c>
      <c r="G802" t="s">
        <v>39</v>
      </c>
      <c r="H802" t="s">
        <v>40</v>
      </c>
      <c r="I802" t="s">
        <v>41</v>
      </c>
      <c r="J802" t="s">
        <v>37</v>
      </c>
      <c r="K802" t="s">
        <v>37</v>
      </c>
      <c r="L802" t="s">
        <v>42</v>
      </c>
      <c r="M802" s="6">
        <v>46052.686620370368</v>
      </c>
      <c r="N802" t="s">
        <v>4265</v>
      </c>
      <c r="O802" s="1">
        <v>46053.375</v>
      </c>
      <c r="P802" s="1">
        <v>46052.687141203707</v>
      </c>
      <c r="Q802" t="s">
        <v>4265</v>
      </c>
      <c r="R802" s="6">
        <v>46053.711805555555</v>
      </c>
      <c r="S802" t="s">
        <v>43</v>
      </c>
      <c r="T802">
        <v>24.99</v>
      </c>
      <c r="U802">
        <v>0</v>
      </c>
      <c r="V802">
        <v>23.8</v>
      </c>
      <c r="W802">
        <v>1.19</v>
      </c>
      <c r="X802">
        <v>0</v>
      </c>
      <c r="Y802">
        <v>0</v>
      </c>
      <c r="Z802">
        <v>24.99</v>
      </c>
      <c r="AA802" t="s">
        <v>2704</v>
      </c>
      <c r="AB802" t="s">
        <v>45</v>
      </c>
      <c r="AC802" t="s">
        <v>46</v>
      </c>
      <c r="AD802" t="s">
        <v>2556</v>
      </c>
      <c r="AE802" t="s">
        <v>2557</v>
      </c>
      <c r="AF802" t="s">
        <v>3186</v>
      </c>
      <c r="AG802" t="s">
        <v>46</v>
      </c>
      <c r="AH802" t="s">
        <v>3179</v>
      </c>
      <c r="AI802" t="s">
        <v>37</v>
      </c>
    </row>
    <row r="803" spans="1:35" x14ac:dyDescent="0.25">
      <c r="A803" t="s">
        <v>3187</v>
      </c>
      <c r="B803" t="s">
        <v>34</v>
      </c>
      <c r="C803" t="s">
        <v>3188</v>
      </c>
      <c r="D803" t="s">
        <v>3189</v>
      </c>
      <c r="E803" t="s">
        <v>3190</v>
      </c>
      <c r="F803" t="s">
        <v>3191</v>
      </c>
      <c r="G803" t="s">
        <v>39</v>
      </c>
      <c r="H803" t="s">
        <v>40</v>
      </c>
      <c r="I803" t="s">
        <v>41</v>
      </c>
      <c r="J803" t="s">
        <v>37</v>
      </c>
      <c r="K803" t="s">
        <v>37</v>
      </c>
      <c r="L803" t="s">
        <v>42</v>
      </c>
      <c r="M803" s="6">
        <v>46052.784490740742</v>
      </c>
      <c r="N803" t="s">
        <v>4265</v>
      </c>
      <c r="O803" s="1">
        <v>46053.458333333336</v>
      </c>
      <c r="P803" s="1">
        <v>46052.784490740742</v>
      </c>
      <c r="Q803" t="s">
        <v>4265</v>
      </c>
      <c r="R803" s="6">
        <v>46053.711805555555</v>
      </c>
      <c r="S803" t="s">
        <v>43</v>
      </c>
      <c r="T803">
        <v>24.99</v>
      </c>
      <c r="U803">
        <v>0</v>
      </c>
      <c r="V803">
        <v>23.8</v>
      </c>
      <c r="W803">
        <v>1.19</v>
      </c>
      <c r="X803">
        <v>0</v>
      </c>
      <c r="Y803">
        <v>0</v>
      </c>
      <c r="Z803">
        <v>24.99</v>
      </c>
      <c r="AA803" t="s">
        <v>2704</v>
      </c>
      <c r="AB803" t="s">
        <v>45</v>
      </c>
      <c r="AC803" t="s">
        <v>46</v>
      </c>
      <c r="AD803" t="s">
        <v>2556</v>
      </c>
      <c r="AE803" t="s">
        <v>2557</v>
      </c>
      <c r="AF803" t="s">
        <v>3192</v>
      </c>
      <c r="AG803" t="s">
        <v>46</v>
      </c>
      <c r="AH803" t="s">
        <v>3188</v>
      </c>
      <c r="AI803" t="s">
        <v>37</v>
      </c>
    </row>
    <row r="804" spans="1:35" x14ac:dyDescent="0.25">
      <c r="A804" t="s">
        <v>3193</v>
      </c>
      <c r="B804" t="s">
        <v>34</v>
      </c>
      <c r="C804" t="s">
        <v>3194</v>
      </c>
      <c r="D804" t="s">
        <v>3195</v>
      </c>
      <c r="E804" t="s">
        <v>3196</v>
      </c>
      <c r="F804" t="s">
        <v>3197</v>
      </c>
      <c r="G804" t="s">
        <v>39</v>
      </c>
      <c r="H804" t="s">
        <v>40</v>
      </c>
      <c r="I804" t="s">
        <v>41</v>
      </c>
      <c r="J804" t="s">
        <v>37</v>
      </c>
      <c r="K804" t="s">
        <v>37</v>
      </c>
      <c r="L804" t="s">
        <v>42</v>
      </c>
      <c r="M804" s="6">
        <v>46053.356469907405</v>
      </c>
      <c r="N804" t="s">
        <v>4265</v>
      </c>
      <c r="O804" s="1">
        <v>46053.447916666664</v>
      </c>
      <c r="P804" s="1">
        <v>46053.356469907405</v>
      </c>
      <c r="Q804" t="s">
        <v>4265</v>
      </c>
      <c r="R804" s="6">
        <v>46053.701388888891</v>
      </c>
      <c r="S804" t="s">
        <v>43</v>
      </c>
      <c r="T804">
        <v>24.99</v>
      </c>
      <c r="U804">
        <v>0</v>
      </c>
      <c r="V804">
        <v>23.8</v>
      </c>
      <c r="W804">
        <v>1.19</v>
      </c>
      <c r="X804">
        <v>0</v>
      </c>
      <c r="Y804">
        <v>0</v>
      </c>
      <c r="Z804">
        <v>24.99</v>
      </c>
      <c r="AA804" t="s">
        <v>2704</v>
      </c>
      <c r="AB804" t="s">
        <v>45</v>
      </c>
      <c r="AC804" t="s">
        <v>46</v>
      </c>
      <c r="AD804" t="s">
        <v>2556</v>
      </c>
      <c r="AE804" t="s">
        <v>2557</v>
      </c>
      <c r="AF804" t="s">
        <v>3198</v>
      </c>
      <c r="AG804" t="s">
        <v>46</v>
      </c>
      <c r="AH804" t="s">
        <v>3194</v>
      </c>
      <c r="AI804" t="s">
        <v>37</v>
      </c>
    </row>
    <row r="805" spans="1:35" x14ac:dyDescent="0.25">
      <c r="A805" t="s">
        <v>3199</v>
      </c>
      <c r="B805" t="s">
        <v>34</v>
      </c>
      <c r="C805" t="s">
        <v>3200</v>
      </c>
      <c r="D805" t="s">
        <v>3201</v>
      </c>
      <c r="E805" t="s">
        <v>3202</v>
      </c>
      <c r="F805" t="s">
        <v>3203</v>
      </c>
      <c r="G805" t="s">
        <v>39</v>
      </c>
      <c r="H805" t="s">
        <v>40</v>
      </c>
      <c r="I805" t="s">
        <v>41</v>
      </c>
      <c r="J805" t="s">
        <v>37</v>
      </c>
      <c r="K805" t="s">
        <v>37</v>
      </c>
      <c r="L805" t="s">
        <v>42</v>
      </c>
      <c r="M805" s="6">
        <v>46053.395902777775</v>
      </c>
      <c r="N805" t="s">
        <v>4265</v>
      </c>
      <c r="O805" s="1">
        <v>46053.399305555555</v>
      </c>
      <c r="P805" s="1">
        <v>46053.396111111113</v>
      </c>
      <c r="Q805" t="s">
        <v>4265</v>
      </c>
      <c r="R805" s="6">
        <v>46053.670138888891</v>
      </c>
      <c r="S805" t="s">
        <v>43</v>
      </c>
      <c r="T805">
        <v>24.99</v>
      </c>
      <c r="U805">
        <v>0</v>
      </c>
      <c r="V805">
        <v>23.8</v>
      </c>
      <c r="W805">
        <v>1.19</v>
      </c>
      <c r="X805">
        <v>0</v>
      </c>
      <c r="Y805">
        <v>0</v>
      </c>
      <c r="Z805">
        <v>24.99</v>
      </c>
      <c r="AA805" t="s">
        <v>2704</v>
      </c>
      <c r="AB805" t="s">
        <v>45</v>
      </c>
      <c r="AC805" t="s">
        <v>46</v>
      </c>
      <c r="AD805" t="s">
        <v>2556</v>
      </c>
      <c r="AE805" t="s">
        <v>2557</v>
      </c>
      <c r="AF805" t="s">
        <v>3204</v>
      </c>
      <c r="AG805" t="s">
        <v>46</v>
      </c>
      <c r="AH805" t="s">
        <v>3200</v>
      </c>
      <c r="AI805" t="s">
        <v>37</v>
      </c>
    </row>
    <row r="806" spans="1:35" x14ac:dyDescent="0.25">
      <c r="A806" t="s">
        <v>3205</v>
      </c>
      <c r="B806" t="s">
        <v>34</v>
      </c>
      <c r="C806" t="s">
        <v>3206</v>
      </c>
      <c r="D806" t="s">
        <v>3207</v>
      </c>
      <c r="E806" t="s">
        <v>3208</v>
      </c>
      <c r="F806" t="s">
        <v>3209</v>
      </c>
      <c r="G806" t="s">
        <v>2601</v>
      </c>
      <c r="H806" t="s">
        <v>40</v>
      </c>
      <c r="I806" t="s">
        <v>41</v>
      </c>
      <c r="J806" t="s">
        <v>37</v>
      </c>
      <c r="K806" t="s">
        <v>37</v>
      </c>
      <c r="L806" t="s">
        <v>42</v>
      </c>
      <c r="M806" s="6">
        <v>46053.680254629631</v>
      </c>
      <c r="N806" t="s">
        <v>4266</v>
      </c>
      <c r="O806" s="1">
        <v>46068.333333333336</v>
      </c>
      <c r="P806" s="1">
        <v>46053.680543981478</v>
      </c>
      <c r="Q806" t="s">
        <v>4266</v>
      </c>
      <c r="R806" s="6">
        <v>46068.711805555555</v>
      </c>
      <c r="S806" t="s">
        <v>43</v>
      </c>
      <c r="T806">
        <v>24.99</v>
      </c>
      <c r="U806">
        <v>0</v>
      </c>
      <c r="V806">
        <v>23.8</v>
      </c>
      <c r="W806">
        <v>1.19</v>
      </c>
      <c r="X806">
        <v>0</v>
      </c>
      <c r="Y806">
        <v>0</v>
      </c>
      <c r="Z806">
        <v>24.99</v>
      </c>
      <c r="AA806" t="s">
        <v>2704</v>
      </c>
      <c r="AB806" t="s">
        <v>45</v>
      </c>
      <c r="AC806" t="s">
        <v>46</v>
      </c>
      <c r="AD806" t="s">
        <v>2556</v>
      </c>
      <c r="AE806" t="s">
        <v>2557</v>
      </c>
      <c r="AF806" t="s">
        <v>3210</v>
      </c>
      <c r="AG806" t="s">
        <v>46</v>
      </c>
      <c r="AH806" t="s">
        <v>3206</v>
      </c>
      <c r="AI806" t="s">
        <v>37</v>
      </c>
    </row>
    <row r="807" spans="1:35" x14ac:dyDescent="0.25">
      <c r="A807" t="s">
        <v>3211</v>
      </c>
      <c r="B807" t="s">
        <v>34</v>
      </c>
      <c r="C807" t="s">
        <v>3212</v>
      </c>
      <c r="D807" t="s">
        <v>3213</v>
      </c>
      <c r="E807" t="s">
        <v>3214</v>
      </c>
      <c r="F807" t="s">
        <v>3215</v>
      </c>
      <c r="G807" t="s">
        <v>39</v>
      </c>
      <c r="H807" t="s">
        <v>40</v>
      </c>
      <c r="I807" t="s">
        <v>41</v>
      </c>
      <c r="J807" t="s">
        <v>37</v>
      </c>
      <c r="K807" t="s">
        <v>37</v>
      </c>
      <c r="L807" t="s">
        <v>42</v>
      </c>
      <c r="M807" s="6">
        <v>46053.716828703706</v>
      </c>
      <c r="N807" t="s">
        <v>4268</v>
      </c>
      <c r="O807" s="1">
        <v>46059.354166666664</v>
      </c>
      <c r="P807" s="1">
        <v>46053.717395833337</v>
      </c>
      <c r="Q807" t="s">
        <v>4268</v>
      </c>
      <c r="R807" s="6">
        <v>46059.711805555555</v>
      </c>
      <c r="S807" t="s">
        <v>43</v>
      </c>
      <c r="T807">
        <v>24.99</v>
      </c>
      <c r="U807">
        <v>0</v>
      </c>
      <c r="V807">
        <v>23.8</v>
      </c>
      <c r="W807">
        <v>1.19</v>
      </c>
      <c r="X807">
        <v>0</v>
      </c>
      <c r="Y807">
        <v>-25</v>
      </c>
      <c r="Z807">
        <v>0</v>
      </c>
      <c r="AA807" t="s">
        <v>2704</v>
      </c>
      <c r="AB807" t="s">
        <v>45</v>
      </c>
      <c r="AC807" t="s">
        <v>46</v>
      </c>
      <c r="AD807" t="s">
        <v>2556</v>
      </c>
      <c r="AE807" t="s">
        <v>2557</v>
      </c>
      <c r="AF807" t="s">
        <v>3216</v>
      </c>
      <c r="AG807" t="s">
        <v>46</v>
      </c>
      <c r="AH807" t="s">
        <v>3212</v>
      </c>
      <c r="AI807" t="s">
        <v>37</v>
      </c>
    </row>
    <row r="808" spans="1:35" x14ac:dyDescent="0.25">
      <c r="A808" t="s">
        <v>3217</v>
      </c>
      <c r="B808" t="s">
        <v>34</v>
      </c>
      <c r="C808" t="s">
        <v>3212</v>
      </c>
      <c r="D808" t="s">
        <v>3213</v>
      </c>
      <c r="E808" t="s">
        <v>3214</v>
      </c>
      <c r="F808" t="s">
        <v>3215</v>
      </c>
      <c r="G808" t="s">
        <v>39</v>
      </c>
      <c r="H808" t="s">
        <v>40</v>
      </c>
      <c r="I808" t="s">
        <v>41</v>
      </c>
      <c r="J808" t="s">
        <v>37</v>
      </c>
      <c r="K808" t="s">
        <v>37</v>
      </c>
      <c r="L808" t="s">
        <v>42</v>
      </c>
      <c r="M808" s="6">
        <v>46053.720081018517</v>
      </c>
      <c r="N808" t="s">
        <v>4265</v>
      </c>
      <c r="O808" s="1">
        <v>46060.354166666664</v>
      </c>
      <c r="P808" s="1">
        <v>46053.720462962963</v>
      </c>
      <c r="Q808" t="s">
        <v>4265</v>
      </c>
      <c r="R808" s="6">
        <v>46060.711805555555</v>
      </c>
      <c r="S808" t="s">
        <v>43</v>
      </c>
      <c r="T808">
        <v>24.99</v>
      </c>
      <c r="U808">
        <v>0</v>
      </c>
      <c r="V808">
        <v>23.8</v>
      </c>
      <c r="W808">
        <v>1.19</v>
      </c>
      <c r="X808">
        <v>0</v>
      </c>
      <c r="Y808">
        <v>-25</v>
      </c>
      <c r="Z808">
        <v>0</v>
      </c>
      <c r="AA808" t="s">
        <v>2704</v>
      </c>
      <c r="AB808" t="s">
        <v>45</v>
      </c>
      <c r="AC808" t="s">
        <v>46</v>
      </c>
      <c r="AD808" t="s">
        <v>2556</v>
      </c>
      <c r="AE808" t="s">
        <v>2557</v>
      </c>
      <c r="AF808" t="s">
        <v>3218</v>
      </c>
      <c r="AG808" t="s">
        <v>46</v>
      </c>
      <c r="AH808" t="s">
        <v>3212</v>
      </c>
      <c r="AI808" t="s">
        <v>37</v>
      </c>
    </row>
    <row r="809" spans="1:35" x14ac:dyDescent="0.25">
      <c r="A809" t="s">
        <v>3219</v>
      </c>
      <c r="B809" t="s">
        <v>34</v>
      </c>
      <c r="C809" t="s">
        <v>3220</v>
      </c>
      <c r="D809" t="s">
        <v>3221</v>
      </c>
      <c r="E809" t="s">
        <v>3222</v>
      </c>
      <c r="F809" t="s">
        <v>3223</v>
      </c>
      <c r="G809" t="s">
        <v>39</v>
      </c>
      <c r="H809" t="s">
        <v>40</v>
      </c>
      <c r="I809" t="s">
        <v>41</v>
      </c>
      <c r="J809" t="s">
        <v>37</v>
      </c>
      <c r="K809" t="s">
        <v>37</v>
      </c>
      <c r="L809" t="s">
        <v>42</v>
      </c>
      <c r="M809" s="6">
        <v>46054.390196759261</v>
      </c>
      <c r="N809" t="s">
        <v>4266</v>
      </c>
      <c r="O809" s="1">
        <v>46054.416666666664</v>
      </c>
      <c r="P809" s="1">
        <v>46054.390335648146</v>
      </c>
      <c r="Q809" t="s">
        <v>4266</v>
      </c>
      <c r="R809" s="6">
        <v>46054.670138888891</v>
      </c>
      <c r="S809" t="s">
        <v>43</v>
      </c>
      <c r="T809">
        <v>24.99</v>
      </c>
      <c r="U809">
        <v>0</v>
      </c>
      <c r="V809">
        <v>23.8</v>
      </c>
      <c r="W809">
        <v>1.19</v>
      </c>
      <c r="X809">
        <v>0</v>
      </c>
      <c r="Y809">
        <v>0</v>
      </c>
      <c r="Z809">
        <v>24.99</v>
      </c>
      <c r="AA809" t="s">
        <v>2704</v>
      </c>
      <c r="AB809" t="s">
        <v>45</v>
      </c>
      <c r="AC809" t="s">
        <v>46</v>
      </c>
      <c r="AD809" t="s">
        <v>2556</v>
      </c>
      <c r="AE809" t="s">
        <v>2557</v>
      </c>
      <c r="AF809" t="s">
        <v>3224</v>
      </c>
      <c r="AG809" t="s">
        <v>46</v>
      </c>
      <c r="AH809" t="s">
        <v>3220</v>
      </c>
      <c r="AI809" t="s">
        <v>37</v>
      </c>
    </row>
    <row r="810" spans="1:35" x14ac:dyDescent="0.25">
      <c r="A810" t="s">
        <v>3225</v>
      </c>
      <c r="B810" t="s">
        <v>34</v>
      </c>
      <c r="C810" t="s">
        <v>3226</v>
      </c>
      <c r="D810" t="s">
        <v>3227</v>
      </c>
      <c r="E810" t="s">
        <v>3228</v>
      </c>
      <c r="F810" t="s">
        <v>3229</v>
      </c>
      <c r="G810" t="s">
        <v>39</v>
      </c>
      <c r="H810" t="s">
        <v>40</v>
      </c>
      <c r="I810" t="s">
        <v>41</v>
      </c>
      <c r="J810" t="s">
        <v>37</v>
      </c>
      <c r="K810" t="s">
        <v>37</v>
      </c>
      <c r="L810" t="s">
        <v>42</v>
      </c>
      <c r="M810" s="6">
        <v>46054.829016203701</v>
      </c>
      <c r="N810" t="s">
        <v>4268</v>
      </c>
      <c r="O810" s="1">
        <v>46059.333333333336</v>
      </c>
      <c r="P810" s="1">
        <v>46054.829363425924</v>
      </c>
      <c r="Q810" t="s">
        <v>4268</v>
      </c>
      <c r="R810" s="6">
        <v>46059.670138888891</v>
      </c>
      <c r="S810" t="s">
        <v>43</v>
      </c>
      <c r="T810">
        <v>24.99</v>
      </c>
      <c r="U810">
        <v>0</v>
      </c>
      <c r="V810">
        <v>23.8</v>
      </c>
      <c r="W810">
        <v>1.19</v>
      </c>
      <c r="X810">
        <v>0</v>
      </c>
      <c r="Y810">
        <v>0</v>
      </c>
      <c r="Z810">
        <v>24.99</v>
      </c>
      <c r="AA810" t="s">
        <v>2704</v>
      </c>
      <c r="AB810" t="s">
        <v>45</v>
      </c>
      <c r="AC810" t="s">
        <v>46</v>
      </c>
      <c r="AD810" t="s">
        <v>2556</v>
      </c>
      <c r="AE810" t="s">
        <v>2557</v>
      </c>
      <c r="AF810" t="s">
        <v>3230</v>
      </c>
      <c r="AG810" t="s">
        <v>46</v>
      </c>
      <c r="AH810" t="s">
        <v>3226</v>
      </c>
      <c r="AI810" t="s">
        <v>37</v>
      </c>
    </row>
    <row r="811" spans="1:35" x14ac:dyDescent="0.25">
      <c r="A811" t="s">
        <v>3231</v>
      </c>
      <c r="B811" t="s">
        <v>34</v>
      </c>
      <c r="C811" t="s">
        <v>3232</v>
      </c>
      <c r="D811" t="s">
        <v>3233</v>
      </c>
      <c r="E811" t="s">
        <v>3234</v>
      </c>
      <c r="F811" t="s">
        <v>3235</v>
      </c>
      <c r="G811" t="s">
        <v>2601</v>
      </c>
      <c r="H811" t="s">
        <v>40</v>
      </c>
      <c r="I811" t="s">
        <v>41</v>
      </c>
      <c r="J811" t="s">
        <v>37</v>
      </c>
      <c r="K811" t="s">
        <v>37</v>
      </c>
      <c r="L811" t="s">
        <v>42</v>
      </c>
      <c r="M811" s="6">
        <v>46054.867013888892</v>
      </c>
      <c r="N811" t="s">
        <v>4268</v>
      </c>
      <c r="O811" s="1">
        <v>46059.333333333336</v>
      </c>
      <c r="P811" s="1">
        <v>46054.867326388892</v>
      </c>
      <c r="Q811" t="s">
        <v>4268</v>
      </c>
      <c r="R811" s="6">
        <v>46059.670138888891</v>
      </c>
      <c r="S811" t="s">
        <v>43</v>
      </c>
      <c r="T811">
        <v>24.99</v>
      </c>
      <c r="U811">
        <v>0</v>
      </c>
      <c r="V811">
        <v>23.8</v>
      </c>
      <c r="W811">
        <v>1.19</v>
      </c>
      <c r="X811">
        <v>0</v>
      </c>
      <c r="Y811">
        <v>0</v>
      </c>
      <c r="Z811">
        <v>24.99</v>
      </c>
      <c r="AA811" t="s">
        <v>2704</v>
      </c>
      <c r="AB811" t="s">
        <v>45</v>
      </c>
      <c r="AC811" t="s">
        <v>46</v>
      </c>
      <c r="AD811" t="s">
        <v>2556</v>
      </c>
      <c r="AE811" t="s">
        <v>2557</v>
      </c>
      <c r="AF811" t="s">
        <v>3236</v>
      </c>
      <c r="AG811" t="s">
        <v>46</v>
      </c>
      <c r="AH811" t="s">
        <v>3232</v>
      </c>
      <c r="AI811" t="s">
        <v>37</v>
      </c>
    </row>
    <row r="812" spans="1:35" x14ac:dyDescent="0.25">
      <c r="A812" t="s">
        <v>3237</v>
      </c>
      <c r="B812" t="s">
        <v>34</v>
      </c>
      <c r="C812" t="s">
        <v>3238</v>
      </c>
      <c r="D812" t="s">
        <v>3239</v>
      </c>
      <c r="E812" t="s">
        <v>3240</v>
      </c>
      <c r="F812" t="s">
        <v>3241</v>
      </c>
      <c r="G812" t="s">
        <v>2601</v>
      </c>
      <c r="H812" t="s">
        <v>40</v>
      </c>
      <c r="I812" t="s">
        <v>41</v>
      </c>
      <c r="J812" t="s">
        <v>37</v>
      </c>
      <c r="K812" t="s">
        <v>37</v>
      </c>
      <c r="L812" t="s">
        <v>42</v>
      </c>
      <c r="M812" s="6">
        <v>46055.704513888886</v>
      </c>
      <c r="N812" t="s">
        <v>4266</v>
      </c>
      <c r="O812" s="1">
        <v>46061.5</v>
      </c>
      <c r="P812" s="1">
        <v>46055.704513888886</v>
      </c>
      <c r="Q812" t="s">
        <v>4266</v>
      </c>
      <c r="R812" s="6">
        <v>46061.711805555555</v>
      </c>
      <c r="S812" t="s">
        <v>43</v>
      </c>
      <c r="T812">
        <v>24.99</v>
      </c>
      <c r="U812">
        <v>0</v>
      </c>
      <c r="V812">
        <v>23.8</v>
      </c>
      <c r="W812">
        <v>1.19</v>
      </c>
      <c r="X812">
        <v>0</v>
      </c>
      <c r="Y812">
        <v>0</v>
      </c>
      <c r="Z812">
        <v>24.99</v>
      </c>
      <c r="AA812" t="s">
        <v>2704</v>
      </c>
      <c r="AB812" t="s">
        <v>45</v>
      </c>
      <c r="AC812" t="s">
        <v>46</v>
      </c>
      <c r="AD812" t="s">
        <v>2556</v>
      </c>
      <c r="AE812" t="s">
        <v>2557</v>
      </c>
      <c r="AF812" t="s">
        <v>3242</v>
      </c>
      <c r="AG812" t="s">
        <v>46</v>
      </c>
      <c r="AH812" t="s">
        <v>3238</v>
      </c>
      <c r="AI812" t="s">
        <v>37</v>
      </c>
    </row>
    <row r="813" spans="1:35" x14ac:dyDescent="0.25">
      <c r="A813" t="s">
        <v>3243</v>
      </c>
      <c r="B813" t="s">
        <v>34</v>
      </c>
      <c r="C813" t="s">
        <v>3244</v>
      </c>
      <c r="D813" t="s">
        <v>3245</v>
      </c>
      <c r="E813" t="s">
        <v>3246</v>
      </c>
      <c r="F813" t="s">
        <v>3247</v>
      </c>
      <c r="G813" t="s">
        <v>39</v>
      </c>
      <c r="H813" t="s">
        <v>40</v>
      </c>
      <c r="I813" t="s">
        <v>41</v>
      </c>
      <c r="J813" t="s">
        <v>37</v>
      </c>
      <c r="K813" t="s">
        <v>37</v>
      </c>
      <c r="L813" t="s">
        <v>42</v>
      </c>
      <c r="M813" s="6">
        <v>46058.730775462966</v>
      </c>
      <c r="N813" t="s">
        <v>4265</v>
      </c>
      <c r="O813" s="1">
        <v>46067.354166666664</v>
      </c>
      <c r="P813" s="1">
        <v>46058.731608796297</v>
      </c>
      <c r="Q813" t="s">
        <v>4265</v>
      </c>
      <c r="R813" s="6">
        <v>46067.670138888891</v>
      </c>
      <c r="S813" t="s">
        <v>43</v>
      </c>
      <c r="T813">
        <v>24.99</v>
      </c>
      <c r="U813">
        <v>0</v>
      </c>
      <c r="V813">
        <v>23.8</v>
      </c>
      <c r="W813">
        <v>1.19</v>
      </c>
      <c r="X813">
        <v>0</v>
      </c>
      <c r="Y813">
        <v>0</v>
      </c>
      <c r="Z813">
        <v>24.99</v>
      </c>
      <c r="AA813" t="s">
        <v>2704</v>
      </c>
      <c r="AB813" t="s">
        <v>45</v>
      </c>
      <c r="AC813" t="s">
        <v>46</v>
      </c>
      <c r="AD813" t="s">
        <v>2556</v>
      </c>
      <c r="AE813" t="s">
        <v>2557</v>
      </c>
      <c r="AF813" t="s">
        <v>3248</v>
      </c>
      <c r="AG813" t="s">
        <v>46</v>
      </c>
      <c r="AH813" t="s">
        <v>3244</v>
      </c>
      <c r="AI813" t="s">
        <v>37</v>
      </c>
    </row>
    <row r="814" spans="1:35" x14ac:dyDescent="0.25">
      <c r="A814" t="s">
        <v>3249</v>
      </c>
      <c r="B814" t="s">
        <v>34</v>
      </c>
      <c r="C814" t="s">
        <v>3244</v>
      </c>
      <c r="D814" t="s">
        <v>3245</v>
      </c>
      <c r="E814" t="s">
        <v>3246</v>
      </c>
      <c r="F814" t="s">
        <v>3247</v>
      </c>
      <c r="G814" t="s">
        <v>39</v>
      </c>
      <c r="H814" t="s">
        <v>40</v>
      </c>
      <c r="I814" t="s">
        <v>41</v>
      </c>
      <c r="J814" t="s">
        <v>37</v>
      </c>
      <c r="K814" t="s">
        <v>37</v>
      </c>
      <c r="L814" t="s">
        <v>42</v>
      </c>
      <c r="M814" s="6">
        <v>46058.73337962963</v>
      </c>
      <c r="N814" t="s">
        <v>4266</v>
      </c>
      <c r="O814" s="1">
        <v>46068.354166666664</v>
      </c>
      <c r="P814" s="1">
        <v>46058.733888888892</v>
      </c>
      <c r="Q814" t="s">
        <v>4266</v>
      </c>
      <c r="R814" s="6">
        <v>46068.670138888891</v>
      </c>
      <c r="S814" t="s">
        <v>43</v>
      </c>
      <c r="T814">
        <v>24.99</v>
      </c>
      <c r="U814">
        <v>0</v>
      </c>
      <c r="V814">
        <v>23.8</v>
      </c>
      <c r="W814">
        <v>1.19</v>
      </c>
      <c r="X814">
        <v>0</v>
      </c>
      <c r="Y814">
        <v>0</v>
      </c>
      <c r="Z814">
        <v>24.99</v>
      </c>
      <c r="AA814" t="s">
        <v>2704</v>
      </c>
      <c r="AB814" t="s">
        <v>45</v>
      </c>
      <c r="AC814" t="s">
        <v>46</v>
      </c>
      <c r="AD814" t="s">
        <v>2556</v>
      </c>
      <c r="AE814" t="s">
        <v>2557</v>
      </c>
      <c r="AF814" t="s">
        <v>3250</v>
      </c>
      <c r="AG814" t="s">
        <v>46</v>
      </c>
      <c r="AH814" t="s">
        <v>3244</v>
      </c>
      <c r="AI814" t="s">
        <v>37</v>
      </c>
    </row>
    <row r="815" spans="1:35" x14ac:dyDescent="0.25">
      <c r="A815" t="s">
        <v>3251</v>
      </c>
      <c r="B815" t="s">
        <v>34</v>
      </c>
      <c r="C815" t="s">
        <v>3252</v>
      </c>
      <c r="D815" t="s">
        <v>3253</v>
      </c>
      <c r="E815" t="s">
        <v>3254</v>
      </c>
      <c r="F815" t="s">
        <v>3255</v>
      </c>
      <c r="G815" t="s">
        <v>39</v>
      </c>
      <c r="H815" t="s">
        <v>40</v>
      </c>
      <c r="I815" t="s">
        <v>41</v>
      </c>
      <c r="J815" t="s">
        <v>37</v>
      </c>
      <c r="K815" t="s">
        <v>37</v>
      </c>
      <c r="L815" t="s">
        <v>42</v>
      </c>
      <c r="M815" s="6">
        <v>46058.750879629632</v>
      </c>
      <c r="N815" t="s">
        <v>4266</v>
      </c>
      <c r="O815" s="1">
        <v>46068.3125</v>
      </c>
      <c r="P815" s="1">
        <v>46058.751493055555</v>
      </c>
      <c r="Q815" t="s">
        <v>4266</v>
      </c>
      <c r="R815" s="6">
        <v>46068.711805555555</v>
      </c>
      <c r="S815" t="s">
        <v>43</v>
      </c>
      <c r="T815">
        <v>24.99</v>
      </c>
      <c r="U815">
        <v>0</v>
      </c>
      <c r="V815">
        <v>23.8</v>
      </c>
      <c r="W815">
        <v>1.19</v>
      </c>
      <c r="X815">
        <v>0</v>
      </c>
      <c r="Y815">
        <v>0</v>
      </c>
      <c r="Z815">
        <v>24.99</v>
      </c>
      <c r="AA815" t="s">
        <v>2704</v>
      </c>
      <c r="AB815" t="s">
        <v>45</v>
      </c>
      <c r="AC815" t="s">
        <v>46</v>
      </c>
      <c r="AD815" t="s">
        <v>2556</v>
      </c>
      <c r="AE815" t="s">
        <v>2557</v>
      </c>
      <c r="AF815" t="s">
        <v>3256</v>
      </c>
      <c r="AG815" t="s">
        <v>46</v>
      </c>
      <c r="AH815" t="s">
        <v>3252</v>
      </c>
      <c r="AI815" t="s">
        <v>37</v>
      </c>
    </row>
    <row r="816" spans="1:35" x14ac:dyDescent="0.25">
      <c r="A816" t="s">
        <v>3257</v>
      </c>
      <c r="B816" t="s">
        <v>34</v>
      </c>
      <c r="C816" t="s">
        <v>3252</v>
      </c>
      <c r="D816" t="s">
        <v>3253</v>
      </c>
      <c r="E816" t="s">
        <v>3254</v>
      </c>
      <c r="F816" t="s">
        <v>3255</v>
      </c>
      <c r="G816" t="s">
        <v>39</v>
      </c>
      <c r="H816" t="s">
        <v>40</v>
      </c>
      <c r="I816" t="s">
        <v>41</v>
      </c>
      <c r="J816" t="s">
        <v>37</v>
      </c>
      <c r="K816" t="s">
        <v>37</v>
      </c>
      <c r="L816" t="s">
        <v>42</v>
      </c>
      <c r="M816" s="6">
        <v>46058.756018518521</v>
      </c>
      <c r="N816" t="s">
        <v>4265</v>
      </c>
      <c r="O816" s="1">
        <v>46067.333333333336</v>
      </c>
      <c r="P816" s="1">
        <v>46058.756018518521</v>
      </c>
      <c r="Q816" t="s">
        <v>4265</v>
      </c>
      <c r="R816" s="6">
        <v>46067.711805555555</v>
      </c>
      <c r="S816" t="s">
        <v>43</v>
      </c>
      <c r="T816">
        <v>24.99</v>
      </c>
      <c r="U816">
        <v>0</v>
      </c>
      <c r="V816">
        <v>23.8</v>
      </c>
      <c r="W816">
        <v>1.19</v>
      </c>
      <c r="X816">
        <v>0</v>
      </c>
      <c r="Y816">
        <v>0</v>
      </c>
      <c r="Z816">
        <v>24.99</v>
      </c>
      <c r="AA816" t="s">
        <v>2704</v>
      </c>
      <c r="AB816" t="s">
        <v>45</v>
      </c>
      <c r="AC816" t="s">
        <v>46</v>
      </c>
      <c r="AD816" t="s">
        <v>2556</v>
      </c>
      <c r="AE816" t="s">
        <v>2557</v>
      </c>
      <c r="AF816" t="s">
        <v>3258</v>
      </c>
      <c r="AG816" t="s">
        <v>46</v>
      </c>
      <c r="AH816" t="s">
        <v>3252</v>
      </c>
      <c r="AI816" t="s">
        <v>37</v>
      </c>
    </row>
    <row r="817" spans="1:35" x14ac:dyDescent="0.25">
      <c r="A817" t="s">
        <v>3259</v>
      </c>
      <c r="B817" t="s">
        <v>34</v>
      </c>
      <c r="C817" t="s">
        <v>215</v>
      </c>
      <c r="D817" t="s">
        <v>216</v>
      </c>
      <c r="E817" t="s">
        <v>37</v>
      </c>
      <c r="F817" t="s">
        <v>217</v>
      </c>
      <c r="G817" t="s">
        <v>39</v>
      </c>
      <c r="H817" t="s">
        <v>40</v>
      </c>
      <c r="I817" t="s">
        <v>41</v>
      </c>
      <c r="J817" t="s">
        <v>37</v>
      </c>
      <c r="K817" t="s">
        <v>37</v>
      </c>
      <c r="L817" t="s">
        <v>42</v>
      </c>
      <c r="M817" s="6">
        <v>46058.791400462964</v>
      </c>
      <c r="N817" t="s">
        <v>4268</v>
      </c>
      <c r="O817" s="1">
        <v>46059.375</v>
      </c>
      <c r="P817" s="1">
        <v>46058.79178240741</v>
      </c>
      <c r="Q817" t="s">
        <v>4268</v>
      </c>
      <c r="R817" s="6">
        <v>46059.670138888891</v>
      </c>
      <c r="S817" t="s">
        <v>43</v>
      </c>
      <c r="T817">
        <v>24.99</v>
      </c>
      <c r="U817">
        <v>0</v>
      </c>
      <c r="V817">
        <v>23.8</v>
      </c>
      <c r="W817">
        <v>1.19</v>
      </c>
      <c r="X817">
        <v>0</v>
      </c>
      <c r="Y817">
        <v>0</v>
      </c>
      <c r="Z817">
        <v>24.99</v>
      </c>
      <c r="AA817" t="s">
        <v>2704</v>
      </c>
      <c r="AB817" t="s">
        <v>45</v>
      </c>
      <c r="AC817" t="s">
        <v>46</v>
      </c>
      <c r="AD817" t="s">
        <v>2556</v>
      </c>
      <c r="AE817" t="s">
        <v>2557</v>
      </c>
      <c r="AF817" t="s">
        <v>3260</v>
      </c>
      <c r="AG817" t="s">
        <v>46</v>
      </c>
      <c r="AH817" t="s">
        <v>219</v>
      </c>
      <c r="AI817" t="s">
        <v>37</v>
      </c>
    </row>
    <row r="818" spans="1:35" x14ac:dyDescent="0.25">
      <c r="A818" t="s">
        <v>3261</v>
      </c>
      <c r="B818" t="s">
        <v>34</v>
      </c>
      <c r="C818" t="s">
        <v>260</v>
      </c>
      <c r="D818" t="s">
        <v>261</v>
      </c>
      <c r="E818" t="s">
        <v>37</v>
      </c>
      <c r="F818" t="s">
        <v>262</v>
      </c>
      <c r="G818" t="s">
        <v>39</v>
      </c>
      <c r="H818" t="s">
        <v>40</v>
      </c>
      <c r="I818" t="s">
        <v>41</v>
      </c>
      <c r="J818" t="s">
        <v>37</v>
      </c>
      <c r="K818" t="s">
        <v>37</v>
      </c>
      <c r="L818" t="s">
        <v>42</v>
      </c>
      <c r="M818" s="6">
        <v>46058.905763888892</v>
      </c>
      <c r="N818" t="s">
        <v>4268</v>
      </c>
      <c r="O818" s="1">
        <v>46059.375</v>
      </c>
      <c r="P818" s="1">
        <v>46058.905972222223</v>
      </c>
      <c r="Q818" t="s">
        <v>4268</v>
      </c>
      <c r="R818" s="6">
        <v>46059.670138888891</v>
      </c>
      <c r="S818" t="s">
        <v>43</v>
      </c>
      <c r="T818">
        <v>24.99</v>
      </c>
      <c r="U818">
        <v>0</v>
      </c>
      <c r="V818">
        <v>23.8</v>
      </c>
      <c r="W818">
        <v>1.19</v>
      </c>
      <c r="X818">
        <v>0</v>
      </c>
      <c r="Y818">
        <v>0</v>
      </c>
      <c r="Z818">
        <v>24.99</v>
      </c>
      <c r="AA818" t="s">
        <v>2704</v>
      </c>
      <c r="AB818" t="s">
        <v>45</v>
      </c>
      <c r="AC818" t="s">
        <v>46</v>
      </c>
      <c r="AD818" t="s">
        <v>2556</v>
      </c>
      <c r="AE818" t="s">
        <v>2557</v>
      </c>
      <c r="AF818" t="s">
        <v>3262</v>
      </c>
      <c r="AG818" t="s">
        <v>46</v>
      </c>
      <c r="AH818" t="s">
        <v>263</v>
      </c>
      <c r="AI818" t="s">
        <v>37</v>
      </c>
    </row>
    <row r="819" spans="1:35" x14ac:dyDescent="0.25">
      <c r="A819" t="s">
        <v>3263</v>
      </c>
      <c r="B819" t="s">
        <v>34</v>
      </c>
      <c r="C819" t="s">
        <v>260</v>
      </c>
      <c r="D819" t="s">
        <v>261</v>
      </c>
      <c r="E819" t="s">
        <v>37</v>
      </c>
      <c r="F819" t="s">
        <v>2166</v>
      </c>
      <c r="G819" t="s">
        <v>39</v>
      </c>
      <c r="H819" t="s">
        <v>40</v>
      </c>
      <c r="I819" t="s">
        <v>41</v>
      </c>
      <c r="J819" t="s">
        <v>37</v>
      </c>
      <c r="K819" t="s">
        <v>37</v>
      </c>
      <c r="L819" t="s">
        <v>42</v>
      </c>
      <c r="M819" s="6">
        <v>46058.910914351851</v>
      </c>
      <c r="N819" t="s">
        <v>4268</v>
      </c>
      <c r="O819" s="1">
        <v>46059.375</v>
      </c>
      <c r="P819" s="1">
        <v>46058.910914351851</v>
      </c>
      <c r="Q819" t="s">
        <v>4268</v>
      </c>
      <c r="R819" s="6">
        <v>46059.670138888891</v>
      </c>
      <c r="S819" t="s">
        <v>43</v>
      </c>
      <c r="T819">
        <v>24.99</v>
      </c>
      <c r="U819">
        <v>0</v>
      </c>
      <c r="V819">
        <v>23.8</v>
      </c>
      <c r="W819">
        <v>1.19</v>
      </c>
      <c r="X819">
        <v>0</v>
      </c>
      <c r="Y819">
        <v>0</v>
      </c>
      <c r="Z819">
        <v>24.99</v>
      </c>
      <c r="AA819" t="s">
        <v>2704</v>
      </c>
      <c r="AB819" t="s">
        <v>45</v>
      </c>
      <c r="AC819" t="s">
        <v>46</v>
      </c>
      <c r="AD819" t="s">
        <v>2556</v>
      </c>
      <c r="AE819" t="s">
        <v>2557</v>
      </c>
      <c r="AF819" t="s">
        <v>3264</v>
      </c>
      <c r="AG819" t="s">
        <v>46</v>
      </c>
      <c r="AH819" t="s">
        <v>263</v>
      </c>
      <c r="AI819" t="s">
        <v>37</v>
      </c>
    </row>
    <row r="820" spans="1:35" x14ac:dyDescent="0.25">
      <c r="A820" t="s">
        <v>3265</v>
      </c>
      <c r="B820" t="s">
        <v>34</v>
      </c>
      <c r="C820" t="s">
        <v>3266</v>
      </c>
      <c r="D820" t="s">
        <v>3267</v>
      </c>
      <c r="E820" t="s">
        <v>3268</v>
      </c>
      <c r="F820" t="s">
        <v>3269</v>
      </c>
      <c r="G820" t="s">
        <v>39</v>
      </c>
      <c r="H820" t="s">
        <v>40</v>
      </c>
      <c r="I820" t="s">
        <v>41</v>
      </c>
      <c r="J820" t="s">
        <v>37</v>
      </c>
      <c r="K820" t="s">
        <v>37</v>
      </c>
      <c r="L820" t="s">
        <v>42</v>
      </c>
      <c r="M820" s="6">
        <v>46059.275671296295</v>
      </c>
      <c r="N820" t="s">
        <v>4265</v>
      </c>
      <c r="O820" s="1">
        <v>46060.364583333336</v>
      </c>
      <c r="P820" s="1">
        <v>46059.275787037041</v>
      </c>
      <c r="Q820" t="s">
        <v>4265</v>
      </c>
      <c r="R820" s="6">
        <v>46060.451388888891</v>
      </c>
      <c r="S820" t="s">
        <v>43</v>
      </c>
      <c r="T820">
        <v>24.99</v>
      </c>
      <c r="U820">
        <v>0</v>
      </c>
      <c r="V820">
        <v>23.8</v>
      </c>
      <c r="W820">
        <v>1.19</v>
      </c>
      <c r="X820">
        <v>0</v>
      </c>
      <c r="Y820">
        <v>0</v>
      </c>
      <c r="Z820">
        <v>24.99</v>
      </c>
      <c r="AA820" t="s">
        <v>2704</v>
      </c>
      <c r="AB820" t="s">
        <v>45</v>
      </c>
      <c r="AC820" t="s">
        <v>46</v>
      </c>
      <c r="AD820" t="s">
        <v>2556</v>
      </c>
      <c r="AE820" t="s">
        <v>2557</v>
      </c>
      <c r="AF820" t="s">
        <v>3270</v>
      </c>
      <c r="AG820" t="s">
        <v>46</v>
      </c>
      <c r="AH820" t="s">
        <v>3266</v>
      </c>
      <c r="AI820" t="s">
        <v>37</v>
      </c>
    </row>
    <row r="821" spans="1:35" x14ac:dyDescent="0.25">
      <c r="A821" t="s">
        <v>3271</v>
      </c>
      <c r="B821" t="s">
        <v>34</v>
      </c>
      <c r="C821" t="s">
        <v>3272</v>
      </c>
      <c r="D821" t="s">
        <v>3273</v>
      </c>
      <c r="E821" t="s">
        <v>3274</v>
      </c>
      <c r="F821" t="s">
        <v>3275</v>
      </c>
      <c r="G821" t="s">
        <v>39</v>
      </c>
      <c r="H821" t="s">
        <v>40</v>
      </c>
      <c r="I821" t="s">
        <v>41</v>
      </c>
      <c r="J821" t="s">
        <v>37</v>
      </c>
      <c r="K821" t="s">
        <v>37</v>
      </c>
      <c r="L821" t="s">
        <v>42</v>
      </c>
      <c r="M821" s="6">
        <v>46059.366342592592</v>
      </c>
      <c r="N821" t="s">
        <v>4268</v>
      </c>
      <c r="O821" s="1">
        <v>46059.375</v>
      </c>
      <c r="P821" s="1">
        <v>46059.366354166668</v>
      </c>
      <c r="Q821" t="s">
        <v>4268</v>
      </c>
      <c r="R821" s="6">
        <v>46059.649305555555</v>
      </c>
      <c r="S821" t="s">
        <v>43</v>
      </c>
      <c r="T821">
        <v>24.99</v>
      </c>
      <c r="U821">
        <v>0</v>
      </c>
      <c r="V821">
        <v>23.8</v>
      </c>
      <c r="W821">
        <v>1.19</v>
      </c>
      <c r="X821">
        <v>0</v>
      </c>
      <c r="Y821">
        <v>0</v>
      </c>
      <c r="Z821">
        <v>24.99</v>
      </c>
      <c r="AA821" t="s">
        <v>2704</v>
      </c>
      <c r="AB821" t="s">
        <v>45</v>
      </c>
      <c r="AC821" t="s">
        <v>46</v>
      </c>
      <c r="AD821" t="s">
        <v>2556</v>
      </c>
      <c r="AE821" t="s">
        <v>2557</v>
      </c>
      <c r="AF821" t="s">
        <v>3276</v>
      </c>
      <c r="AG821" t="s">
        <v>46</v>
      </c>
      <c r="AH821" t="s">
        <v>3272</v>
      </c>
      <c r="AI821" t="s">
        <v>37</v>
      </c>
    </row>
    <row r="822" spans="1:35" x14ac:dyDescent="0.25">
      <c r="A822" t="s">
        <v>3277</v>
      </c>
      <c r="B822" t="s">
        <v>34</v>
      </c>
      <c r="C822" t="s">
        <v>3272</v>
      </c>
      <c r="D822" t="s">
        <v>3273</v>
      </c>
      <c r="E822" t="s">
        <v>3274</v>
      </c>
      <c r="F822" t="s">
        <v>3275</v>
      </c>
      <c r="G822" t="s">
        <v>39</v>
      </c>
      <c r="H822" t="s">
        <v>40</v>
      </c>
      <c r="I822" t="s">
        <v>41</v>
      </c>
      <c r="J822" t="s">
        <v>37</v>
      </c>
      <c r="K822" t="s">
        <v>37</v>
      </c>
      <c r="L822" t="s">
        <v>42</v>
      </c>
      <c r="M822" s="6">
        <v>46059.366736111115</v>
      </c>
      <c r="N822" t="s">
        <v>4268</v>
      </c>
      <c r="O822" s="1">
        <v>46059.385416666664</v>
      </c>
      <c r="P822" s="1">
        <v>46059.366736111115</v>
      </c>
      <c r="Q822" t="s">
        <v>4268</v>
      </c>
      <c r="R822" s="6">
        <v>46059.638888888891</v>
      </c>
      <c r="S822" t="s">
        <v>43</v>
      </c>
      <c r="T822">
        <v>24.99</v>
      </c>
      <c r="U822">
        <v>0</v>
      </c>
      <c r="V822">
        <v>23.8</v>
      </c>
      <c r="W822">
        <v>1.19</v>
      </c>
      <c r="X822">
        <v>0</v>
      </c>
      <c r="Y822">
        <v>0</v>
      </c>
      <c r="Z822">
        <v>24.99</v>
      </c>
      <c r="AA822" t="s">
        <v>2704</v>
      </c>
      <c r="AB822" t="s">
        <v>45</v>
      </c>
      <c r="AC822" t="s">
        <v>46</v>
      </c>
      <c r="AD822" t="s">
        <v>2556</v>
      </c>
      <c r="AE822" t="s">
        <v>2557</v>
      </c>
      <c r="AF822" t="s">
        <v>3278</v>
      </c>
      <c r="AG822" t="s">
        <v>46</v>
      </c>
      <c r="AH822" t="s">
        <v>3272</v>
      </c>
      <c r="AI822" t="s">
        <v>37</v>
      </c>
    </row>
    <row r="823" spans="1:35" x14ac:dyDescent="0.25">
      <c r="A823" t="s">
        <v>3279</v>
      </c>
      <c r="B823" t="s">
        <v>34</v>
      </c>
      <c r="C823" t="s">
        <v>3280</v>
      </c>
      <c r="D823" t="s">
        <v>3281</v>
      </c>
      <c r="E823" t="s">
        <v>3282</v>
      </c>
      <c r="F823" t="s">
        <v>3283</v>
      </c>
      <c r="G823" t="s">
        <v>39</v>
      </c>
      <c r="H823" t="s">
        <v>40</v>
      </c>
      <c r="I823" t="s">
        <v>41</v>
      </c>
      <c r="J823" t="s">
        <v>37</v>
      </c>
      <c r="K823" t="s">
        <v>37</v>
      </c>
      <c r="L823" t="s">
        <v>42</v>
      </c>
      <c r="M823" s="6">
        <v>46059.380856481483</v>
      </c>
      <c r="N823" t="s">
        <v>4268</v>
      </c>
      <c r="O823" s="1">
        <v>46059.385416666664</v>
      </c>
      <c r="P823" s="1">
        <v>46059.381249999999</v>
      </c>
      <c r="Q823" t="s">
        <v>4268</v>
      </c>
      <c r="R823" s="6">
        <v>46059.690972222219</v>
      </c>
      <c r="S823" t="s">
        <v>43</v>
      </c>
      <c r="T823">
        <v>24.99</v>
      </c>
      <c r="U823">
        <v>0</v>
      </c>
      <c r="V823">
        <v>23.8</v>
      </c>
      <c r="W823">
        <v>1.19</v>
      </c>
      <c r="X823">
        <v>0</v>
      </c>
      <c r="Y823">
        <v>0</v>
      </c>
      <c r="Z823">
        <v>24.99</v>
      </c>
      <c r="AA823" t="s">
        <v>2704</v>
      </c>
      <c r="AB823" t="s">
        <v>45</v>
      </c>
      <c r="AC823" t="s">
        <v>46</v>
      </c>
      <c r="AD823" t="s">
        <v>2556</v>
      </c>
      <c r="AE823" t="s">
        <v>2557</v>
      </c>
      <c r="AF823" t="s">
        <v>3284</v>
      </c>
      <c r="AG823" t="s">
        <v>46</v>
      </c>
      <c r="AH823" t="s">
        <v>3280</v>
      </c>
      <c r="AI823" t="s">
        <v>37</v>
      </c>
    </row>
    <row r="824" spans="1:35" x14ac:dyDescent="0.25">
      <c r="A824" t="s">
        <v>3285</v>
      </c>
      <c r="B824" t="s">
        <v>34</v>
      </c>
      <c r="C824" t="s">
        <v>473</v>
      </c>
      <c r="D824" t="s">
        <v>474</v>
      </c>
      <c r="E824" t="s">
        <v>37</v>
      </c>
      <c r="F824" t="s">
        <v>475</v>
      </c>
      <c r="G824" t="s">
        <v>39</v>
      </c>
      <c r="H824" t="s">
        <v>40</v>
      </c>
      <c r="I824" t="s">
        <v>41</v>
      </c>
      <c r="J824" t="s">
        <v>37</v>
      </c>
      <c r="K824" t="s">
        <v>37</v>
      </c>
      <c r="L824" t="s">
        <v>42</v>
      </c>
      <c r="M824" s="6">
        <v>46059.397488425922</v>
      </c>
      <c r="N824" t="s">
        <v>4268</v>
      </c>
      <c r="O824" s="1">
        <v>46059.40625</v>
      </c>
      <c r="P824" s="1">
        <v>46059.397789351853</v>
      </c>
      <c r="Q824" t="s">
        <v>4268</v>
      </c>
      <c r="R824" s="6">
        <v>46059.607638888891</v>
      </c>
      <c r="S824" t="s">
        <v>43</v>
      </c>
      <c r="T824">
        <v>24.99</v>
      </c>
      <c r="U824">
        <v>0</v>
      </c>
      <c r="V824">
        <v>23.8</v>
      </c>
      <c r="W824">
        <v>1.19</v>
      </c>
      <c r="X824">
        <v>0</v>
      </c>
      <c r="Y824">
        <v>0</v>
      </c>
      <c r="Z824">
        <v>24.99</v>
      </c>
      <c r="AA824" t="s">
        <v>2704</v>
      </c>
      <c r="AB824" t="s">
        <v>45</v>
      </c>
      <c r="AC824" t="s">
        <v>46</v>
      </c>
      <c r="AD824" t="s">
        <v>2556</v>
      </c>
      <c r="AE824" t="s">
        <v>2557</v>
      </c>
      <c r="AF824" t="s">
        <v>3286</v>
      </c>
      <c r="AG824" t="s">
        <v>46</v>
      </c>
      <c r="AH824" t="s">
        <v>473</v>
      </c>
      <c r="AI824" t="s">
        <v>37</v>
      </c>
    </row>
    <row r="825" spans="1:35" x14ac:dyDescent="0.25">
      <c r="A825" t="s">
        <v>3287</v>
      </c>
      <c r="B825" t="s">
        <v>34</v>
      </c>
      <c r="C825" t="s">
        <v>215</v>
      </c>
      <c r="D825" t="s">
        <v>216</v>
      </c>
      <c r="E825" t="s">
        <v>37</v>
      </c>
      <c r="F825" t="s">
        <v>217</v>
      </c>
      <c r="G825" t="s">
        <v>39</v>
      </c>
      <c r="H825" t="s">
        <v>40</v>
      </c>
      <c r="I825" t="s">
        <v>41</v>
      </c>
      <c r="J825" t="s">
        <v>37</v>
      </c>
      <c r="K825" t="s">
        <v>37</v>
      </c>
      <c r="L825" t="s">
        <v>42</v>
      </c>
      <c r="M825" s="6">
        <v>46059.757939814815</v>
      </c>
      <c r="N825" t="s">
        <v>4265</v>
      </c>
      <c r="O825" s="1">
        <v>46060.375</v>
      </c>
      <c r="P825" s="1">
        <v>46059.758298611108</v>
      </c>
      <c r="Q825" t="s">
        <v>4265</v>
      </c>
      <c r="R825" s="6">
        <v>46060.670138888891</v>
      </c>
      <c r="S825" t="s">
        <v>43</v>
      </c>
      <c r="T825">
        <v>24.99</v>
      </c>
      <c r="U825">
        <v>0</v>
      </c>
      <c r="V825">
        <v>23.8</v>
      </c>
      <c r="W825">
        <v>1.19</v>
      </c>
      <c r="X825">
        <v>0</v>
      </c>
      <c r="Y825">
        <v>0</v>
      </c>
      <c r="Z825">
        <v>24.99</v>
      </c>
      <c r="AA825" t="s">
        <v>2704</v>
      </c>
      <c r="AB825" t="s">
        <v>45</v>
      </c>
      <c r="AC825" t="s">
        <v>46</v>
      </c>
      <c r="AD825" t="s">
        <v>2556</v>
      </c>
      <c r="AE825" t="s">
        <v>2557</v>
      </c>
      <c r="AF825" t="s">
        <v>3288</v>
      </c>
      <c r="AG825" t="s">
        <v>46</v>
      </c>
      <c r="AH825" t="s">
        <v>219</v>
      </c>
      <c r="AI825" t="s">
        <v>37</v>
      </c>
    </row>
    <row r="826" spans="1:35" x14ac:dyDescent="0.25">
      <c r="A826" t="s">
        <v>3289</v>
      </c>
      <c r="B826" t="s">
        <v>34</v>
      </c>
      <c r="C826" t="s">
        <v>3290</v>
      </c>
      <c r="D826" t="s">
        <v>3291</v>
      </c>
      <c r="E826" t="s">
        <v>3292</v>
      </c>
      <c r="F826" t="s">
        <v>3293</v>
      </c>
      <c r="G826" t="s">
        <v>39</v>
      </c>
      <c r="H826" t="s">
        <v>40</v>
      </c>
      <c r="I826" t="s">
        <v>41</v>
      </c>
      <c r="J826" t="s">
        <v>37</v>
      </c>
      <c r="K826" t="s">
        <v>37</v>
      </c>
      <c r="L826" t="s">
        <v>42</v>
      </c>
      <c r="M826" s="6">
        <v>46059.843576388892</v>
      </c>
      <c r="N826" t="s">
        <v>4265</v>
      </c>
      <c r="O826" s="1">
        <v>46060.291666666664</v>
      </c>
      <c r="P826" s="1">
        <v>46059.844050925924</v>
      </c>
      <c r="Q826" t="s">
        <v>4265</v>
      </c>
      <c r="R826" s="6">
        <v>46060.670138888891</v>
      </c>
      <c r="S826" t="s">
        <v>43</v>
      </c>
      <c r="T826">
        <v>24.99</v>
      </c>
      <c r="U826">
        <v>0</v>
      </c>
      <c r="V826">
        <v>23.8</v>
      </c>
      <c r="W826">
        <v>1.19</v>
      </c>
      <c r="X826">
        <v>0</v>
      </c>
      <c r="Y826">
        <v>0</v>
      </c>
      <c r="Z826">
        <v>24.99</v>
      </c>
      <c r="AA826" t="s">
        <v>2704</v>
      </c>
      <c r="AB826" t="s">
        <v>45</v>
      </c>
      <c r="AC826" t="s">
        <v>46</v>
      </c>
      <c r="AD826" t="s">
        <v>2556</v>
      </c>
      <c r="AE826" t="s">
        <v>2557</v>
      </c>
      <c r="AF826" t="s">
        <v>3294</v>
      </c>
      <c r="AG826" t="s">
        <v>46</v>
      </c>
      <c r="AH826" t="s">
        <v>3290</v>
      </c>
      <c r="AI826" t="s">
        <v>37</v>
      </c>
    </row>
    <row r="827" spans="1:35" x14ac:dyDescent="0.25">
      <c r="A827" t="s">
        <v>3295</v>
      </c>
      <c r="B827" t="s">
        <v>34</v>
      </c>
      <c r="C827" t="s">
        <v>1336</v>
      </c>
      <c r="D827" t="s">
        <v>1337</v>
      </c>
      <c r="E827" t="s">
        <v>37</v>
      </c>
      <c r="F827" t="s">
        <v>3039</v>
      </c>
      <c r="G827" t="s">
        <v>39</v>
      </c>
      <c r="H827" t="s">
        <v>40</v>
      </c>
      <c r="I827" t="s">
        <v>41</v>
      </c>
      <c r="J827" t="s">
        <v>37</v>
      </c>
      <c r="K827" t="s">
        <v>37</v>
      </c>
      <c r="L827" t="s">
        <v>42</v>
      </c>
      <c r="M827" s="6">
        <v>46060.318495370368</v>
      </c>
      <c r="N827" t="s">
        <v>4265</v>
      </c>
      <c r="O827" s="1">
        <v>46060.375</v>
      </c>
      <c r="P827" s="1">
        <v>46060.319050925929</v>
      </c>
      <c r="Q827" t="s">
        <v>4265</v>
      </c>
      <c r="R827" s="6">
        <v>46060.670138888891</v>
      </c>
      <c r="S827" t="s">
        <v>43</v>
      </c>
      <c r="T827">
        <v>24.99</v>
      </c>
      <c r="U827">
        <v>0</v>
      </c>
      <c r="V827">
        <v>23.8</v>
      </c>
      <c r="W827">
        <v>1.19</v>
      </c>
      <c r="X827">
        <v>0</v>
      </c>
      <c r="Y827">
        <v>0</v>
      </c>
      <c r="Z827">
        <v>24.99</v>
      </c>
      <c r="AA827" t="s">
        <v>2704</v>
      </c>
      <c r="AB827" t="s">
        <v>45</v>
      </c>
      <c r="AC827" t="s">
        <v>46</v>
      </c>
      <c r="AD827" t="s">
        <v>2556</v>
      </c>
      <c r="AE827" t="s">
        <v>2557</v>
      </c>
      <c r="AF827" t="s">
        <v>3296</v>
      </c>
      <c r="AG827" t="s">
        <v>46</v>
      </c>
      <c r="AH827" t="s">
        <v>1336</v>
      </c>
      <c r="AI827" t="s">
        <v>37</v>
      </c>
    </row>
    <row r="828" spans="1:35" x14ac:dyDescent="0.25">
      <c r="A828" t="s">
        <v>3297</v>
      </c>
      <c r="B828" t="s">
        <v>34</v>
      </c>
      <c r="C828" t="s">
        <v>3298</v>
      </c>
      <c r="D828" t="s">
        <v>3299</v>
      </c>
      <c r="E828" t="s">
        <v>3300</v>
      </c>
      <c r="F828" t="s">
        <v>3301</v>
      </c>
      <c r="G828" t="s">
        <v>39</v>
      </c>
      <c r="H828" t="s">
        <v>40</v>
      </c>
      <c r="I828" t="s">
        <v>41</v>
      </c>
      <c r="J828" t="s">
        <v>37</v>
      </c>
      <c r="K828" t="s">
        <v>37</v>
      </c>
      <c r="L828" t="s">
        <v>42</v>
      </c>
      <c r="M828" s="6">
        <v>46060.358819444446</v>
      </c>
      <c r="N828" t="s">
        <v>4265</v>
      </c>
      <c r="O828" s="1">
        <v>46060.375</v>
      </c>
      <c r="P828" s="1">
        <v>46060.359016203707</v>
      </c>
      <c r="Q828" t="s">
        <v>4265</v>
      </c>
      <c r="R828" s="6">
        <v>46060.711805555555</v>
      </c>
      <c r="S828" t="s">
        <v>43</v>
      </c>
      <c r="T828">
        <v>24.99</v>
      </c>
      <c r="U828">
        <v>0</v>
      </c>
      <c r="V828">
        <v>23.8</v>
      </c>
      <c r="W828">
        <v>1.19</v>
      </c>
      <c r="X828">
        <v>0</v>
      </c>
      <c r="Y828">
        <v>0</v>
      </c>
      <c r="Z828">
        <v>24.99</v>
      </c>
      <c r="AA828" t="s">
        <v>2704</v>
      </c>
      <c r="AB828" t="s">
        <v>45</v>
      </c>
      <c r="AC828" t="s">
        <v>46</v>
      </c>
      <c r="AD828" t="s">
        <v>2556</v>
      </c>
      <c r="AE828" t="s">
        <v>2557</v>
      </c>
      <c r="AF828" t="s">
        <v>3302</v>
      </c>
      <c r="AG828" t="s">
        <v>46</v>
      </c>
      <c r="AH828" t="s">
        <v>3298</v>
      </c>
      <c r="AI828" t="s">
        <v>37</v>
      </c>
    </row>
    <row r="829" spans="1:35" x14ac:dyDescent="0.25">
      <c r="A829" t="s">
        <v>3303</v>
      </c>
      <c r="B829" t="s">
        <v>34</v>
      </c>
      <c r="C829" t="s">
        <v>2355</v>
      </c>
      <c r="D829" t="s">
        <v>2356</v>
      </c>
      <c r="E829" t="s">
        <v>37</v>
      </c>
      <c r="F829" t="s">
        <v>3304</v>
      </c>
      <c r="G829" t="s">
        <v>39</v>
      </c>
      <c r="H829" t="s">
        <v>40</v>
      </c>
      <c r="I829" t="s">
        <v>41</v>
      </c>
      <c r="J829" t="s">
        <v>37</v>
      </c>
      <c r="K829" t="s">
        <v>37</v>
      </c>
      <c r="L829" t="s">
        <v>42</v>
      </c>
      <c r="M829" s="6">
        <v>46060.396689814814</v>
      </c>
      <c r="N829" t="s">
        <v>4265</v>
      </c>
      <c r="O829" s="1">
        <v>46060.458333333336</v>
      </c>
      <c r="P829" s="1">
        <v>46060.397141203706</v>
      </c>
      <c r="Q829" t="s">
        <v>4265</v>
      </c>
      <c r="R829" s="6">
        <v>46060.711805555555</v>
      </c>
      <c r="S829" t="s">
        <v>43</v>
      </c>
      <c r="T829">
        <v>24.99</v>
      </c>
      <c r="U829">
        <v>0</v>
      </c>
      <c r="V829">
        <v>23.8</v>
      </c>
      <c r="W829">
        <v>1.19</v>
      </c>
      <c r="X829">
        <v>0</v>
      </c>
      <c r="Y829">
        <v>0</v>
      </c>
      <c r="Z829">
        <v>24.99</v>
      </c>
      <c r="AA829" t="s">
        <v>2704</v>
      </c>
      <c r="AB829" t="s">
        <v>45</v>
      </c>
      <c r="AC829" t="s">
        <v>46</v>
      </c>
      <c r="AD829" t="s">
        <v>2556</v>
      </c>
      <c r="AE829" t="s">
        <v>2557</v>
      </c>
      <c r="AF829" t="s">
        <v>3305</v>
      </c>
      <c r="AG829" t="s">
        <v>46</v>
      </c>
      <c r="AH829" t="s">
        <v>2355</v>
      </c>
      <c r="AI829" t="s">
        <v>37</v>
      </c>
    </row>
    <row r="830" spans="1:35" x14ac:dyDescent="0.25">
      <c r="A830" t="s">
        <v>3306</v>
      </c>
      <c r="B830" t="s">
        <v>34</v>
      </c>
      <c r="C830" t="s">
        <v>2355</v>
      </c>
      <c r="D830" t="s">
        <v>2356</v>
      </c>
      <c r="E830" t="s">
        <v>37</v>
      </c>
      <c r="F830" t="s">
        <v>3307</v>
      </c>
      <c r="G830" t="s">
        <v>39</v>
      </c>
      <c r="H830" t="s">
        <v>40</v>
      </c>
      <c r="I830" t="s">
        <v>41</v>
      </c>
      <c r="J830" t="s">
        <v>37</v>
      </c>
      <c r="K830" t="s">
        <v>37</v>
      </c>
      <c r="L830" t="s">
        <v>42</v>
      </c>
      <c r="M830" s="6">
        <v>46060.400879629633</v>
      </c>
      <c r="N830" t="s">
        <v>4265</v>
      </c>
      <c r="O830" s="1">
        <v>46060.458333333336</v>
      </c>
      <c r="P830" s="1">
        <v>46060.400879629633</v>
      </c>
      <c r="Q830" t="s">
        <v>4265</v>
      </c>
      <c r="R830" s="6">
        <v>46060.711805555555</v>
      </c>
      <c r="S830" t="s">
        <v>43</v>
      </c>
      <c r="T830">
        <v>24.99</v>
      </c>
      <c r="U830">
        <v>0</v>
      </c>
      <c r="V830">
        <v>23.8</v>
      </c>
      <c r="W830">
        <v>1.19</v>
      </c>
      <c r="X830">
        <v>0</v>
      </c>
      <c r="Y830">
        <v>0</v>
      </c>
      <c r="Z830">
        <v>24.99</v>
      </c>
      <c r="AA830" t="s">
        <v>2704</v>
      </c>
      <c r="AB830" t="s">
        <v>45</v>
      </c>
      <c r="AC830" t="s">
        <v>46</v>
      </c>
      <c r="AD830" t="s">
        <v>2556</v>
      </c>
      <c r="AE830" t="s">
        <v>2557</v>
      </c>
      <c r="AF830" t="s">
        <v>3308</v>
      </c>
      <c r="AG830" t="s">
        <v>46</v>
      </c>
      <c r="AH830" t="s">
        <v>2355</v>
      </c>
      <c r="AI830" t="s">
        <v>37</v>
      </c>
    </row>
    <row r="831" spans="1:35" x14ac:dyDescent="0.25">
      <c r="A831" t="s">
        <v>3309</v>
      </c>
      <c r="B831" t="s">
        <v>34</v>
      </c>
      <c r="C831" t="s">
        <v>3290</v>
      </c>
      <c r="D831" t="s">
        <v>3291</v>
      </c>
      <c r="E831" t="s">
        <v>3292</v>
      </c>
      <c r="F831" t="s">
        <v>3293</v>
      </c>
      <c r="G831" t="s">
        <v>39</v>
      </c>
      <c r="H831" t="s">
        <v>40</v>
      </c>
      <c r="I831" t="s">
        <v>41</v>
      </c>
      <c r="J831" t="s">
        <v>37</v>
      </c>
      <c r="K831" t="s">
        <v>37</v>
      </c>
      <c r="L831" t="s">
        <v>42</v>
      </c>
      <c r="M831" s="6">
        <v>46061.278807870367</v>
      </c>
      <c r="N831" t="s">
        <v>4266</v>
      </c>
      <c r="O831" s="1">
        <v>46061.322916666664</v>
      </c>
      <c r="P831" s="1">
        <v>46061.278807870367</v>
      </c>
      <c r="Q831" t="s">
        <v>4266</v>
      </c>
      <c r="R831" s="6">
        <v>46061.628472222219</v>
      </c>
      <c r="S831" t="s">
        <v>43</v>
      </c>
      <c r="T831">
        <v>24.99</v>
      </c>
      <c r="U831">
        <v>0</v>
      </c>
      <c r="V831">
        <v>23.8</v>
      </c>
      <c r="W831">
        <v>1.19</v>
      </c>
      <c r="X831">
        <v>0</v>
      </c>
      <c r="Y831">
        <v>0</v>
      </c>
      <c r="Z831">
        <v>24.99</v>
      </c>
      <c r="AA831" t="s">
        <v>2704</v>
      </c>
      <c r="AB831" t="s">
        <v>45</v>
      </c>
      <c r="AC831" t="s">
        <v>46</v>
      </c>
      <c r="AD831" t="s">
        <v>2556</v>
      </c>
      <c r="AE831" t="s">
        <v>2557</v>
      </c>
      <c r="AF831" t="s">
        <v>3310</v>
      </c>
      <c r="AG831" t="s">
        <v>46</v>
      </c>
      <c r="AH831" t="s">
        <v>3290</v>
      </c>
      <c r="AI831" t="s">
        <v>37</v>
      </c>
    </row>
    <row r="832" spans="1:35" x14ac:dyDescent="0.25">
      <c r="A832" t="s">
        <v>3311</v>
      </c>
      <c r="B832" t="s">
        <v>34</v>
      </c>
      <c r="C832" t="s">
        <v>1336</v>
      </c>
      <c r="D832" t="s">
        <v>1337</v>
      </c>
      <c r="E832" t="s">
        <v>37</v>
      </c>
      <c r="F832" t="s">
        <v>3039</v>
      </c>
      <c r="G832" t="s">
        <v>39</v>
      </c>
      <c r="H832" t="s">
        <v>40</v>
      </c>
      <c r="I832" t="s">
        <v>41</v>
      </c>
      <c r="J832" t="s">
        <v>37</v>
      </c>
      <c r="K832" t="s">
        <v>37</v>
      </c>
      <c r="L832" t="s">
        <v>42</v>
      </c>
      <c r="M832" s="6">
        <v>46061.305821759262</v>
      </c>
      <c r="N832" t="s">
        <v>4266</v>
      </c>
      <c r="O832" s="1">
        <v>46061.375</v>
      </c>
      <c r="P832" s="1">
        <v>46061.305821759262</v>
      </c>
      <c r="Q832" t="s">
        <v>4266</v>
      </c>
      <c r="R832" s="6">
        <v>46061.670138888891</v>
      </c>
      <c r="S832" t="s">
        <v>43</v>
      </c>
      <c r="T832">
        <v>24.99</v>
      </c>
      <c r="U832">
        <v>0</v>
      </c>
      <c r="V832">
        <v>23.8</v>
      </c>
      <c r="W832">
        <v>1.19</v>
      </c>
      <c r="X832">
        <v>0</v>
      </c>
      <c r="Y832">
        <v>0</v>
      </c>
      <c r="Z832">
        <v>24.99</v>
      </c>
      <c r="AA832" t="s">
        <v>2704</v>
      </c>
      <c r="AB832" t="s">
        <v>45</v>
      </c>
      <c r="AC832" t="s">
        <v>46</v>
      </c>
      <c r="AD832" t="s">
        <v>2556</v>
      </c>
      <c r="AE832" t="s">
        <v>2557</v>
      </c>
      <c r="AF832" t="s">
        <v>3312</v>
      </c>
      <c r="AG832" t="s">
        <v>46</v>
      </c>
      <c r="AH832" t="s">
        <v>1336</v>
      </c>
      <c r="AI832" t="s">
        <v>37</v>
      </c>
    </row>
    <row r="833" spans="1:35" x14ac:dyDescent="0.25">
      <c r="A833" t="s">
        <v>3313</v>
      </c>
      <c r="B833" t="s">
        <v>34</v>
      </c>
      <c r="C833" t="s">
        <v>2355</v>
      </c>
      <c r="D833" t="s">
        <v>2356</v>
      </c>
      <c r="E833" t="s">
        <v>37</v>
      </c>
      <c r="F833" t="s">
        <v>3304</v>
      </c>
      <c r="G833" t="s">
        <v>39</v>
      </c>
      <c r="H833" t="s">
        <v>40</v>
      </c>
      <c r="I833" t="s">
        <v>41</v>
      </c>
      <c r="J833" t="s">
        <v>37</v>
      </c>
      <c r="K833" t="s">
        <v>37</v>
      </c>
      <c r="L833" t="s">
        <v>42</v>
      </c>
      <c r="M833" s="6">
        <v>46061.410208333335</v>
      </c>
      <c r="N833" t="s">
        <v>4266</v>
      </c>
      <c r="O833" s="1">
        <v>46061.458333333336</v>
      </c>
      <c r="P833" s="1">
        <v>46061.410208333335</v>
      </c>
      <c r="Q833" t="s">
        <v>4266</v>
      </c>
      <c r="R833" s="6">
        <v>46061.711805555555</v>
      </c>
      <c r="S833" t="s">
        <v>43</v>
      </c>
      <c r="T833">
        <v>24.99</v>
      </c>
      <c r="U833">
        <v>0</v>
      </c>
      <c r="V833">
        <v>23.8</v>
      </c>
      <c r="W833">
        <v>1.19</v>
      </c>
      <c r="X833">
        <v>0</v>
      </c>
      <c r="Y833">
        <v>0</v>
      </c>
      <c r="Z833">
        <v>24.99</v>
      </c>
      <c r="AA833" t="s">
        <v>2704</v>
      </c>
      <c r="AB833" t="s">
        <v>45</v>
      </c>
      <c r="AC833" t="s">
        <v>46</v>
      </c>
      <c r="AD833" t="s">
        <v>2556</v>
      </c>
      <c r="AE833" t="s">
        <v>2557</v>
      </c>
      <c r="AF833" t="s">
        <v>3314</v>
      </c>
      <c r="AG833" t="s">
        <v>46</v>
      </c>
      <c r="AH833" t="s">
        <v>2355</v>
      </c>
      <c r="AI833" t="s">
        <v>37</v>
      </c>
    </row>
    <row r="834" spans="1:35" x14ac:dyDescent="0.25">
      <c r="A834" t="s">
        <v>3315</v>
      </c>
      <c r="B834" t="s">
        <v>34</v>
      </c>
      <c r="C834" t="s">
        <v>2355</v>
      </c>
      <c r="D834" t="s">
        <v>2356</v>
      </c>
      <c r="E834" t="s">
        <v>37</v>
      </c>
      <c r="F834" t="s">
        <v>3307</v>
      </c>
      <c r="G834" t="s">
        <v>39</v>
      </c>
      <c r="H834" t="s">
        <v>40</v>
      </c>
      <c r="I834" t="s">
        <v>41</v>
      </c>
      <c r="J834" t="s">
        <v>37</v>
      </c>
      <c r="K834" t="s">
        <v>37</v>
      </c>
      <c r="L834" t="s">
        <v>42</v>
      </c>
      <c r="M834" s="6">
        <v>46061.411979166667</v>
      </c>
      <c r="N834" t="s">
        <v>4266</v>
      </c>
      <c r="O834" s="1">
        <v>46061.458333333336</v>
      </c>
      <c r="P834" s="1">
        <v>46061.411979166667</v>
      </c>
      <c r="Q834" t="s">
        <v>4266</v>
      </c>
      <c r="R834" s="6">
        <v>46061.711805555555</v>
      </c>
      <c r="S834" t="s">
        <v>43</v>
      </c>
      <c r="T834">
        <v>24.99</v>
      </c>
      <c r="U834">
        <v>0</v>
      </c>
      <c r="V834">
        <v>23.8</v>
      </c>
      <c r="W834">
        <v>1.19</v>
      </c>
      <c r="X834">
        <v>0</v>
      </c>
      <c r="Y834">
        <v>0</v>
      </c>
      <c r="Z834">
        <v>24.99</v>
      </c>
      <c r="AA834" t="s">
        <v>2704</v>
      </c>
      <c r="AB834" t="s">
        <v>45</v>
      </c>
      <c r="AC834" t="s">
        <v>46</v>
      </c>
      <c r="AD834" t="s">
        <v>2556</v>
      </c>
      <c r="AE834" t="s">
        <v>2557</v>
      </c>
      <c r="AF834" t="s">
        <v>3316</v>
      </c>
      <c r="AG834" t="s">
        <v>46</v>
      </c>
      <c r="AH834" t="s">
        <v>2355</v>
      </c>
      <c r="AI834" t="s">
        <v>37</v>
      </c>
    </row>
    <row r="835" spans="1:35" x14ac:dyDescent="0.25">
      <c r="A835" t="s">
        <v>3317</v>
      </c>
      <c r="B835" t="s">
        <v>34</v>
      </c>
      <c r="C835" t="s">
        <v>3212</v>
      </c>
      <c r="D835" t="s">
        <v>3213</v>
      </c>
      <c r="E835" t="s">
        <v>3214</v>
      </c>
      <c r="F835" t="s">
        <v>3215</v>
      </c>
      <c r="G835" t="s">
        <v>39</v>
      </c>
      <c r="H835" t="s">
        <v>40</v>
      </c>
      <c r="I835" t="s">
        <v>41</v>
      </c>
      <c r="J835" t="s">
        <v>37</v>
      </c>
      <c r="K835" t="s">
        <v>37</v>
      </c>
      <c r="L835" t="s">
        <v>42</v>
      </c>
      <c r="M835" s="6">
        <v>46061.690648148149</v>
      </c>
      <c r="N835" t="s">
        <v>4268</v>
      </c>
      <c r="O835" s="1">
        <v>46073.354166666664</v>
      </c>
      <c r="P835" s="1">
        <v>46061.691874999997</v>
      </c>
      <c r="Q835" t="s">
        <v>4268</v>
      </c>
      <c r="R835" s="6">
        <v>46073.711805555555</v>
      </c>
      <c r="S835" t="s">
        <v>43</v>
      </c>
      <c r="T835">
        <v>24.99</v>
      </c>
      <c r="U835">
        <v>0</v>
      </c>
      <c r="V835">
        <v>23.8</v>
      </c>
      <c r="W835">
        <v>1.19</v>
      </c>
      <c r="X835">
        <v>0</v>
      </c>
      <c r="Y835">
        <v>0</v>
      </c>
      <c r="Z835">
        <v>24.99</v>
      </c>
      <c r="AA835" t="s">
        <v>2704</v>
      </c>
      <c r="AB835" t="s">
        <v>45</v>
      </c>
      <c r="AC835" t="s">
        <v>46</v>
      </c>
      <c r="AD835" t="s">
        <v>2556</v>
      </c>
      <c r="AE835" t="s">
        <v>2557</v>
      </c>
      <c r="AF835" t="s">
        <v>3318</v>
      </c>
      <c r="AG835" t="s">
        <v>46</v>
      </c>
      <c r="AH835" t="s">
        <v>3212</v>
      </c>
      <c r="AI835" t="s">
        <v>37</v>
      </c>
    </row>
    <row r="836" spans="1:35" x14ac:dyDescent="0.25">
      <c r="A836" t="s">
        <v>3319</v>
      </c>
      <c r="B836" t="s">
        <v>34</v>
      </c>
      <c r="C836" t="s">
        <v>3212</v>
      </c>
      <c r="D836" t="s">
        <v>3213</v>
      </c>
      <c r="E836" t="s">
        <v>3214</v>
      </c>
      <c r="F836" t="s">
        <v>3215</v>
      </c>
      <c r="G836" t="s">
        <v>39</v>
      </c>
      <c r="H836" t="s">
        <v>40</v>
      </c>
      <c r="I836" t="s">
        <v>41</v>
      </c>
      <c r="J836" t="s">
        <v>37</v>
      </c>
      <c r="K836" t="s">
        <v>37</v>
      </c>
      <c r="L836" t="s">
        <v>42</v>
      </c>
      <c r="M836" s="6">
        <v>46061.694085648145</v>
      </c>
      <c r="N836" t="s">
        <v>4265</v>
      </c>
      <c r="O836" s="1">
        <v>46074.354166666664</v>
      </c>
      <c r="P836" s="1">
        <v>46061.694606481484</v>
      </c>
      <c r="Q836" t="s">
        <v>4265</v>
      </c>
      <c r="R836" s="6">
        <v>46074.711805555555</v>
      </c>
      <c r="S836" t="s">
        <v>43</v>
      </c>
      <c r="T836">
        <v>24.99</v>
      </c>
      <c r="U836">
        <v>0</v>
      </c>
      <c r="V836">
        <v>23.8</v>
      </c>
      <c r="W836">
        <v>1.19</v>
      </c>
      <c r="X836">
        <v>0</v>
      </c>
      <c r="Y836">
        <v>0</v>
      </c>
      <c r="Z836">
        <v>24.99</v>
      </c>
      <c r="AA836" t="s">
        <v>2704</v>
      </c>
      <c r="AB836" t="s">
        <v>45</v>
      </c>
      <c r="AC836" t="s">
        <v>46</v>
      </c>
      <c r="AD836" t="s">
        <v>2556</v>
      </c>
      <c r="AE836" t="s">
        <v>2557</v>
      </c>
      <c r="AF836" t="s">
        <v>3320</v>
      </c>
      <c r="AG836" t="s">
        <v>46</v>
      </c>
      <c r="AH836" t="s">
        <v>3212</v>
      </c>
      <c r="AI836" t="s">
        <v>37</v>
      </c>
    </row>
    <row r="837" spans="1:35" x14ac:dyDescent="0.25">
      <c r="A837" t="s">
        <v>3321</v>
      </c>
      <c r="B837" t="s">
        <v>34</v>
      </c>
      <c r="C837" t="s">
        <v>3322</v>
      </c>
      <c r="D837" t="s">
        <v>3323</v>
      </c>
      <c r="E837" t="s">
        <v>3324</v>
      </c>
      <c r="F837" t="s">
        <v>3325</v>
      </c>
      <c r="G837" t="s">
        <v>39</v>
      </c>
      <c r="H837" t="s">
        <v>40</v>
      </c>
      <c r="I837" t="s">
        <v>41</v>
      </c>
      <c r="J837" t="s">
        <v>37</v>
      </c>
      <c r="K837" t="s">
        <v>37</v>
      </c>
      <c r="L837" t="s">
        <v>42</v>
      </c>
      <c r="M837" s="6">
        <v>46062.54515046296</v>
      </c>
      <c r="N837" t="s">
        <v>4266</v>
      </c>
      <c r="O837" s="1">
        <v>46068.333333333336</v>
      </c>
      <c r="P837" s="1">
        <v>46062.545775462961</v>
      </c>
      <c r="Q837" t="s">
        <v>4266</v>
      </c>
      <c r="R837" s="6">
        <v>46068.711805555555</v>
      </c>
      <c r="S837" t="s">
        <v>43</v>
      </c>
      <c r="T837">
        <v>24.99</v>
      </c>
      <c r="U837">
        <v>0</v>
      </c>
      <c r="V837">
        <v>23.8</v>
      </c>
      <c r="W837">
        <v>1.19</v>
      </c>
      <c r="X837">
        <v>0</v>
      </c>
      <c r="Y837">
        <v>0</v>
      </c>
      <c r="Z837">
        <v>24.99</v>
      </c>
      <c r="AA837" t="s">
        <v>2704</v>
      </c>
      <c r="AB837" t="s">
        <v>45</v>
      </c>
      <c r="AC837" t="s">
        <v>46</v>
      </c>
      <c r="AD837" t="s">
        <v>2556</v>
      </c>
      <c r="AE837" t="s">
        <v>2557</v>
      </c>
      <c r="AF837" t="s">
        <v>3326</v>
      </c>
      <c r="AG837" t="s">
        <v>46</v>
      </c>
      <c r="AH837" t="s">
        <v>3322</v>
      </c>
      <c r="AI837" t="s">
        <v>37</v>
      </c>
    </row>
    <row r="838" spans="1:35" x14ac:dyDescent="0.25">
      <c r="A838" t="s">
        <v>3327</v>
      </c>
      <c r="B838" t="s">
        <v>34</v>
      </c>
      <c r="C838" t="s">
        <v>3328</v>
      </c>
      <c r="D838" t="s">
        <v>3329</v>
      </c>
      <c r="E838" t="s">
        <v>3330</v>
      </c>
      <c r="F838" t="s">
        <v>3331</v>
      </c>
      <c r="G838" t="s">
        <v>39</v>
      </c>
      <c r="H838" t="s">
        <v>40</v>
      </c>
      <c r="I838" t="s">
        <v>41</v>
      </c>
      <c r="J838" t="s">
        <v>37</v>
      </c>
      <c r="K838" t="s">
        <v>37</v>
      </c>
      <c r="L838" t="s">
        <v>42</v>
      </c>
      <c r="M838" s="6">
        <v>46062.752337962964</v>
      </c>
      <c r="N838" t="s">
        <v>4266</v>
      </c>
      <c r="O838" s="1">
        <v>46068.354166666664</v>
      </c>
      <c r="P838" s="1">
        <v>46062.752488425926</v>
      </c>
      <c r="Q838" t="s">
        <v>4266</v>
      </c>
      <c r="R838" s="6">
        <v>46068.690972222219</v>
      </c>
      <c r="S838" t="s">
        <v>43</v>
      </c>
      <c r="T838">
        <v>24.99</v>
      </c>
      <c r="U838">
        <v>0</v>
      </c>
      <c r="V838">
        <v>23.8</v>
      </c>
      <c r="W838">
        <v>1.19</v>
      </c>
      <c r="X838">
        <v>0</v>
      </c>
      <c r="Y838">
        <v>0</v>
      </c>
      <c r="Z838">
        <v>24.99</v>
      </c>
      <c r="AA838" t="s">
        <v>2704</v>
      </c>
      <c r="AB838" t="s">
        <v>45</v>
      </c>
      <c r="AC838" t="s">
        <v>46</v>
      </c>
      <c r="AD838" t="s">
        <v>2556</v>
      </c>
      <c r="AE838" t="s">
        <v>2557</v>
      </c>
      <c r="AF838" t="s">
        <v>3332</v>
      </c>
      <c r="AG838" t="s">
        <v>46</v>
      </c>
      <c r="AH838" t="s">
        <v>3328</v>
      </c>
      <c r="AI838" t="s">
        <v>37</v>
      </c>
    </row>
    <row r="839" spans="1:35" x14ac:dyDescent="0.25">
      <c r="A839" t="s">
        <v>3333</v>
      </c>
      <c r="B839" t="s">
        <v>34</v>
      </c>
      <c r="C839" t="s">
        <v>3334</v>
      </c>
      <c r="D839" t="s">
        <v>3335</v>
      </c>
      <c r="E839" t="s">
        <v>3336</v>
      </c>
      <c r="F839" t="s">
        <v>3337</v>
      </c>
      <c r="G839" t="s">
        <v>39</v>
      </c>
      <c r="H839" t="s">
        <v>40</v>
      </c>
      <c r="I839" t="s">
        <v>41</v>
      </c>
      <c r="J839" t="s">
        <v>37</v>
      </c>
      <c r="K839" t="s">
        <v>37</v>
      </c>
      <c r="L839" t="s">
        <v>42</v>
      </c>
      <c r="M839" s="6">
        <v>46066.387245370373</v>
      </c>
      <c r="N839" t="s">
        <v>4268</v>
      </c>
      <c r="O839" s="1">
        <v>46066.395833333336</v>
      </c>
      <c r="P839" s="1">
        <v>46066.387256944443</v>
      </c>
      <c r="Q839" t="s">
        <v>4268</v>
      </c>
      <c r="R839" s="6">
        <v>46066.711805555555</v>
      </c>
      <c r="S839" t="s">
        <v>43</v>
      </c>
      <c r="T839">
        <v>24.99</v>
      </c>
      <c r="U839">
        <v>0</v>
      </c>
      <c r="V839">
        <v>23.8</v>
      </c>
      <c r="W839">
        <v>1.19</v>
      </c>
      <c r="X839">
        <v>0</v>
      </c>
      <c r="Y839">
        <v>0</v>
      </c>
      <c r="Z839">
        <v>24.99</v>
      </c>
      <c r="AA839" t="s">
        <v>2704</v>
      </c>
      <c r="AB839" t="s">
        <v>45</v>
      </c>
      <c r="AC839" t="s">
        <v>46</v>
      </c>
      <c r="AD839" t="s">
        <v>2556</v>
      </c>
      <c r="AE839" t="s">
        <v>2557</v>
      </c>
      <c r="AF839" t="s">
        <v>3338</v>
      </c>
      <c r="AG839" t="s">
        <v>46</v>
      </c>
      <c r="AH839" t="s">
        <v>3334</v>
      </c>
      <c r="AI839" t="s">
        <v>37</v>
      </c>
    </row>
    <row r="840" spans="1:35" x14ac:dyDescent="0.25">
      <c r="A840" t="s">
        <v>3339</v>
      </c>
      <c r="B840" t="s">
        <v>34</v>
      </c>
      <c r="C840" t="s">
        <v>3340</v>
      </c>
      <c r="D840" t="s">
        <v>3341</v>
      </c>
      <c r="E840" t="s">
        <v>3342</v>
      </c>
      <c r="F840" t="s">
        <v>3343</v>
      </c>
      <c r="G840" t="s">
        <v>39</v>
      </c>
      <c r="H840" t="s">
        <v>40</v>
      </c>
      <c r="I840" t="s">
        <v>41</v>
      </c>
      <c r="J840" t="s">
        <v>37</v>
      </c>
      <c r="K840" t="s">
        <v>37</v>
      </c>
      <c r="L840" t="s">
        <v>42</v>
      </c>
      <c r="M840" s="6">
        <v>46066.722314814811</v>
      </c>
      <c r="N840" t="s">
        <v>4265</v>
      </c>
      <c r="O840" s="1">
        <v>46067.375</v>
      </c>
      <c r="P840" s="1">
        <v>46066.722453703704</v>
      </c>
      <c r="Q840" t="s">
        <v>4265</v>
      </c>
      <c r="R840" s="6">
        <v>46067.690972222219</v>
      </c>
      <c r="S840" t="s">
        <v>43</v>
      </c>
      <c r="T840">
        <v>24.99</v>
      </c>
      <c r="U840">
        <v>0</v>
      </c>
      <c r="V840">
        <v>23.8</v>
      </c>
      <c r="W840">
        <v>1.19</v>
      </c>
      <c r="X840">
        <v>0</v>
      </c>
      <c r="Y840">
        <v>0</v>
      </c>
      <c r="Z840">
        <v>24.99</v>
      </c>
      <c r="AA840" t="s">
        <v>2704</v>
      </c>
      <c r="AB840" t="s">
        <v>45</v>
      </c>
      <c r="AC840" t="s">
        <v>46</v>
      </c>
      <c r="AD840" t="s">
        <v>2556</v>
      </c>
      <c r="AE840" t="s">
        <v>2557</v>
      </c>
      <c r="AF840" t="s">
        <v>3344</v>
      </c>
      <c r="AG840" t="s">
        <v>46</v>
      </c>
      <c r="AH840" t="s">
        <v>3340</v>
      </c>
      <c r="AI840" t="s">
        <v>37</v>
      </c>
    </row>
    <row r="841" spans="1:35" x14ac:dyDescent="0.25">
      <c r="A841" t="s">
        <v>3345</v>
      </c>
      <c r="B841" t="s">
        <v>34</v>
      </c>
      <c r="C841" t="s">
        <v>3346</v>
      </c>
      <c r="D841" t="s">
        <v>3347</v>
      </c>
      <c r="E841" t="s">
        <v>3348</v>
      </c>
      <c r="F841" t="s">
        <v>3349</v>
      </c>
      <c r="G841" t="s">
        <v>39</v>
      </c>
      <c r="H841" t="s">
        <v>40</v>
      </c>
      <c r="I841" t="s">
        <v>41</v>
      </c>
      <c r="J841" t="s">
        <v>37</v>
      </c>
      <c r="K841" t="s">
        <v>37</v>
      </c>
      <c r="L841" t="s">
        <v>42</v>
      </c>
      <c r="M841" s="6">
        <v>46066.766030092593</v>
      </c>
      <c r="N841" t="s">
        <v>4266</v>
      </c>
      <c r="O841" s="1">
        <v>46068.34375</v>
      </c>
      <c r="P841" s="1">
        <v>46066.766574074078</v>
      </c>
      <c r="Q841" t="s">
        <v>4266</v>
      </c>
      <c r="R841" s="6">
        <v>46068.711805555555</v>
      </c>
      <c r="S841" t="s">
        <v>43</v>
      </c>
      <c r="T841">
        <v>24.99</v>
      </c>
      <c r="U841">
        <v>0</v>
      </c>
      <c r="V841">
        <v>23.8</v>
      </c>
      <c r="W841">
        <v>1.19</v>
      </c>
      <c r="X841">
        <v>0</v>
      </c>
      <c r="Y841">
        <v>0</v>
      </c>
      <c r="Z841">
        <v>24.99</v>
      </c>
      <c r="AA841" t="s">
        <v>2704</v>
      </c>
      <c r="AB841" t="s">
        <v>45</v>
      </c>
      <c r="AC841" t="s">
        <v>46</v>
      </c>
      <c r="AD841" t="s">
        <v>2556</v>
      </c>
      <c r="AE841" t="s">
        <v>2557</v>
      </c>
      <c r="AF841" t="s">
        <v>3350</v>
      </c>
      <c r="AG841" t="s">
        <v>46</v>
      </c>
      <c r="AH841" t="s">
        <v>3346</v>
      </c>
      <c r="AI841" t="s">
        <v>37</v>
      </c>
    </row>
    <row r="842" spans="1:35" x14ac:dyDescent="0.25">
      <c r="A842" t="s">
        <v>3351</v>
      </c>
      <c r="B842" t="s">
        <v>34</v>
      </c>
      <c r="C842" t="s">
        <v>3352</v>
      </c>
      <c r="D842" t="s">
        <v>3353</v>
      </c>
      <c r="E842" t="s">
        <v>3354</v>
      </c>
      <c r="F842" t="s">
        <v>3355</v>
      </c>
      <c r="G842" t="s">
        <v>39</v>
      </c>
      <c r="H842" t="s">
        <v>40</v>
      </c>
      <c r="I842" t="s">
        <v>41</v>
      </c>
      <c r="J842" t="s">
        <v>37</v>
      </c>
      <c r="K842" t="s">
        <v>37</v>
      </c>
      <c r="L842" t="s">
        <v>42</v>
      </c>
      <c r="M842" s="6">
        <v>46067.328275462962</v>
      </c>
      <c r="N842" t="s">
        <v>4265</v>
      </c>
      <c r="O842" s="1">
        <v>46067.354166666664</v>
      </c>
      <c r="P842" s="1">
        <v>46067.328275462962</v>
      </c>
      <c r="Q842" t="s">
        <v>4265</v>
      </c>
      <c r="R842" s="6">
        <v>46067.711805555555</v>
      </c>
      <c r="S842" t="s">
        <v>43</v>
      </c>
      <c r="T842">
        <v>24.99</v>
      </c>
      <c r="U842">
        <v>0</v>
      </c>
      <c r="V842">
        <v>23.8</v>
      </c>
      <c r="W842">
        <v>1.19</v>
      </c>
      <c r="X842">
        <v>0</v>
      </c>
      <c r="Y842">
        <v>0</v>
      </c>
      <c r="Z842">
        <v>24.99</v>
      </c>
      <c r="AA842" t="s">
        <v>2704</v>
      </c>
      <c r="AB842" t="s">
        <v>45</v>
      </c>
      <c r="AC842" t="s">
        <v>46</v>
      </c>
      <c r="AD842" t="s">
        <v>2556</v>
      </c>
      <c r="AE842" t="s">
        <v>2557</v>
      </c>
      <c r="AF842" t="s">
        <v>3356</v>
      </c>
      <c r="AG842" t="s">
        <v>46</v>
      </c>
      <c r="AH842" t="s">
        <v>3352</v>
      </c>
      <c r="AI842" t="s">
        <v>37</v>
      </c>
    </row>
    <row r="843" spans="1:35" x14ac:dyDescent="0.25">
      <c r="A843" t="s">
        <v>3357</v>
      </c>
      <c r="B843" t="s">
        <v>34</v>
      </c>
      <c r="C843" t="s">
        <v>3358</v>
      </c>
      <c r="D843" t="s">
        <v>3359</v>
      </c>
      <c r="E843" t="s">
        <v>3360</v>
      </c>
      <c r="F843" t="s">
        <v>3361</v>
      </c>
      <c r="G843" t="s">
        <v>39</v>
      </c>
      <c r="H843" t="s">
        <v>40</v>
      </c>
      <c r="I843" t="s">
        <v>41</v>
      </c>
      <c r="J843" t="s">
        <v>37</v>
      </c>
      <c r="K843" t="s">
        <v>37</v>
      </c>
      <c r="L843" t="s">
        <v>42</v>
      </c>
      <c r="M843" s="6">
        <v>46067.427222222221</v>
      </c>
      <c r="N843" t="s">
        <v>4266</v>
      </c>
      <c r="O843" s="1">
        <v>46068.354166666664</v>
      </c>
      <c r="P843" s="1">
        <v>46067.427233796298</v>
      </c>
      <c r="Q843" t="s">
        <v>4266</v>
      </c>
      <c r="R843" s="6">
        <v>46068.690972222219</v>
      </c>
      <c r="S843" t="s">
        <v>43</v>
      </c>
      <c r="T843">
        <v>24.99</v>
      </c>
      <c r="U843">
        <v>0</v>
      </c>
      <c r="V843">
        <v>23.8</v>
      </c>
      <c r="W843">
        <v>1.19</v>
      </c>
      <c r="X843">
        <v>0</v>
      </c>
      <c r="Y843">
        <v>0</v>
      </c>
      <c r="Z843">
        <v>24.99</v>
      </c>
      <c r="AA843" t="s">
        <v>2704</v>
      </c>
      <c r="AB843" t="s">
        <v>45</v>
      </c>
      <c r="AC843" t="s">
        <v>46</v>
      </c>
      <c r="AD843" t="s">
        <v>2556</v>
      </c>
      <c r="AE843" t="s">
        <v>2557</v>
      </c>
      <c r="AF843" t="s">
        <v>3362</v>
      </c>
      <c r="AG843" t="s">
        <v>46</v>
      </c>
      <c r="AH843" t="s">
        <v>3358</v>
      </c>
      <c r="AI843" t="s">
        <v>37</v>
      </c>
    </row>
    <row r="844" spans="1:35" x14ac:dyDescent="0.25">
      <c r="A844" t="s">
        <v>3363</v>
      </c>
      <c r="B844" t="s">
        <v>34</v>
      </c>
      <c r="C844" t="s">
        <v>3364</v>
      </c>
      <c r="D844" t="s">
        <v>3365</v>
      </c>
      <c r="E844" t="s">
        <v>3366</v>
      </c>
      <c r="F844" t="s">
        <v>3367</v>
      </c>
      <c r="G844" t="s">
        <v>39</v>
      </c>
      <c r="H844" t="s">
        <v>40</v>
      </c>
      <c r="I844" t="s">
        <v>41</v>
      </c>
      <c r="J844" t="s">
        <v>37</v>
      </c>
      <c r="K844" t="s">
        <v>37</v>
      </c>
      <c r="L844" t="s">
        <v>42</v>
      </c>
      <c r="M844" s="6">
        <v>46067.446192129632</v>
      </c>
      <c r="N844" t="s">
        <v>4266</v>
      </c>
      <c r="O844" s="1">
        <v>46068.333333333336</v>
      </c>
      <c r="P844" s="1">
        <v>46067.446585648147</v>
      </c>
      <c r="Q844" t="s">
        <v>4266</v>
      </c>
      <c r="R844" s="6">
        <v>46068.711805555555</v>
      </c>
      <c r="S844" t="s">
        <v>43</v>
      </c>
      <c r="T844">
        <v>24.99</v>
      </c>
      <c r="U844">
        <v>0</v>
      </c>
      <c r="V844">
        <v>23.8</v>
      </c>
      <c r="W844">
        <v>1.19</v>
      </c>
      <c r="X844">
        <v>0</v>
      </c>
      <c r="Y844">
        <v>0</v>
      </c>
      <c r="Z844">
        <v>24.99</v>
      </c>
      <c r="AA844" t="s">
        <v>2704</v>
      </c>
      <c r="AB844" t="s">
        <v>45</v>
      </c>
      <c r="AC844" t="s">
        <v>46</v>
      </c>
      <c r="AD844" t="s">
        <v>2556</v>
      </c>
      <c r="AE844" t="s">
        <v>2557</v>
      </c>
      <c r="AF844" t="s">
        <v>3368</v>
      </c>
      <c r="AG844" t="s">
        <v>46</v>
      </c>
      <c r="AH844" t="s">
        <v>3364</v>
      </c>
      <c r="AI844" t="s">
        <v>37</v>
      </c>
    </row>
    <row r="845" spans="1:35" x14ac:dyDescent="0.25">
      <c r="A845" t="s">
        <v>3369</v>
      </c>
      <c r="B845" t="s">
        <v>34</v>
      </c>
      <c r="C845" t="s">
        <v>3370</v>
      </c>
      <c r="D845" t="s">
        <v>3371</v>
      </c>
      <c r="E845" t="s">
        <v>3372</v>
      </c>
      <c r="F845" t="s">
        <v>3373</v>
      </c>
      <c r="G845" t="s">
        <v>39</v>
      </c>
      <c r="H845" t="s">
        <v>40</v>
      </c>
      <c r="I845" t="s">
        <v>41</v>
      </c>
      <c r="J845" t="s">
        <v>37</v>
      </c>
      <c r="K845" t="s">
        <v>37</v>
      </c>
      <c r="L845" t="s">
        <v>42</v>
      </c>
      <c r="M845" s="6">
        <v>46067.77716435185</v>
      </c>
      <c r="N845" t="s">
        <v>4266</v>
      </c>
      <c r="O845" s="1">
        <v>46068.354166666664</v>
      </c>
      <c r="P845" s="1">
        <v>46067.77789351852</v>
      </c>
      <c r="Q845" t="s">
        <v>4266</v>
      </c>
      <c r="R845" s="6">
        <v>46068.711805555555</v>
      </c>
      <c r="S845" t="s">
        <v>43</v>
      </c>
      <c r="T845">
        <v>24.99</v>
      </c>
      <c r="U845">
        <v>0</v>
      </c>
      <c r="V845">
        <v>23.8</v>
      </c>
      <c r="W845">
        <v>1.19</v>
      </c>
      <c r="X845">
        <v>0</v>
      </c>
      <c r="Y845">
        <v>0</v>
      </c>
      <c r="Z845">
        <v>24.99</v>
      </c>
      <c r="AA845" t="s">
        <v>2704</v>
      </c>
      <c r="AB845" t="s">
        <v>45</v>
      </c>
      <c r="AC845" t="s">
        <v>46</v>
      </c>
      <c r="AD845" t="s">
        <v>2556</v>
      </c>
      <c r="AE845" t="s">
        <v>2557</v>
      </c>
      <c r="AF845" t="s">
        <v>3374</v>
      </c>
      <c r="AG845" t="s">
        <v>46</v>
      </c>
      <c r="AH845" t="s">
        <v>3370</v>
      </c>
      <c r="AI845" t="s">
        <v>37</v>
      </c>
    </row>
    <row r="846" spans="1:35" x14ac:dyDescent="0.25">
      <c r="A846" t="s">
        <v>3375</v>
      </c>
      <c r="B846" t="s">
        <v>34</v>
      </c>
      <c r="C846" t="s">
        <v>3352</v>
      </c>
      <c r="D846" t="s">
        <v>3353</v>
      </c>
      <c r="E846" t="s">
        <v>3354</v>
      </c>
      <c r="F846" t="s">
        <v>3355</v>
      </c>
      <c r="G846" t="s">
        <v>39</v>
      </c>
      <c r="H846" t="s">
        <v>40</v>
      </c>
      <c r="I846" t="s">
        <v>41</v>
      </c>
      <c r="J846" t="s">
        <v>37</v>
      </c>
      <c r="K846" t="s">
        <v>37</v>
      </c>
      <c r="L846" t="s">
        <v>42</v>
      </c>
      <c r="M846" s="6">
        <v>46068.335416666669</v>
      </c>
      <c r="N846" t="s">
        <v>4266</v>
      </c>
      <c r="O846" s="1">
        <v>46068.354166666664</v>
      </c>
      <c r="P846" s="1">
        <v>46068.335416666669</v>
      </c>
      <c r="Q846" t="s">
        <v>4266</v>
      </c>
      <c r="R846" s="6">
        <v>46068.690972222219</v>
      </c>
      <c r="S846" t="s">
        <v>43</v>
      </c>
      <c r="T846">
        <v>24.99</v>
      </c>
      <c r="U846">
        <v>0</v>
      </c>
      <c r="V846">
        <v>23.8</v>
      </c>
      <c r="W846">
        <v>1.19</v>
      </c>
      <c r="X846">
        <v>0</v>
      </c>
      <c r="Y846">
        <v>0</v>
      </c>
      <c r="Z846">
        <v>24.99</v>
      </c>
      <c r="AA846" t="s">
        <v>2704</v>
      </c>
      <c r="AB846" t="s">
        <v>45</v>
      </c>
      <c r="AC846" t="s">
        <v>46</v>
      </c>
      <c r="AD846" t="s">
        <v>2556</v>
      </c>
      <c r="AE846" t="s">
        <v>2557</v>
      </c>
      <c r="AF846" t="s">
        <v>3376</v>
      </c>
      <c r="AG846" t="s">
        <v>46</v>
      </c>
      <c r="AH846" t="s">
        <v>3352</v>
      </c>
      <c r="AI846" t="s">
        <v>37</v>
      </c>
    </row>
    <row r="847" spans="1:35" x14ac:dyDescent="0.25">
      <c r="A847" t="s">
        <v>3377</v>
      </c>
      <c r="B847" t="s">
        <v>34</v>
      </c>
      <c r="C847" t="s">
        <v>3378</v>
      </c>
      <c r="D847" t="s">
        <v>3379</v>
      </c>
      <c r="E847" t="s">
        <v>3380</v>
      </c>
      <c r="F847" t="s">
        <v>3381</v>
      </c>
      <c r="G847" t="s">
        <v>39</v>
      </c>
      <c r="H847" t="s">
        <v>40</v>
      </c>
      <c r="I847" t="s">
        <v>41</v>
      </c>
      <c r="J847" t="s">
        <v>37</v>
      </c>
      <c r="K847" t="s">
        <v>37</v>
      </c>
      <c r="L847" t="s">
        <v>42</v>
      </c>
      <c r="M847" s="6">
        <v>46068.559930555559</v>
      </c>
      <c r="N847" t="s">
        <v>4266</v>
      </c>
      <c r="O847" s="1">
        <v>46068.645833333336</v>
      </c>
      <c r="P847" s="1">
        <v>46068.559930555559</v>
      </c>
      <c r="Q847" t="s">
        <v>4266</v>
      </c>
      <c r="R847" s="6">
        <v>46068.690972222219</v>
      </c>
      <c r="S847" t="s">
        <v>43</v>
      </c>
      <c r="T847">
        <v>24.99</v>
      </c>
      <c r="U847">
        <v>0</v>
      </c>
      <c r="V847">
        <v>23.8</v>
      </c>
      <c r="W847">
        <v>1.19</v>
      </c>
      <c r="X847">
        <v>0</v>
      </c>
      <c r="Y847">
        <v>0</v>
      </c>
      <c r="Z847">
        <v>24.99</v>
      </c>
      <c r="AA847" t="s">
        <v>2704</v>
      </c>
      <c r="AB847" t="s">
        <v>45</v>
      </c>
      <c r="AC847" t="s">
        <v>46</v>
      </c>
      <c r="AD847" t="s">
        <v>2556</v>
      </c>
      <c r="AE847" t="s">
        <v>2557</v>
      </c>
      <c r="AF847" t="s">
        <v>3382</v>
      </c>
      <c r="AG847" t="s">
        <v>46</v>
      </c>
      <c r="AH847" t="s">
        <v>3378</v>
      </c>
      <c r="AI847" t="s">
        <v>37</v>
      </c>
    </row>
    <row r="848" spans="1:35" x14ac:dyDescent="0.25">
      <c r="A848" t="s">
        <v>3383</v>
      </c>
      <c r="B848" t="s">
        <v>34</v>
      </c>
      <c r="C848" t="s">
        <v>3378</v>
      </c>
      <c r="D848" t="s">
        <v>3379</v>
      </c>
      <c r="E848" t="s">
        <v>3380</v>
      </c>
      <c r="F848" t="s">
        <v>3381</v>
      </c>
      <c r="G848" t="s">
        <v>39</v>
      </c>
      <c r="H848" t="s">
        <v>40</v>
      </c>
      <c r="I848" t="s">
        <v>41</v>
      </c>
      <c r="J848" t="s">
        <v>37</v>
      </c>
      <c r="K848" t="s">
        <v>37</v>
      </c>
      <c r="L848" t="s">
        <v>42</v>
      </c>
      <c r="M848" s="6">
        <v>46068.560324074075</v>
      </c>
      <c r="N848" t="s">
        <v>4266</v>
      </c>
      <c r="O848" s="1">
        <v>46068.5625</v>
      </c>
      <c r="P848" s="1">
        <v>46068.560324074075</v>
      </c>
      <c r="Q848" t="s">
        <v>4266</v>
      </c>
      <c r="R848" s="6">
        <v>46068.690972222219</v>
      </c>
      <c r="S848" t="s">
        <v>43</v>
      </c>
      <c r="T848">
        <v>24.99</v>
      </c>
      <c r="U848">
        <v>0</v>
      </c>
      <c r="V848">
        <v>23.8</v>
      </c>
      <c r="W848">
        <v>1.19</v>
      </c>
      <c r="X848">
        <v>0</v>
      </c>
      <c r="Y848">
        <v>0</v>
      </c>
      <c r="Z848">
        <v>24.99</v>
      </c>
      <c r="AA848" t="s">
        <v>2704</v>
      </c>
      <c r="AB848" t="s">
        <v>45</v>
      </c>
      <c r="AC848" t="s">
        <v>46</v>
      </c>
      <c r="AD848" t="s">
        <v>2556</v>
      </c>
      <c r="AE848" t="s">
        <v>2557</v>
      </c>
      <c r="AF848" t="s">
        <v>3384</v>
      </c>
      <c r="AG848" t="s">
        <v>46</v>
      </c>
      <c r="AH848" t="s">
        <v>3378</v>
      </c>
      <c r="AI848" t="s">
        <v>37</v>
      </c>
    </row>
    <row r="849" spans="1:35" x14ac:dyDescent="0.25">
      <c r="A849" t="s">
        <v>3385</v>
      </c>
      <c r="B849" t="s">
        <v>34</v>
      </c>
      <c r="C849" t="s">
        <v>3386</v>
      </c>
      <c r="D849" t="s">
        <v>3387</v>
      </c>
      <c r="E849" t="s">
        <v>3388</v>
      </c>
      <c r="F849" t="s">
        <v>3389</v>
      </c>
      <c r="G849" t="s">
        <v>39</v>
      </c>
      <c r="H849" t="s">
        <v>40</v>
      </c>
      <c r="I849" t="s">
        <v>41</v>
      </c>
      <c r="J849" t="s">
        <v>37</v>
      </c>
      <c r="K849" t="s">
        <v>37</v>
      </c>
      <c r="L849" t="s">
        <v>42</v>
      </c>
      <c r="M849" s="6">
        <v>46070.886331018519</v>
      </c>
      <c r="N849" t="s">
        <v>4268</v>
      </c>
      <c r="O849" s="1">
        <v>46080.333333333336</v>
      </c>
      <c r="P849" s="1">
        <v>46070.886608796296</v>
      </c>
      <c r="Q849" t="s">
        <v>4268</v>
      </c>
      <c r="R849" s="6">
        <v>46080.711805555555</v>
      </c>
      <c r="S849" t="s">
        <v>43</v>
      </c>
      <c r="T849">
        <v>24.99</v>
      </c>
      <c r="U849">
        <v>0</v>
      </c>
      <c r="V849">
        <v>23.8</v>
      </c>
      <c r="W849">
        <v>1.19</v>
      </c>
      <c r="X849">
        <v>0</v>
      </c>
      <c r="Y849">
        <v>0</v>
      </c>
      <c r="Z849">
        <v>24.99</v>
      </c>
      <c r="AA849" t="s">
        <v>2704</v>
      </c>
      <c r="AB849" t="s">
        <v>45</v>
      </c>
      <c r="AC849" t="s">
        <v>46</v>
      </c>
      <c r="AD849" t="s">
        <v>2556</v>
      </c>
      <c r="AE849" t="s">
        <v>2557</v>
      </c>
      <c r="AF849" t="s">
        <v>3390</v>
      </c>
      <c r="AG849" t="s">
        <v>46</v>
      </c>
      <c r="AH849" t="s">
        <v>3386</v>
      </c>
      <c r="AI849" t="s">
        <v>37</v>
      </c>
    </row>
    <row r="850" spans="1:35" x14ac:dyDescent="0.25">
      <c r="A850" t="s">
        <v>3391</v>
      </c>
      <c r="B850" t="s">
        <v>34</v>
      </c>
      <c r="C850" t="s">
        <v>3392</v>
      </c>
      <c r="D850" t="s">
        <v>3393</v>
      </c>
      <c r="E850" t="s">
        <v>3394</v>
      </c>
      <c r="F850" t="s">
        <v>3395</v>
      </c>
      <c r="G850" t="s">
        <v>39</v>
      </c>
      <c r="H850" t="s">
        <v>40</v>
      </c>
      <c r="I850" t="s">
        <v>41</v>
      </c>
      <c r="J850" t="s">
        <v>37</v>
      </c>
      <c r="K850" t="s">
        <v>37</v>
      </c>
      <c r="L850" t="s">
        <v>42</v>
      </c>
      <c r="M850" s="6">
        <v>46073.364016203705</v>
      </c>
      <c r="N850" t="s">
        <v>4268</v>
      </c>
      <c r="O850" s="1">
        <v>46073.40625</v>
      </c>
      <c r="P850" s="1">
        <v>46073.364675925928</v>
      </c>
      <c r="Q850" t="s">
        <v>4268</v>
      </c>
      <c r="R850" s="6">
        <v>46073.670138888891</v>
      </c>
      <c r="S850" t="s">
        <v>43</v>
      </c>
      <c r="T850">
        <v>24.99</v>
      </c>
      <c r="U850">
        <v>0</v>
      </c>
      <c r="V850">
        <v>23.8</v>
      </c>
      <c r="W850">
        <v>1.19</v>
      </c>
      <c r="X850">
        <v>0</v>
      </c>
      <c r="Y850">
        <v>0</v>
      </c>
      <c r="Z850">
        <v>24.99</v>
      </c>
      <c r="AA850" t="s">
        <v>2704</v>
      </c>
      <c r="AB850" t="s">
        <v>45</v>
      </c>
      <c r="AC850" t="s">
        <v>46</v>
      </c>
      <c r="AD850" t="s">
        <v>2556</v>
      </c>
      <c r="AE850" t="s">
        <v>2557</v>
      </c>
      <c r="AF850" t="s">
        <v>3396</v>
      </c>
      <c r="AG850" t="s">
        <v>46</v>
      </c>
      <c r="AH850" t="s">
        <v>3392</v>
      </c>
      <c r="AI850" t="s">
        <v>37</v>
      </c>
    </row>
    <row r="851" spans="1:35" x14ac:dyDescent="0.25">
      <c r="A851" t="s">
        <v>3397</v>
      </c>
      <c r="B851" t="s">
        <v>34</v>
      </c>
      <c r="C851" t="s">
        <v>3398</v>
      </c>
      <c r="D851" t="s">
        <v>3399</v>
      </c>
      <c r="E851" t="s">
        <v>3400</v>
      </c>
      <c r="F851" t="s">
        <v>3401</v>
      </c>
      <c r="G851" t="s">
        <v>39</v>
      </c>
      <c r="H851" t="s">
        <v>40</v>
      </c>
      <c r="I851" t="s">
        <v>41</v>
      </c>
      <c r="J851" t="s">
        <v>37</v>
      </c>
      <c r="K851" t="s">
        <v>37</v>
      </c>
      <c r="L851" t="s">
        <v>42</v>
      </c>
      <c r="M851" s="6">
        <v>46073.368738425925</v>
      </c>
      <c r="N851" t="s">
        <v>4268</v>
      </c>
      <c r="O851" s="1">
        <v>46073.375</v>
      </c>
      <c r="P851" s="1">
        <v>46073.369363425925</v>
      </c>
      <c r="Q851" t="s">
        <v>4268</v>
      </c>
      <c r="R851" s="6">
        <v>46073.690972222219</v>
      </c>
      <c r="S851" t="s">
        <v>43</v>
      </c>
      <c r="T851">
        <v>24.99</v>
      </c>
      <c r="U851">
        <v>0</v>
      </c>
      <c r="V851">
        <v>23.8</v>
      </c>
      <c r="W851">
        <v>1.19</v>
      </c>
      <c r="X851">
        <v>0</v>
      </c>
      <c r="Y851">
        <v>0</v>
      </c>
      <c r="Z851">
        <v>24.99</v>
      </c>
      <c r="AA851" t="s">
        <v>2704</v>
      </c>
      <c r="AB851" t="s">
        <v>45</v>
      </c>
      <c r="AC851" t="s">
        <v>46</v>
      </c>
      <c r="AD851" t="s">
        <v>2556</v>
      </c>
      <c r="AE851" t="s">
        <v>2557</v>
      </c>
      <c r="AF851" t="s">
        <v>3402</v>
      </c>
      <c r="AG851" t="s">
        <v>46</v>
      </c>
      <c r="AH851" t="s">
        <v>3398</v>
      </c>
      <c r="AI851" t="s">
        <v>37</v>
      </c>
    </row>
    <row r="852" spans="1:35" x14ac:dyDescent="0.25">
      <c r="A852" t="s">
        <v>3403</v>
      </c>
      <c r="B852" t="s">
        <v>34</v>
      </c>
      <c r="C852" t="s">
        <v>586</v>
      </c>
      <c r="D852" t="s">
        <v>587</v>
      </c>
      <c r="E852" t="s">
        <v>37</v>
      </c>
      <c r="F852" t="s">
        <v>3404</v>
      </c>
      <c r="G852" t="s">
        <v>39</v>
      </c>
      <c r="H852" t="s">
        <v>40</v>
      </c>
      <c r="I852" t="s">
        <v>41</v>
      </c>
      <c r="J852" t="s">
        <v>37</v>
      </c>
      <c r="K852" t="s">
        <v>37</v>
      </c>
      <c r="L852" t="s">
        <v>42</v>
      </c>
      <c r="M852" s="6">
        <v>46073.704363425924</v>
      </c>
      <c r="N852" t="s">
        <v>4268</v>
      </c>
      <c r="O852" s="1">
        <v>46080.333333333336</v>
      </c>
      <c r="P852" s="1">
        <v>46073.704733796294</v>
      </c>
      <c r="Q852" t="s">
        <v>4268</v>
      </c>
      <c r="R852" s="6">
        <v>46080.670138888891</v>
      </c>
      <c r="S852" t="s">
        <v>43</v>
      </c>
      <c r="T852">
        <v>24.99</v>
      </c>
      <c r="U852">
        <v>0</v>
      </c>
      <c r="V852">
        <v>23.8</v>
      </c>
      <c r="W852">
        <v>1.19</v>
      </c>
      <c r="X852">
        <v>0</v>
      </c>
      <c r="Y852">
        <v>0</v>
      </c>
      <c r="Z852">
        <v>24.99</v>
      </c>
      <c r="AA852" t="s">
        <v>2704</v>
      </c>
      <c r="AB852" t="s">
        <v>45</v>
      </c>
      <c r="AC852" t="s">
        <v>46</v>
      </c>
      <c r="AD852" t="s">
        <v>2556</v>
      </c>
      <c r="AE852" t="s">
        <v>2557</v>
      </c>
      <c r="AF852" t="s">
        <v>3405</v>
      </c>
      <c r="AG852" t="s">
        <v>46</v>
      </c>
      <c r="AH852" t="s">
        <v>586</v>
      </c>
      <c r="AI852" t="s">
        <v>37</v>
      </c>
    </row>
    <row r="853" spans="1:35" x14ac:dyDescent="0.25">
      <c r="A853" t="s">
        <v>3406</v>
      </c>
      <c r="B853" t="s">
        <v>34</v>
      </c>
      <c r="C853" t="s">
        <v>586</v>
      </c>
      <c r="D853" t="s">
        <v>587</v>
      </c>
      <c r="E853" t="s">
        <v>37</v>
      </c>
      <c r="F853" t="s">
        <v>3404</v>
      </c>
      <c r="G853" t="s">
        <v>39</v>
      </c>
      <c r="H853" t="s">
        <v>40</v>
      </c>
      <c r="I853" t="s">
        <v>41</v>
      </c>
      <c r="J853" t="s">
        <v>37</v>
      </c>
      <c r="K853" t="s">
        <v>37</v>
      </c>
      <c r="L853" t="s">
        <v>42</v>
      </c>
      <c r="M853" s="6">
        <v>46073.706689814811</v>
      </c>
      <c r="N853" t="s">
        <v>4265</v>
      </c>
      <c r="O853" s="1">
        <v>46081.333333333336</v>
      </c>
      <c r="P853" s="1">
        <v>46073.706967592596</v>
      </c>
      <c r="Q853" t="s">
        <v>4265</v>
      </c>
      <c r="R853" s="6">
        <v>46081.670138888891</v>
      </c>
      <c r="S853" t="s">
        <v>43</v>
      </c>
      <c r="T853">
        <v>24.99</v>
      </c>
      <c r="U853">
        <v>0</v>
      </c>
      <c r="V853">
        <v>23.8</v>
      </c>
      <c r="W853">
        <v>1.19</v>
      </c>
      <c r="X853">
        <v>0</v>
      </c>
      <c r="Y853">
        <v>0</v>
      </c>
      <c r="Z853">
        <v>24.99</v>
      </c>
      <c r="AA853" t="s">
        <v>2704</v>
      </c>
      <c r="AB853" t="s">
        <v>45</v>
      </c>
      <c r="AC853" t="s">
        <v>46</v>
      </c>
      <c r="AD853" t="s">
        <v>2556</v>
      </c>
      <c r="AE853" t="s">
        <v>2557</v>
      </c>
      <c r="AF853" t="s">
        <v>3407</v>
      </c>
      <c r="AG853" t="s">
        <v>46</v>
      </c>
      <c r="AH853" t="s">
        <v>586</v>
      </c>
      <c r="AI853" t="s">
        <v>37</v>
      </c>
    </row>
    <row r="854" spans="1:35" x14ac:dyDescent="0.25">
      <c r="A854" t="s">
        <v>3408</v>
      </c>
      <c r="B854" t="s">
        <v>34</v>
      </c>
      <c r="C854" t="s">
        <v>3145</v>
      </c>
      <c r="D854" t="s">
        <v>3146</v>
      </c>
      <c r="E854" t="s">
        <v>3147</v>
      </c>
      <c r="F854" t="s">
        <v>3122</v>
      </c>
      <c r="G854" t="s">
        <v>39</v>
      </c>
      <c r="H854" t="s">
        <v>40</v>
      </c>
      <c r="I854" t="s">
        <v>41</v>
      </c>
      <c r="J854" t="s">
        <v>37</v>
      </c>
      <c r="K854" t="s">
        <v>37</v>
      </c>
      <c r="L854" t="s">
        <v>42</v>
      </c>
      <c r="M854" s="6">
        <v>46073.848009259258</v>
      </c>
      <c r="N854" t="s">
        <v>4265</v>
      </c>
      <c r="O854" s="1">
        <v>46074.354166666664</v>
      </c>
      <c r="P854" s="1">
        <v>46073.848425925928</v>
      </c>
      <c r="Q854" t="s">
        <v>4265</v>
      </c>
      <c r="R854" s="6">
        <v>46074.711805555555</v>
      </c>
      <c r="S854" t="s">
        <v>43</v>
      </c>
      <c r="T854">
        <v>24.99</v>
      </c>
      <c r="U854">
        <v>0</v>
      </c>
      <c r="V854">
        <v>23.8</v>
      </c>
      <c r="W854">
        <v>1.19</v>
      </c>
      <c r="X854">
        <v>0</v>
      </c>
      <c r="Y854">
        <v>0</v>
      </c>
      <c r="Z854">
        <v>24.99</v>
      </c>
      <c r="AA854" t="s">
        <v>2704</v>
      </c>
      <c r="AB854" t="s">
        <v>45</v>
      </c>
      <c r="AC854" t="s">
        <v>46</v>
      </c>
      <c r="AD854" t="s">
        <v>2556</v>
      </c>
      <c r="AE854" t="s">
        <v>2557</v>
      </c>
      <c r="AF854" t="s">
        <v>3409</v>
      </c>
      <c r="AG854" t="s">
        <v>46</v>
      </c>
      <c r="AH854" t="s">
        <v>3145</v>
      </c>
      <c r="AI854" t="s">
        <v>37</v>
      </c>
    </row>
    <row r="855" spans="1:35" x14ac:dyDescent="0.25">
      <c r="A855" t="s">
        <v>3410</v>
      </c>
      <c r="B855" t="s">
        <v>34</v>
      </c>
      <c r="C855" t="s">
        <v>3145</v>
      </c>
      <c r="D855" t="s">
        <v>3146</v>
      </c>
      <c r="E855" t="s">
        <v>3147</v>
      </c>
      <c r="F855" t="s">
        <v>3122</v>
      </c>
      <c r="G855" t="s">
        <v>39</v>
      </c>
      <c r="H855" t="s">
        <v>40</v>
      </c>
      <c r="I855" t="s">
        <v>41</v>
      </c>
      <c r="J855" t="s">
        <v>37</v>
      </c>
      <c r="K855" t="s">
        <v>37</v>
      </c>
      <c r="L855" t="s">
        <v>42</v>
      </c>
      <c r="M855" s="6">
        <v>46073.849745370368</v>
      </c>
      <c r="N855" t="s">
        <v>4266</v>
      </c>
      <c r="O855" s="1">
        <v>46075.354166666664</v>
      </c>
      <c r="P855" s="1">
        <v>46073.849745370368</v>
      </c>
      <c r="Q855" t="s">
        <v>4266</v>
      </c>
      <c r="R855" s="6">
        <v>46075.711805555555</v>
      </c>
      <c r="S855" t="s">
        <v>43</v>
      </c>
      <c r="T855">
        <v>24.99</v>
      </c>
      <c r="U855">
        <v>0</v>
      </c>
      <c r="V855">
        <v>23.8</v>
      </c>
      <c r="W855">
        <v>1.19</v>
      </c>
      <c r="X855">
        <v>0</v>
      </c>
      <c r="Y855">
        <v>0</v>
      </c>
      <c r="Z855">
        <v>24.99</v>
      </c>
      <c r="AA855" t="s">
        <v>2704</v>
      </c>
      <c r="AB855" t="s">
        <v>45</v>
      </c>
      <c r="AC855" t="s">
        <v>46</v>
      </c>
      <c r="AD855" t="s">
        <v>2556</v>
      </c>
      <c r="AE855" t="s">
        <v>2557</v>
      </c>
      <c r="AF855" t="s">
        <v>3411</v>
      </c>
      <c r="AG855" t="s">
        <v>46</v>
      </c>
      <c r="AH855" t="s">
        <v>3145</v>
      </c>
      <c r="AI855" t="s">
        <v>37</v>
      </c>
    </row>
    <row r="856" spans="1:35" x14ac:dyDescent="0.25">
      <c r="A856" t="s">
        <v>3412</v>
      </c>
      <c r="B856" t="s">
        <v>34</v>
      </c>
      <c r="C856" t="s">
        <v>3352</v>
      </c>
      <c r="D856" t="s">
        <v>3353</v>
      </c>
      <c r="E856" t="s">
        <v>3354</v>
      </c>
      <c r="F856" t="s">
        <v>3355</v>
      </c>
      <c r="G856" t="s">
        <v>39</v>
      </c>
      <c r="H856" t="s">
        <v>40</v>
      </c>
      <c r="I856" t="s">
        <v>41</v>
      </c>
      <c r="J856" t="s">
        <v>37</v>
      </c>
      <c r="K856" t="s">
        <v>37</v>
      </c>
      <c r="L856" t="s">
        <v>42</v>
      </c>
      <c r="M856" s="6">
        <v>46074.302118055559</v>
      </c>
      <c r="N856" t="s">
        <v>4265</v>
      </c>
      <c r="O856" s="1">
        <v>46074.354166666664</v>
      </c>
      <c r="P856" s="1">
        <v>46074.302118055559</v>
      </c>
      <c r="Q856" t="s">
        <v>4265</v>
      </c>
      <c r="R856" s="6">
        <v>46074.670138888891</v>
      </c>
      <c r="S856" t="s">
        <v>43</v>
      </c>
      <c r="T856">
        <v>24.99</v>
      </c>
      <c r="U856">
        <v>0</v>
      </c>
      <c r="V856">
        <v>23.8</v>
      </c>
      <c r="W856">
        <v>1.19</v>
      </c>
      <c r="X856">
        <v>0</v>
      </c>
      <c r="Y856">
        <v>0</v>
      </c>
      <c r="Z856">
        <v>24.99</v>
      </c>
      <c r="AA856" t="s">
        <v>2704</v>
      </c>
      <c r="AB856" t="s">
        <v>45</v>
      </c>
      <c r="AC856" t="s">
        <v>46</v>
      </c>
      <c r="AD856" t="s">
        <v>2556</v>
      </c>
      <c r="AE856" t="s">
        <v>2557</v>
      </c>
      <c r="AF856" t="s">
        <v>3413</v>
      </c>
      <c r="AG856" t="s">
        <v>46</v>
      </c>
      <c r="AH856" t="s">
        <v>3352</v>
      </c>
      <c r="AI856" t="s">
        <v>37</v>
      </c>
    </row>
    <row r="857" spans="1:35" x14ac:dyDescent="0.25">
      <c r="A857" t="s">
        <v>3414</v>
      </c>
      <c r="B857" t="s">
        <v>34</v>
      </c>
      <c r="C857" t="s">
        <v>3352</v>
      </c>
      <c r="D857" t="s">
        <v>3353</v>
      </c>
      <c r="E857" t="s">
        <v>3354</v>
      </c>
      <c r="F857" t="s">
        <v>3415</v>
      </c>
      <c r="G857" t="s">
        <v>39</v>
      </c>
      <c r="H857" t="s">
        <v>40</v>
      </c>
      <c r="I857" t="s">
        <v>41</v>
      </c>
      <c r="J857" t="s">
        <v>37</v>
      </c>
      <c r="K857" t="s">
        <v>37</v>
      </c>
      <c r="L857" t="s">
        <v>42</v>
      </c>
      <c r="M857" s="6">
        <v>46074.303877314815</v>
      </c>
      <c r="N857" t="s">
        <v>4265</v>
      </c>
      <c r="O857" s="1">
        <v>46074.354166666664</v>
      </c>
      <c r="P857" s="1">
        <v>46074.303877314815</v>
      </c>
      <c r="Q857" t="s">
        <v>4265</v>
      </c>
      <c r="R857" s="6">
        <v>46074.670138888891</v>
      </c>
      <c r="S857" t="s">
        <v>43</v>
      </c>
      <c r="T857">
        <v>24.99</v>
      </c>
      <c r="U857">
        <v>0</v>
      </c>
      <c r="V857">
        <v>23.8</v>
      </c>
      <c r="W857">
        <v>1.19</v>
      </c>
      <c r="X857">
        <v>0</v>
      </c>
      <c r="Y857">
        <v>0</v>
      </c>
      <c r="Z857">
        <v>24.99</v>
      </c>
      <c r="AA857" t="s">
        <v>2704</v>
      </c>
      <c r="AB857" t="s">
        <v>45</v>
      </c>
      <c r="AC857" t="s">
        <v>46</v>
      </c>
      <c r="AD857" t="s">
        <v>2556</v>
      </c>
      <c r="AE857" t="s">
        <v>2557</v>
      </c>
      <c r="AF857" t="s">
        <v>3416</v>
      </c>
      <c r="AG857" t="s">
        <v>46</v>
      </c>
      <c r="AH857" t="s">
        <v>3352</v>
      </c>
      <c r="AI857" t="s">
        <v>37</v>
      </c>
    </row>
    <row r="858" spans="1:35" x14ac:dyDescent="0.25">
      <c r="A858" t="s">
        <v>3417</v>
      </c>
      <c r="B858" t="s">
        <v>34</v>
      </c>
      <c r="C858" t="s">
        <v>2811</v>
      </c>
      <c r="D858" t="s">
        <v>2812</v>
      </c>
      <c r="E858" t="s">
        <v>2813</v>
      </c>
      <c r="F858" t="s">
        <v>2814</v>
      </c>
      <c r="G858" t="s">
        <v>39</v>
      </c>
      <c r="H858" t="s">
        <v>40</v>
      </c>
      <c r="I858" t="s">
        <v>41</v>
      </c>
      <c r="J858" t="s">
        <v>37</v>
      </c>
      <c r="K858" t="s">
        <v>37</v>
      </c>
      <c r="L858" t="s">
        <v>42</v>
      </c>
      <c r="M858" s="6">
        <v>46074.410462962966</v>
      </c>
      <c r="N858" t="s">
        <v>4265</v>
      </c>
      <c r="O858" s="1">
        <v>46074.416666666664</v>
      </c>
      <c r="P858" s="1">
        <v>46074.410717592589</v>
      </c>
      <c r="Q858" t="s">
        <v>4265</v>
      </c>
      <c r="R858" s="6">
        <v>46074.670138888891</v>
      </c>
      <c r="S858" t="s">
        <v>43</v>
      </c>
      <c r="T858">
        <v>24.99</v>
      </c>
      <c r="U858">
        <v>0</v>
      </c>
      <c r="V858">
        <v>23.8</v>
      </c>
      <c r="W858">
        <v>1.19</v>
      </c>
      <c r="X858">
        <v>0</v>
      </c>
      <c r="Y858">
        <v>0</v>
      </c>
      <c r="Z858">
        <v>24.99</v>
      </c>
      <c r="AA858" t="s">
        <v>2704</v>
      </c>
      <c r="AB858" t="s">
        <v>45</v>
      </c>
      <c r="AC858" t="s">
        <v>46</v>
      </c>
      <c r="AD858" t="s">
        <v>2556</v>
      </c>
      <c r="AE858" t="s">
        <v>2557</v>
      </c>
      <c r="AF858" t="s">
        <v>3418</v>
      </c>
      <c r="AG858" t="s">
        <v>46</v>
      </c>
      <c r="AH858" t="s">
        <v>2811</v>
      </c>
      <c r="AI858" t="s">
        <v>37</v>
      </c>
    </row>
    <row r="859" spans="1:35" x14ac:dyDescent="0.25">
      <c r="A859" t="s">
        <v>3419</v>
      </c>
      <c r="B859" t="s">
        <v>34</v>
      </c>
      <c r="C859" t="s">
        <v>2811</v>
      </c>
      <c r="D859" t="s">
        <v>2812</v>
      </c>
      <c r="E859" t="s">
        <v>2813</v>
      </c>
      <c r="F859" t="s">
        <v>3420</v>
      </c>
      <c r="G859" t="s">
        <v>39</v>
      </c>
      <c r="H859" t="s">
        <v>40</v>
      </c>
      <c r="I859" t="s">
        <v>41</v>
      </c>
      <c r="J859" t="s">
        <v>37</v>
      </c>
      <c r="K859" t="s">
        <v>37</v>
      </c>
      <c r="L859" t="s">
        <v>42</v>
      </c>
      <c r="M859" s="6">
        <v>46074.412094907406</v>
      </c>
      <c r="N859" t="s">
        <v>4265</v>
      </c>
      <c r="O859" s="1">
        <v>46074.416666666664</v>
      </c>
      <c r="P859" s="1">
        <v>46074.412303240744</v>
      </c>
      <c r="Q859" t="s">
        <v>4265</v>
      </c>
      <c r="R859" s="6">
        <v>46074.670138888891</v>
      </c>
      <c r="S859" t="s">
        <v>43</v>
      </c>
      <c r="T859">
        <v>24.99</v>
      </c>
      <c r="U859">
        <v>0</v>
      </c>
      <c r="V859">
        <v>23.8</v>
      </c>
      <c r="W859">
        <v>1.19</v>
      </c>
      <c r="X859">
        <v>0</v>
      </c>
      <c r="Y859">
        <v>0</v>
      </c>
      <c r="Z859">
        <v>24.99</v>
      </c>
      <c r="AA859" t="s">
        <v>2704</v>
      </c>
      <c r="AB859" t="s">
        <v>45</v>
      </c>
      <c r="AC859" t="s">
        <v>46</v>
      </c>
      <c r="AD859" t="s">
        <v>2556</v>
      </c>
      <c r="AE859" t="s">
        <v>2557</v>
      </c>
      <c r="AF859" t="s">
        <v>3421</v>
      </c>
      <c r="AG859" t="s">
        <v>46</v>
      </c>
      <c r="AH859" t="s">
        <v>2811</v>
      </c>
      <c r="AI859" t="s">
        <v>37</v>
      </c>
    </row>
    <row r="860" spans="1:35" x14ac:dyDescent="0.25">
      <c r="A860" t="s">
        <v>3422</v>
      </c>
      <c r="B860" t="s">
        <v>34</v>
      </c>
      <c r="C860" t="s">
        <v>3423</v>
      </c>
      <c r="D860" t="s">
        <v>3424</v>
      </c>
      <c r="E860" t="s">
        <v>3425</v>
      </c>
      <c r="F860" t="s">
        <v>3426</v>
      </c>
      <c r="G860" t="s">
        <v>39</v>
      </c>
      <c r="H860" t="s">
        <v>40</v>
      </c>
      <c r="I860" t="s">
        <v>41</v>
      </c>
      <c r="J860" t="s">
        <v>37</v>
      </c>
      <c r="K860" t="s">
        <v>37</v>
      </c>
      <c r="L860" t="s">
        <v>42</v>
      </c>
      <c r="M860" s="6">
        <v>46077.57234953704</v>
      </c>
      <c r="N860" t="s">
        <v>4265</v>
      </c>
      <c r="O860" s="1">
        <v>46081.34375</v>
      </c>
      <c r="P860" s="1">
        <v>46077.57234953704</v>
      </c>
      <c r="Q860" t="s">
        <v>4265</v>
      </c>
      <c r="R860" s="6">
        <v>46081.701388888891</v>
      </c>
      <c r="S860" t="s">
        <v>43</v>
      </c>
      <c r="T860">
        <v>24.99</v>
      </c>
      <c r="U860">
        <v>0</v>
      </c>
      <c r="V860">
        <v>23.8</v>
      </c>
      <c r="W860">
        <v>1.19</v>
      </c>
      <c r="X860">
        <v>0</v>
      </c>
      <c r="Y860">
        <v>0</v>
      </c>
      <c r="Z860">
        <v>24.99</v>
      </c>
      <c r="AA860" t="s">
        <v>2704</v>
      </c>
      <c r="AB860" t="s">
        <v>45</v>
      </c>
      <c r="AC860" t="s">
        <v>46</v>
      </c>
      <c r="AD860" t="s">
        <v>2556</v>
      </c>
      <c r="AE860" t="s">
        <v>2557</v>
      </c>
      <c r="AF860" t="s">
        <v>3427</v>
      </c>
      <c r="AG860" t="s">
        <v>46</v>
      </c>
      <c r="AH860" t="s">
        <v>3423</v>
      </c>
      <c r="AI860" t="s">
        <v>37</v>
      </c>
    </row>
    <row r="861" spans="1:35" x14ac:dyDescent="0.25">
      <c r="A861" t="s">
        <v>3428</v>
      </c>
      <c r="B861" t="s">
        <v>34</v>
      </c>
      <c r="C861" t="s">
        <v>3429</v>
      </c>
      <c r="D861" t="s">
        <v>3430</v>
      </c>
      <c r="E861" t="s">
        <v>3431</v>
      </c>
      <c r="F861" t="s">
        <v>3432</v>
      </c>
      <c r="G861" t="s">
        <v>2601</v>
      </c>
      <c r="H861" t="s">
        <v>40</v>
      </c>
      <c r="I861" t="s">
        <v>41</v>
      </c>
      <c r="J861" t="s">
        <v>37</v>
      </c>
      <c r="K861" t="s">
        <v>37</v>
      </c>
      <c r="L861" t="s">
        <v>42</v>
      </c>
      <c r="M861" s="6">
        <v>46077.820289351854</v>
      </c>
      <c r="N861" t="s">
        <v>4265</v>
      </c>
      <c r="O861" s="1">
        <v>46081.3125</v>
      </c>
      <c r="P861" s="1">
        <v>46077.820289351854</v>
      </c>
      <c r="Q861" t="s">
        <v>4265</v>
      </c>
      <c r="R861" s="6">
        <v>46081.701388888891</v>
      </c>
      <c r="S861" t="s">
        <v>43</v>
      </c>
      <c r="T861">
        <v>24.99</v>
      </c>
      <c r="U861">
        <v>0</v>
      </c>
      <c r="V861">
        <v>23.8</v>
      </c>
      <c r="W861">
        <v>1.19</v>
      </c>
      <c r="X861">
        <v>0</v>
      </c>
      <c r="Y861">
        <v>0</v>
      </c>
      <c r="Z861">
        <v>24.99</v>
      </c>
      <c r="AA861" t="s">
        <v>2704</v>
      </c>
      <c r="AB861" t="s">
        <v>45</v>
      </c>
      <c r="AC861" t="s">
        <v>46</v>
      </c>
      <c r="AD861" t="s">
        <v>2556</v>
      </c>
      <c r="AE861" t="s">
        <v>2557</v>
      </c>
      <c r="AF861" t="s">
        <v>3433</v>
      </c>
      <c r="AG861" t="s">
        <v>46</v>
      </c>
      <c r="AH861" t="s">
        <v>3429</v>
      </c>
      <c r="AI861" t="s">
        <v>37</v>
      </c>
    </row>
    <row r="862" spans="1:35" x14ac:dyDescent="0.25">
      <c r="A862" t="s">
        <v>3434</v>
      </c>
      <c r="B862" t="s">
        <v>34</v>
      </c>
      <c r="C862" t="s">
        <v>3435</v>
      </c>
      <c r="D862" t="s">
        <v>3436</v>
      </c>
      <c r="E862" t="s">
        <v>3437</v>
      </c>
      <c r="F862" t="s">
        <v>3438</v>
      </c>
      <c r="G862" t="s">
        <v>39</v>
      </c>
      <c r="H862" t="s">
        <v>40</v>
      </c>
      <c r="I862" t="s">
        <v>41</v>
      </c>
      <c r="J862" t="s">
        <v>37</v>
      </c>
      <c r="K862" t="s">
        <v>37</v>
      </c>
      <c r="L862" t="s">
        <v>42</v>
      </c>
      <c r="M862" s="6">
        <v>46079.562905092593</v>
      </c>
      <c r="N862" t="s">
        <v>4268</v>
      </c>
      <c r="O862" s="1">
        <v>46080.333333333336</v>
      </c>
      <c r="P862" s="1">
        <v>46079.562905092593</v>
      </c>
      <c r="Q862" t="s">
        <v>4268</v>
      </c>
      <c r="R862" s="6">
        <v>46080.690972222219</v>
      </c>
      <c r="S862" t="s">
        <v>43</v>
      </c>
      <c r="T862">
        <v>24.99</v>
      </c>
      <c r="U862">
        <v>0</v>
      </c>
      <c r="V862">
        <v>23.8</v>
      </c>
      <c r="W862">
        <v>1.19</v>
      </c>
      <c r="X862">
        <v>0</v>
      </c>
      <c r="Y862">
        <v>0</v>
      </c>
      <c r="Z862">
        <v>24.99</v>
      </c>
      <c r="AA862" t="s">
        <v>2704</v>
      </c>
      <c r="AB862" t="s">
        <v>45</v>
      </c>
      <c r="AC862" t="s">
        <v>46</v>
      </c>
      <c r="AD862" t="s">
        <v>2556</v>
      </c>
      <c r="AE862" t="s">
        <v>2557</v>
      </c>
      <c r="AF862" t="s">
        <v>3439</v>
      </c>
      <c r="AG862" t="s">
        <v>46</v>
      </c>
      <c r="AH862" t="s">
        <v>3435</v>
      </c>
      <c r="AI862" t="s">
        <v>37</v>
      </c>
    </row>
    <row r="863" spans="1:35" x14ac:dyDescent="0.25">
      <c r="A863" t="s">
        <v>3440</v>
      </c>
      <c r="B863" t="s">
        <v>34</v>
      </c>
      <c r="C863" t="s">
        <v>3435</v>
      </c>
      <c r="D863" t="s">
        <v>3436</v>
      </c>
      <c r="E863" t="s">
        <v>3437</v>
      </c>
      <c r="F863" t="s">
        <v>3438</v>
      </c>
      <c r="G863" t="s">
        <v>39</v>
      </c>
      <c r="H863" t="s">
        <v>40</v>
      </c>
      <c r="I863" t="s">
        <v>41</v>
      </c>
      <c r="J863" t="s">
        <v>37</v>
      </c>
      <c r="K863" t="s">
        <v>37</v>
      </c>
      <c r="L863" t="s">
        <v>42</v>
      </c>
      <c r="M863" s="6">
        <v>46079.563784722224</v>
      </c>
      <c r="N863" t="s">
        <v>4265</v>
      </c>
      <c r="O863" s="1">
        <v>46081.333333333336</v>
      </c>
      <c r="P863" s="1">
        <v>46079.563784722224</v>
      </c>
      <c r="Q863" t="s">
        <v>4265</v>
      </c>
      <c r="R863" s="6">
        <v>46081.690972222219</v>
      </c>
      <c r="S863" t="s">
        <v>43</v>
      </c>
      <c r="T863">
        <v>24.99</v>
      </c>
      <c r="U863">
        <v>0</v>
      </c>
      <c r="V863">
        <v>23.8</v>
      </c>
      <c r="W863">
        <v>1.19</v>
      </c>
      <c r="X863">
        <v>0</v>
      </c>
      <c r="Y863">
        <v>0</v>
      </c>
      <c r="Z863">
        <v>24.99</v>
      </c>
      <c r="AA863" t="s">
        <v>2704</v>
      </c>
      <c r="AB863" t="s">
        <v>45</v>
      </c>
      <c r="AC863" t="s">
        <v>46</v>
      </c>
      <c r="AD863" t="s">
        <v>2556</v>
      </c>
      <c r="AE863" t="s">
        <v>2557</v>
      </c>
      <c r="AF863" t="s">
        <v>3441</v>
      </c>
      <c r="AG863" t="s">
        <v>46</v>
      </c>
      <c r="AH863" t="s">
        <v>3435</v>
      </c>
      <c r="AI863" t="s">
        <v>37</v>
      </c>
    </row>
    <row r="864" spans="1:35" x14ac:dyDescent="0.25">
      <c r="A864" t="s">
        <v>3442</v>
      </c>
      <c r="B864" t="s">
        <v>34</v>
      </c>
      <c r="C864" t="s">
        <v>2503</v>
      </c>
      <c r="D864" t="s">
        <v>2504</v>
      </c>
      <c r="E864" t="s">
        <v>37</v>
      </c>
      <c r="F864" t="s">
        <v>1372</v>
      </c>
      <c r="G864" t="s">
        <v>39</v>
      </c>
      <c r="H864" t="s">
        <v>40</v>
      </c>
      <c r="I864" t="s">
        <v>41</v>
      </c>
      <c r="J864" t="s">
        <v>37</v>
      </c>
      <c r="K864" t="s">
        <v>37</v>
      </c>
      <c r="L864" t="s">
        <v>42</v>
      </c>
      <c r="M864" s="6">
        <v>46079.833101851851</v>
      </c>
      <c r="N864" t="s">
        <v>4265</v>
      </c>
      <c r="O864" s="1">
        <v>46081.375</v>
      </c>
      <c r="P864" s="1">
        <v>46079.833506944444</v>
      </c>
      <c r="Q864" t="s">
        <v>4265</v>
      </c>
      <c r="R864" s="6">
        <v>46081.711805555555</v>
      </c>
      <c r="S864" t="s">
        <v>43</v>
      </c>
      <c r="T864">
        <v>24.99</v>
      </c>
      <c r="U864">
        <v>0</v>
      </c>
      <c r="V864">
        <v>23.8</v>
      </c>
      <c r="W864">
        <v>1.19</v>
      </c>
      <c r="X864">
        <v>0</v>
      </c>
      <c r="Y864">
        <v>0</v>
      </c>
      <c r="Z864">
        <v>24.99</v>
      </c>
      <c r="AA864" t="s">
        <v>2704</v>
      </c>
      <c r="AB864" t="s">
        <v>45</v>
      </c>
      <c r="AC864" t="s">
        <v>46</v>
      </c>
      <c r="AD864" t="s">
        <v>2556</v>
      </c>
      <c r="AE864" t="s">
        <v>2557</v>
      </c>
      <c r="AF864" t="s">
        <v>3443</v>
      </c>
      <c r="AG864" t="s">
        <v>46</v>
      </c>
      <c r="AH864" t="s">
        <v>2503</v>
      </c>
      <c r="AI864" t="s">
        <v>37</v>
      </c>
    </row>
    <row r="865" spans="1:35" x14ac:dyDescent="0.25">
      <c r="A865" t="s">
        <v>3444</v>
      </c>
      <c r="B865" t="s">
        <v>34</v>
      </c>
      <c r="C865" t="s">
        <v>2503</v>
      </c>
      <c r="D865" t="s">
        <v>2504</v>
      </c>
      <c r="E865" t="s">
        <v>3445</v>
      </c>
      <c r="F865" t="s">
        <v>1372</v>
      </c>
      <c r="G865" t="s">
        <v>39</v>
      </c>
      <c r="H865" t="s">
        <v>40</v>
      </c>
      <c r="I865" t="s">
        <v>41</v>
      </c>
      <c r="J865" t="s">
        <v>37</v>
      </c>
      <c r="K865" t="s">
        <v>37</v>
      </c>
      <c r="L865" t="s">
        <v>42</v>
      </c>
      <c r="M865" s="6">
        <v>46079.849189814813</v>
      </c>
      <c r="N865" t="s">
        <v>4265</v>
      </c>
      <c r="O865" s="1">
        <v>46081.375</v>
      </c>
      <c r="P865" s="1">
        <v>46079.849432870367</v>
      </c>
      <c r="Q865" t="s">
        <v>4265</v>
      </c>
      <c r="R865" s="6">
        <v>46081.711805555555</v>
      </c>
      <c r="S865" t="s">
        <v>43</v>
      </c>
      <c r="T865">
        <v>24.99</v>
      </c>
      <c r="U865">
        <v>0</v>
      </c>
      <c r="V865">
        <v>23.8</v>
      </c>
      <c r="W865">
        <v>1.19</v>
      </c>
      <c r="X865">
        <v>0</v>
      </c>
      <c r="Y865">
        <v>0</v>
      </c>
      <c r="Z865">
        <v>24.99</v>
      </c>
      <c r="AA865" t="s">
        <v>2704</v>
      </c>
      <c r="AB865" t="s">
        <v>45</v>
      </c>
      <c r="AC865" t="s">
        <v>46</v>
      </c>
      <c r="AD865" t="s">
        <v>2556</v>
      </c>
      <c r="AE865" t="s">
        <v>2557</v>
      </c>
      <c r="AF865" t="s">
        <v>3446</v>
      </c>
      <c r="AG865" t="s">
        <v>46</v>
      </c>
      <c r="AH865" t="s">
        <v>2503</v>
      </c>
      <c r="AI865" t="s">
        <v>37</v>
      </c>
    </row>
    <row r="866" spans="1:35" x14ac:dyDescent="0.25">
      <c r="A866" t="s">
        <v>3447</v>
      </c>
      <c r="B866" t="s">
        <v>34</v>
      </c>
      <c r="C866" t="s">
        <v>3448</v>
      </c>
      <c r="D866" t="s">
        <v>3449</v>
      </c>
      <c r="E866" t="s">
        <v>3450</v>
      </c>
      <c r="F866" t="s">
        <v>3451</v>
      </c>
      <c r="G866" t="s">
        <v>39</v>
      </c>
      <c r="H866" t="s">
        <v>40</v>
      </c>
      <c r="I866" t="s">
        <v>41</v>
      </c>
      <c r="J866" t="s">
        <v>37</v>
      </c>
      <c r="K866" t="s">
        <v>37</v>
      </c>
      <c r="L866" t="s">
        <v>42</v>
      </c>
      <c r="M866" s="6">
        <v>46079.885706018518</v>
      </c>
      <c r="N866" t="s">
        <v>4268</v>
      </c>
      <c r="O866" s="1">
        <v>46080.3125</v>
      </c>
      <c r="P866" s="1">
        <v>46079.885706018518</v>
      </c>
      <c r="Q866" t="s">
        <v>4268</v>
      </c>
      <c r="R866" s="6">
        <v>46080.690972222219</v>
      </c>
      <c r="S866" t="s">
        <v>43</v>
      </c>
      <c r="T866">
        <v>24.99</v>
      </c>
      <c r="U866">
        <v>0</v>
      </c>
      <c r="V866">
        <v>23.8</v>
      </c>
      <c r="W866">
        <v>1.19</v>
      </c>
      <c r="X866">
        <v>0</v>
      </c>
      <c r="Y866">
        <v>0</v>
      </c>
      <c r="Z866">
        <v>24.99</v>
      </c>
      <c r="AA866" t="s">
        <v>2704</v>
      </c>
      <c r="AB866" t="s">
        <v>45</v>
      </c>
      <c r="AC866" t="s">
        <v>46</v>
      </c>
      <c r="AD866" t="s">
        <v>2556</v>
      </c>
      <c r="AE866" t="s">
        <v>2557</v>
      </c>
      <c r="AF866" t="s">
        <v>3452</v>
      </c>
      <c r="AG866" t="s">
        <v>46</v>
      </c>
      <c r="AH866" t="s">
        <v>3448</v>
      </c>
      <c r="AI866" t="s">
        <v>37</v>
      </c>
    </row>
    <row r="867" spans="1:35" x14ac:dyDescent="0.25">
      <c r="A867" t="s">
        <v>3453</v>
      </c>
      <c r="B867" t="s">
        <v>34</v>
      </c>
      <c r="C867" t="s">
        <v>1114</v>
      </c>
      <c r="D867" t="s">
        <v>1115</v>
      </c>
      <c r="E867" t="s">
        <v>37</v>
      </c>
      <c r="F867" t="s">
        <v>1686</v>
      </c>
      <c r="G867" t="s">
        <v>39</v>
      </c>
      <c r="H867" t="s">
        <v>40</v>
      </c>
      <c r="I867" t="s">
        <v>41</v>
      </c>
      <c r="J867" t="s">
        <v>37</v>
      </c>
      <c r="K867" t="s">
        <v>37</v>
      </c>
      <c r="L867" t="s">
        <v>42</v>
      </c>
      <c r="M867" s="6">
        <v>46080.346655092595</v>
      </c>
      <c r="N867" t="s">
        <v>4268</v>
      </c>
      <c r="O867" s="1">
        <v>46080.375</v>
      </c>
      <c r="P867" s="1">
        <v>46080.347534722219</v>
      </c>
      <c r="Q867" t="s">
        <v>4268</v>
      </c>
      <c r="R867" s="6">
        <v>46080.670138888891</v>
      </c>
      <c r="S867" t="s">
        <v>43</v>
      </c>
      <c r="T867">
        <v>24.99</v>
      </c>
      <c r="U867">
        <v>0</v>
      </c>
      <c r="V867">
        <v>23.8</v>
      </c>
      <c r="W867">
        <v>1.19</v>
      </c>
      <c r="X867">
        <v>0</v>
      </c>
      <c r="Y867">
        <v>0</v>
      </c>
      <c r="Z867">
        <v>24.99</v>
      </c>
      <c r="AA867" t="s">
        <v>2704</v>
      </c>
      <c r="AB867" t="s">
        <v>45</v>
      </c>
      <c r="AC867" t="s">
        <v>46</v>
      </c>
      <c r="AD867" t="s">
        <v>2556</v>
      </c>
      <c r="AE867" t="s">
        <v>2557</v>
      </c>
      <c r="AF867" t="s">
        <v>3454</v>
      </c>
      <c r="AG867" t="s">
        <v>46</v>
      </c>
      <c r="AH867" t="s">
        <v>1114</v>
      </c>
      <c r="AI867" t="s">
        <v>37</v>
      </c>
    </row>
    <row r="868" spans="1:35" x14ac:dyDescent="0.25">
      <c r="A868" t="s">
        <v>3455</v>
      </c>
      <c r="B868" t="s">
        <v>34</v>
      </c>
      <c r="C868" t="s">
        <v>3179</v>
      </c>
      <c r="D868" t="s">
        <v>3180</v>
      </c>
      <c r="E868" t="s">
        <v>3181</v>
      </c>
      <c r="F868" t="s">
        <v>3182</v>
      </c>
      <c r="G868" t="s">
        <v>2601</v>
      </c>
      <c r="H868" t="s">
        <v>40</v>
      </c>
      <c r="I868" t="s">
        <v>41</v>
      </c>
      <c r="J868" t="s">
        <v>37</v>
      </c>
      <c r="K868" t="s">
        <v>37</v>
      </c>
      <c r="L868" t="s">
        <v>42</v>
      </c>
      <c r="M868" s="6">
        <v>46080.757534722223</v>
      </c>
      <c r="N868" t="s">
        <v>4265</v>
      </c>
      <c r="O868" s="1">
        <v>46081.291666666664</v>
      </c>
      <c r="P868" s="1">
        <v>46080.758981481478</v>
      </c>
      <c r="Q868" t="s">
        <v>4265</v>
      </c>
      <c r="R868" s="6">
        <v>46081.670138888891</v>
      </c>
      <c r="S868" t="s">
        <v>43</v>
      </c>
      <c r="T868">
        <v>24.99</v>
      </c>
      <c r="U868">
        <v>0</v>
      </c>
      <c r="V868">
        <v>23.8</v>
      </c>
      <c r="W868">
        <v>1.19</v>
      </c>
      <c r="X868">
        <v>0</v>
      </c>
      <c r="Y868">
        <v>0</v>
      </c>
      <c r="Z868">
        <v>24.99</v>
      </c>
      <c r="AA868" t="s">
        <v>2704</v>
      </c>
      <c r="AB868" t="s">
        <v>45</v>
      </c>
      <c r="AC868" t="s">
        <v>46</v>
      </c>
      <c r="AD868" t="s">
        <v>2556</v>
      </c>
      <c r="AE868" t="s">
        <v>2557</v>
      </c>
      <c r="AF868" t="s">
        <v>3456</v>
      </c>
      <c r="AG868" t="s">
        <v>46</v>
      </c>
      <c r="AH868" t="s">
        <v>3179</v>
      </c>
      <c r="AI868" t="s">
        <v>37</v>
      </c>
    </row>
    <row r="869" spans="1:35" x14ac:dyDescent="0.25">
      <c r="A869" t="s">
        <v>3457</v>
      </c>
      <c r="B869" t="s">
        <v>34</v>
      </c>
      <c r="C869" t="s">
        <v>2503</v>
      </c>
      <c r="D869" t="s">
        <v>2504</v>
      </c>
      <c r="E869" t="s">
        <v>3445</v>
      </c>
      <c r="F869" t="s">
        <v>3458</v>
      </c>
      <c r="G869" t="s">
        <v>39</v>
      </c>
      <c r="H869" t="s">
        <v>40</v>
      </c>
      <c r="I869" t="s">
        <v>41</v>
      </c>
      <c r="J869" t="s">
        <v>37</v>
      </c>
      <c r="K869" t="s">
        <v>37</v>
      </c>
      <c r="L869" t="s">
        <v>42</v>
      </c>
      <c r="M869" s="6">
        <v>46081.381365740737</v>
      </c>
      <c r="N869" t="s">
        <v>4265</v>
      </c>
      <c r="O869" s="1">
        <v>46081.385416666664</v>
      </c>
      <c r="P869" s="1">
        <v>46081.381597222222</v>
      </c>
      <c r="Q869" t="s">
        <v>4265</v>
      </c>
      <c r="R869" s="6">
        <v>46081.711805555555</v>
      </c>
      <c r="S869" t="s">
        <v>43</v>
      </c>
      <c r="T869">
        <v>24.99</v>
      </c>
      <c r="U869">
        <v>0</v>
      </c>
      <c r="V869">
        <v>23.8</v>
      </c>
      <c r="W869">
        <v>1.19</v>
      </c>
      <c r="X869">
        <v>0</v>
      </c>
      <c r="Y869">
        <v>0</v>
      </c>
      <c r="Z869">
        <v>24.99</v>
      </c>
      <c r="AA869" t="s">
        <v>2704</v>
      </c>
      <c r="AB869" t="s">
        <v>45</v>
      </c>
      <c r="AC869" t="s">
        <v>46</v>
      </c>
      <c r="AD869" t="s">
        <v>2556</v>
      </c>
      <c r="AE869" t="s">
        <v>2557</v>
      </c>
      <c r="AF869" t="s">
        <v>3459</v>
      </c>
      <c r="AG869" t="s">
        <v>46</v>
      </c>
      <c r="AH869" t="s">
        <v>2503</v>
      </c>
      <c r="AI869" t="s">
        <v>37</v>
      </c>
    </row>
    <row r="870" spans="1:35" x14ac:dyDescent="0.25">
      <c r="A870" t="s">
        <v>3460</v>
      </c>
      <c r="B870" t="s">
        <v>34</v>
      </c>
      <c r="C870" t="s">
        <v>1884</v>
      </c>
      <c r="D870" t="s">
        <v>1885</v>
      </c>
      <c r="E870" t="s">
        <v>37</v>
      </c>
      <c r="F870" t="s">
        <v>1886</v>
      </c>
      <c r="G870" t="s">
        <v>39</v>
      </c>
      <c r="H870" t="s">
        <v>40</v>
      </c>
      <c r="I870" t="s">
        <v>41</v>
      </c>
      <c r="J870" t="s">
        <v>37</v>
      </c>
      <c r="K870" t="s">
        <v>37</v>
      </c>
      <c r="L870" t="s">
        <v>42</v>
      </c>
      <c r="M870" s="6">
        <v>46081.448425925926</v>
      </c>
      <c r="N870" t="s">
        <v>4265</v>
      </c>
      <c r="O870" s="1">
        <v>46081.451388888891</v>
      </c>
      <c r="P870" s="1">
        <v>46081.449074074073</v>
      </c>
      <c r="Q870" t="s">
        <v>4265</v>
      </c>
      <c r="R870" s="6">
        <v>46081.670138888891</v>
      </c>
      <c r="S870" t="s">
        <v>43</v>
      </c>
      <c r="T870">
        <v>24.99</v>
      </c>
      <c r="U870">
        <v>0</v>
      </c>
      <c r="V870">
        <v>23.8</v>
      </c>
      <c r="W870">
        <v>1.19</v>
      </c>
      <c r="X870">
        <v>0</v>
      </c>
      <c r="Y870">
        <v>0</v>
      </c>
      <c r="Z870">
        <v>24.99</v>
      </c>
      <c r="AA870" t="s">
        <v>2704</v>
      </c>
      <c r="AB870" t="s">
        <v>45</v>
      </c>
      <c r="AC870" t="s">
        <v>46</v>
      </c>
      <c r="AD870" t="s">
        <v>2556</v>
      </c>
      <c r="AE870" t="s">
        <v>2557</v>
      </c>
      <c r="AF870" t="s">
        <v>3461</v>
      </c>
      <c r="AG870" t="s">
        <v>46</v>
      </c>
      <c r="AH870" t="s">
        <v>1884</v>
      </c>
      <c r="AI870" t="s">
        <v>37</v>
      </c>
    </row>
    <row r="871" spans="1:35" x14ac:dyDescent="0.25">
      <c r="A871" t="s">
        <v>3462</v>
      </c>
      <c r="B871" t="s">
        <v>34</v>
      </c>
      <c r="C871" t="s">
        <v>3463</v>
      </c>
      <c r="D871" t="s">
        <v>3464</v>
      </c>
      <c r="E871" t="s">
        <v>3465</v>
      </c>
      <c r="F871" t="s">
        <v>3466</v>
      </c>
      <c r="G871" t="s">
        <v>39</v>
      </c>
      <c r="H871" t="s">
        <v>40</v>
      </c>
      <c r="I871" t="s">
        <v>41</v>
      </c>
      <c r="J871" t="s">
        <v>37</v>
      </c>
      <c r="K871" t="s">
        <v>37</v>
      </c>
      <c r="L871" t="s">
        <v>42</v>
      </c>
      <c r="M871" s="6">
        <v>46081.47761574074</v>
      </c>
      <c r="N871" t="s">
        <v>4265</v>
      </c>
      <c r="O871" s="1">
        <v>46081.479166666664</v>
      </c>
      <c r="P871" s="1">
        <v>46081.47861111111</v>
      </c>
      <c r="Q871" t="s">
        <v>4265</v>
      </c>
      <c r="R871" s="6">
        <v>46081.690972222219</v>
      </c>
      <c r="S871" t="s">
        <v>43</v>
      </c>
      <c r="T871">
        <v>24.99</v>
      </c>
      <c r="U871">
        <v>0</v>
      </c>
      <c r="V871">
        <v>23.8</v>
      </c>
      <c r="W871">
        <v>1.19</v>
      </c>
      <c r="X871">
        <v>0</v>
      </c>
      <c r="Y871">
        <v>0</v>
      </c>
      <c r="Z871">
        <v>24.99</v>
      </c>
      <c r="AA871" t="s">
        <v>2704</v>
      </c>
      <c r="AB871" t="s">
        <v>45</v>
      </c>
      <c r="AC871" t="s">
        <v>46</v>
      </c>
      <c r="AD871" t="s">
        <v>2556</v>
      </c>
      <c r="AE871" t="s">
        <v>2557</v>
      </c>
      <c r="AF871" t="s">
        <v>3467</v>
      </c>
      <c r="AG871" t="s">
        <v>46</v>
      </c>
      <c r="AH871" t="s">
        <v>3463</v>
      </c>
      <c r="AI871" t="s">
        <v>37</v>
      </c>
    </row>
    <row r="872" spans="1:35" x14ac:dyDescent="0.25">
      <c r="A872" t="s">
        <v>3468</v>
      </c>
      <c r="B872" t="s">
        <v>34</v>
      </c>
      <c r="C872" t="s">
        <v>1678</v>
      </c>
      <c r="D872" t="s">
        <v>1679</v>
      </c>
      <c r="E872" t="s">
        <v>37</v>
      </c>
      <c r="F872" t="s">
        <v>3438</v>
      </c>
      <c r="G872" t="s">
        <v>39</v>
      </c>
      <c r="H872" t="s">
        <v>40</v>
      </c>
      <c r="I872" t="s">
        <v>41</v>
      </c>
      <c r="J872" t="s">
        <v>37</v>
      </c>
      <c r="K872" t="s">
        <v>37</v>
      </c>
      <c r="L872" t="s">
        <v>42</v>
      </c>
      <c r="M872" s="6">
        <v>46082.321608796294</v>
      </c>
      <c r="N872" t="s">
        <v>4266</v>
      </c>
      <c r="O872" s="1">
        <v>46082.333333333336</v>
      </c>
      <c r="P872" s="1">
        <v>46082.321793981479</v>
      </c>
      <c r="Q872" t="s">
        <v>4266</v>
      </c>
      <c r="R872" s="6">
        <v>46082.628472222219</v>
      </c>
      <c r="S872" t="s">
        <v>43</v>
      </c>
      <c r="T872">
        <v>24.99</v>
      </c>
      <c r="U872">
        <v>0</v>
      </c>
      <c r="V872">
        <v>23.8</v>
      </c>
      <c r="W872">
        <v>1.19</v>
      </c>
      <c r="X872">
        <v>0</v>
      </c>
      <c r="Y872">
        <v>0</v>
      </c>
      <c r="Z872">
        <v>24.99</v>
      </c>
      <c r="AA872" t="s">
        <v>2704</v>
      </c>
      <c r="AB872" t="s">
        <v>45</v>
      </c>
      <c r="AC872" t="s">
        <v>46</v>
      </c>
      <c r="AD872" t="s">
        <v>2556</v>
      </c>
      <c r="AE872" t="s">
        <v>2557</v>
      </c>
      <c r="AF872" t="s">
        <v>3469</v>
      </c>
      <c r="AG872" t="s">
        <v>46</v>
      </c>
      <c r="AH872" t="s">
        <v>1678</v>
      </c>
      <c r="AI872" t="s">
        <v>37</v>
      </c>
    </row>
    <row r="873" spans="1:35" x14ac:dyDescent="0.25">
      <c r="A873" t="s">
        <v>3470</v>
      </c>
      <c r="B873" t="s">
        <v>34</v>
      </c>
      <c r="C873" t="s">
        <v>3471</v>
      </c>
      <c r="D873" t="s">
        <v>3472</v>
      </c>
      <c r="E873" t="s">
        <v>3473</v>
      </c>
      <c r="F873" t="s">
        <v>3474</v>
      </c>
      <c r="G873" t="s">
        <v>39</v>
      </c>
      <c r="H873" t="s">
        <v>40</v>
      </c>
      <c r="I873" t="s">
        <v>41</v>
      </c>
      <c r="J873" t="s">
        <v>37</v>
      </c>
      <c r="K873" t="s">
        <v>37</v>
      </c>
      <c r="L873" t="s">
        <v>42</v>
      </c>
      <c r="M873" s="6">
        <v>46084.428124999999</v>
      </c>
      <c r="N873" t="s">
        <v>4266</v>
      </c>
      <c r="O873" s="1">
        <v>46096.375</v>
      </c>
      <c r="P873" s="1">
        <v>46084.429606481484</v>
      </c>
      <c r="Q873" t="s">
        <v>4266</v>
      </c>
      <c r="R873" s="6">
        <v>46096.690972222219</v>
      </c>
      <c r="S873" t="s">
        <v>43</v>
      </c>
      <c r="T873">
        <v>24.99</v>
      </c>
      <c r="U873">
        <v>0</v>
      </c>
      <c r="V873">
        <v>23.8</v>
      </c>
      <c r="W873">
        <v>1.19</v>
      </c>
      <c r="X873">
        <v>0</v>
      </c>
      <c r="Y873">
        <v>0</v>
      </c>
      <c r="Z873">
        <v>24.99</v>
      </c>
      <c r="AA873" t="s">
        <v>2704</v>
      </c>
      <c r="AB873" t="s">
        <v>45</v>
      </c>
      <c r="AC873" t="s">
        <v>46</v>
      </c>
      <c r="AD873" t="s">
        <v>2556</v>
      </c>
      <c r="AE873" t="s">
        <v>2557</v>
      </c>
      <c r="AF873" t="s">
        <v>3475</v>
      </c>
      <c r="AG873" t="s">
        <v>46</v>
      </c>
      <c r="AH873" t="s">
        <v>3471</v>
      </c>
      <c r="AI873" t="s">
        <v>37</v>
      </c>
    </row>
    <row r="874" spans="1:35" x14ac:dyDescent="0.25">
      <c r="A874" t="s">
        <v>3476</v>
      </c>
      <c r="B874" t="s">
        <v>34</v>
      </c>
      <c r="C874" t="s">
        <v>3477</v>
      </c>
      <c r="D874" t="s">
        <v>3478</v>
      </c>
      <c r="E874" t="s">
        <v>3479</v>
      </c>
      <c r="F874" t="s">
        <v>3480</v>
      </c>
      <c r="G874" t="s">
        <v>39</v>
      </c>
      <c r="H874" t="s">
        <v>40</v>
      </c>
      <c r="I874" t="s">
        <v>41</v>
      </c>
      <c r="J874" t="s">
        <v>37</v>
      </c>
      <c r="K874" t="s">
        <v>37</v>
      </c>
      <c r="L874" t="s">
        <v>42</v>
      </c>
      <c r="M874" s="6">
        <v>46086.665578703702</v>
      </c>
      <c r="N874" t="s">
        <v>4268</v>
      </c>
      <c r="O874" s="1">
        <v>46087.291666666664</v>
      </c>
      <c r="P874" s="1">
        <v>46086.666817129626</v>
      </c>
      <c r="Q874" t="s">
        <v>4268</v>
      </c>
      <c r="R874" s="6">
        <v>46087.670138888891</v>
      </c>
      <c r="S874" t="s">
        <v>43</v>
      </c>
      <c r="T874">
        <v>24.99</v>
      </c>
      <c r="U874">
        <v>0</v>
      </c>
      <c r="V874">
        <v>23.8</v>
      </c>
      <c r="W874">
        <v>1.19</v>
      </c>
      <c r="X874">
        <v>0</v>
      </c>
      <c r="Y874">
        <v>0</v>
      </c>
      <c r="Z874">
        <v>24.99</v>
      </c>
      <c r="AA874" t="s">
        <v>2704</v>
      </c>
      <c r="AB874" t="s">
        <v>45</v>
      </c>
      <c r="AC874" t="s">
        <v>46</v>
      </c>
      <c r="AD874" t="s">
        <v>2556</v>
      </c>
      <c r="AE874" t="s">
        <v>2557</v>
      </c>
      <c r="AF874" t="s">
        <v>3481</v>
      </c>
      <c r="AG874" t="s">
        <v>46</v>
      </c>
      <c r="AH874" t="s">
        <v>3477</v>
      </c>
      <c r="AI874" t="s">
        <v>37</v>
      </c>
    </row>
    <row r="875" spans="1:35" x14ac:dyDescent="0.25">
      <c r="A875" t="s">
        <v>3482</v>
      </c>
      <c r="B875" t="s">
        <v>34</v>
      </c>
      <c r="C875" t="s">
        <v>3483</v>
      </c>
      <c r="D875" t="s">
        <v>3484</v>
      </c>
      <c r="E875" t="s">
        <v>3485</v>
      </c>
      <c r="F875" t="s">
        <v>3486</v>
      </c>
      <c r="G875" t="s">
        <v>39</v>
      </c>
      <c r="H875" t="s">
        <v>40</v>
      </c>
      <c r="I875" t="s">
        <v>41</v>
      </c>
      <c r="J875" t="s">
        <v>37</v>
      </c>
      <c r="K875" t="s">
        <v>37</v>
      </c>
      <c r="L875" t="s">
        <v>42</v>
      </c>
      <c r="M875" s="6">
        <v>46086.725162037037</v>
      </c>
      <c r="N875" t="s">
        <v>4268</v>
      </c>
      <c r="O875" s="1">
        <v>46087.3125</v>
      </c>
      <c r="P875" s="1">
        <v>46086.725162037037</v>
      </c>
      <c r="Q875" t="s">
        <v>4268</v>
      </c>
      <c r="R875" s="6">
        <v>46087.670138888891</v>
      </c>
      <c r="S875" t="s">
        <v>43</v>
      </c>
      <c r="T875">
        <v>24.99</v>
      </c>
      <c r="U875">
        <v>0</v>
      </c>
      <c r="V875">
        <v>23.8</v>
      </c>
      <c r="W875">
        <v>1.19</v>
      </c>
      <c r="X875">
        <v>0</v>
      </c>
      <c r="Y875">
        <v>0</v>
      </c>
      <c r="Z875">
        <v>24.99</v>
      </c>
      <c r="AA875" t="s">
        <v>2704</v>
      </c>
      <c r="AB875" t="s">
        <v>45</v>
      </c>
      <c r="AC875" t="s">
        <v>46</v>
      </c>
      <c r="AD875" t="s">
        <v>2556</v>
      </c>
      <c r="AE875" t="s">
        <v>2557</v>
      </c>
      <c r="AF875" t="s">
        <v>3487</v>
      </c>
      <c r="AG875" t="s">
        <v>46</v>
      </c>
      <c r="AH875" t="s">
        <v>3483</v>
      </c>
      <c r="AI875" t="s">
        <v>37</v>
      </c>
    </row>
    <row r="876" spans="1:35" x14ac:dyDescent="0.25">
      <c r="A876" t="s">
        <v>3488</v>
      </c>
      <c r="B876" t="s">
        <v>34</v>
      </c>
      <c r="C876" t="s">
        <v>3489</v>
      </c>
      <c r="D876" t="s">
        <v>3490</v>
      </c>
      <c r="E876" t="s">
        <v>3491</v>
      </c>
      <c r="F876" t="s">
        <v>3492</v>
      </c>
      <c r="G876" t="s">
        <v>39</v>
      </c>
      <c r="H876" t="s">
        <v>40</v>
      </c>
      <c r="I876" t="s">
        <v>41</v>
      </c>
      <c r="J876" t="s">
        <v>37</v>
      </c>
      <c r="K876" t="s">
        <v>37</v>
      </c>
      <c r="L876" t="s">
        <v>42</v>
      </c>
      <c r="M876" s="6">
        <v>46086.735300925924</v>
      </c>
      <c r="N876" t="s">
        <v>4268</v>
      </c>
      <c r="O876" s="1">
        <v>46087.291666666664</v>
      </c>
      <c r="P876" s="1">
        <v>46086.736168981479</v>
      </c>
      <c r="Q876" t="s">
        <v>4268</v>
      </c>
      <c r="R876" s="6">
        <v>46087.670138888891</v>
      </c>
      <c r="S876" t="s">
        <v>43</v>
      </c>
      <c r="T876">
        <v>24.99</v>
      </c>
      <c r="U876">
        <v>0</v>
      </c>
      <c r="V876">
        <v>23.8</v>
      </c>
      <c r="W876">
        <v>1.19</v>
      </c>
      <c r="X876">
        <v>0</v>
      </c>
      <c r="Y876">
        <v>0</v>
      </c>
      <c r="Z876">
        <v>24.99</v>
      </c>
      <c r="AA876" t="s">
        <v>2704</v>
      </c>
      <c r="AB876" t="s">
        <v>45</v>
      </c>
      <c r="AC876" t="s">
        <v>46</v>
      </c>
      <c r="AD876" t="s">
        <v>2556</v>
      </c>
      <c r="AE876" t="s">
        <v>2557</v>
      </c>
      <c r="AF876" t="s">
        <v>3493</v>
      </c>
      <c r="AG876" t="s">
        <v>46</v>
      </c>
      <c r="AH876" t="s">
        <v>3489</v>
      </c>
      <c r="AI876" t="s">
        <v>37</v>
      </c>
    </row>
    <row r="877" spans="1:35" x14ac:dyDescent="0.25">
      <c r="A877" t="s">
        <v>3494</v>
      </c>
      <c r="B877" t="s">
        <v>34</v>
      </c>
      <c r="C877" t="s">
        <v>500</v>
      </c>
      <c r="D877" t="s">
        <v>501</v>
      </c>
      <c r="E877" t="s">
        <v>37</v>
      </c>
      <c r="F877" t="s">
        <v>502</v>
      </c>
      <c r="G877" t="s">
        <v>39</v>
      </c>
      <c r="H877" t="s">
        <v>40</v>
      </c>
      <c r="I877" t="s">
        <v>41</v>
      </c>
      <c r="J877" t="s">
        <v>37</v>
      </c>
      <c r="K877" t="s">
        <v>37</v>
      </c>
      <c r="L877" t="s">
        <v>42</v>
      </c>
      <c r="M877" s="6">
        <v>46087.227060185185</v>
      </c>
      <c r="N877" t="s">
        <v>4268</v>
      </c>
      <c r="O877" s="1">
        <v>46087.3125</v>
      </c>
      <c r="P877" s="1">
        <v>46087.227349537039</v>
      </c>
      <c r="Q877" t="s">
        <v>4268</v>
      </c>
      <c r="R877" s="6">
        <v>46087.357638888891</v>
      </c>
      <c r="S877" t="s">
        <v>43</v>
      </c>
      <c r="T877">
        <v>24.99</v>
      </c>
      <c r="U877">
        <v>0</v>
      </c>
      <c r="V877">
        <v>23.8</v>
      </c>
      <c r="W877">
        <v>1.19</v>
      </c>
      <c r="X877">
        <v>0</v>
      </c>
      <c r="Y877">
        <v>0</v>
      </c>
      <c r="Z877">
        <v>24.99</v>
      </c>
      <c r="AA877" t="s">
        <v>2704</v>
      </c>
      <c r="AB877" t="s">
        <v>45</v>
      </c>
      <c r="AC877" t="s">
        <v>46</v>
      </c>
      <c r="AD877" t="s">
        <v>2556</v>
      </c>
      <c r="AE877" t="s">
        <v>2557</v>
      </c>
      <c r="AF877" t="s">
        <v>3495</v>
      </c>
      <c r="AG877" t="s">
        <v>46</v>
      </c>
      <c r="AH877" t="s">
        <v>504</v>
      </c>
      <c r="AI877" t="s">
        <v>37</v>
      </c>
    </row>
    <row r="878" spans="1:35" x14ac:dyDescent="0.25">
      <c r="A878" t="s">
        <v>3496</v>
      </c>
      <c r="B878" t="s">
        <v>34</v>
      </c>
      <c r="C878" t="s">
        <v>3497</v>
      </c>
      <c r="D878" t="s">
        <v>3498</v>
      </c>
      <c r="E878" t="s">
        <v>3499</v>
      </c>
      <c r="F878" t="s">
        <v>3500</v>
      </c>
      <c r="G878" t="s">
        <v>39</v>
      </c>
      <c r="H878" t="s">
        <v>40</v>
      </c>
      <c r="I878" t="s">
        <v>41</v>
      </c>
      <c r="J878" t="s">
        <v>37</v>
      </c>
      <c r="K878" t="s">
        <v>37</v>
      </c>
      <c r="L878" t="s">
        <v>42</v>
      </c>
      <c r="M878" s="6">
        <v>46087.339629629627</v>
      </c>
      <c r="N878" t="s">
        <v>4268</v>
      </c>
      <c r="O878" s="1">
        <v>46087.427083333336</v>
      </c>
      <c r="P878" s="1">
        <v>46087.339629629627</v>
      </c>
      <c r="Q878" t="s">
        <v>4268</v>
      </c>
      <c r="R878" s="6">
        <v>46087.472222222219</v>
      </c>
      <c r="S878" t="s">
        <v>43</v>
      </c>
      <c r="T878">
        <v>24.99</v>
      </c>
      <c r="U878">
        <v>0</v>
      </c>
      <c r="V878">
        <v>23.8</v>
      </c>
      <c r="W878">
        <v>1.19</v>
      </c>
      <c r="X878">
        <v>0</v>
      </c>
      <c r="Y878">
        <v>0</v>
      </c>
      <c r="Z878">
        <v>24.99</v>
      </c>
      <c r="AA878" t="s">
        <v>2704</v>
      </c>
      <c r="AB878" t="s">
        <v>45</v>
      </c>
      <c r="AC878" t="s">
        <v>46</v>
      </c>
      <c r="AD878" t="s">
        <v>2556</v>
      </c>
      <c r="AE878" t="s">
        <v>2557</v>
      </c>
      <c r="AF878" t="s">
        <v>3501</v>
      </c>
      <c r="AG878" t="s">
        <v>46</v>
      </c>
      <c r="AH878" t="s">
        <v>3497</v>
      </c>
      <c r="AI878" t="s">
        <v>37</v>
      </c>
    </row>
    <row r="879" spans="1:35" x14ac:dyDescent="0.25">
      <c r="A879" t="s">
        <v>3502</v>
      </c>
      <c r="B879" t="s">
        <v>34</v>
      </c>
      <c r="C879" t="s">
        <v>3503</v>
      </c>
      <c r="D879" t="s">
        <v>3504</v>
      </c>
      <c r="E879" t="s">
        <v>3505</v>
      </c>
      <c r="F879" t="s">
        <v>3506</v>
      </c>
      <c r="G879" t="s">
        <v>39</v>
      </c>
      <c r="H879" t="s">
        <v>40</v>
      </c>
      <c r="I879" t="s">
        <v>41</v>
      </c>
      <c r="J879" t="s">
        <v>37</v>
      </c>
      <c r="K879" t="s">
        <v>37</v>
      </c>
      <c r="L879" t="s">
        <v>42</v>
      </c>
      <c r="M879" s="6">
        <v>46087.830613425926</v>
      </c>
      <c r="N879" t="s">
        <v>4265</v>
      </c>
      <c r="O879" s="1">
        <v>46088.416666666664</v>
      </c>
      <c r="P879" s="1">
        <v>46087.831342592595</v>
      </c>
      <c r="Q879" t="s">
        <v>4265</v>
      </c>
      <c r="R879" s="6">
        <v>46088.711805555555</v>
      </c>
      <c r="S879" t="s">
        <v>43</v>
      </c>
      <c r="T879">
        <v>24.99</v>
      </c>
      <c r="U879">
        <v>0</v>
      </c>
      <c r="V879">
        <v>23.8</v>
      </c>
      <c r="W879">
        <v>1.19</v>
      </c>
      <c r="X879">
        <v>0</v>
      </c>
      <c r="Y879">
        <v>0</v>
      </c>
      <c r="Z879">
        <v>24.99</v>
      </c>
      <c r="AA879" t="s">
        <v>2704</v>
      </c>
      <c r="AB879" t="s">
        <v>45</v>
      </c>
      <c r="AC879" t="s">
        <v>46</v>
      </c>
      <c r="AD879" t="s">
        <v>2556</v>
      </c>
      <c r="AE879" t="s">
        <v>2557</v>
      </c>
      <c r="AF879" t="s">
        <v>3507</v>
      </c>
      <c r="AG879" t="s">
        <v>46</v>
      </c>
      <c r="AH879" t="s">
        <v>3503</v>
      </c>
      <c r="AI879" t="s">
        <v>37</v>
      </c>
    </row>
    <row r="880" spans="1:35" x14ac:dyDescent="0.25">
      <c r="A880" t="s">
        <v>3508</v>
      </c>
      <c r="B880" t="s">
        <v>34</v>
      </c>
      <c r="C880" t="s">
        <v>3509</v>
      </c>
      <c r="D880" t="s">
        <v>3510</v>
      </c>
      <c r="E880" t="s">
        <v>3511</v>
      </c>
      <c r="F880" t="s">
        <v>3512</v>
      </c>
      <c r="G880" t="s">
        <v>2601</v>
      </c>
      <c r="H880" t="s">
        <v>40</v>
      </c>
      <c r="I880" t="s">
        <v>41</v>
      </c>
      <c r="J880" t="s">
        <v>37</v>
      </c>
      <c r="K880" t="s">
        <v>37</v>
      </c>
      <c r="L880" t="s">
        <v>42</v>
      </c>
      <c r="M880" s="6">
        <v>46087.872164351851</v>
      </c>
      <c r="N880" t="s">
        <v>4265</v>
      </c>
      <c r="O880" s="1">
        <v>46088.375</v>
      </c>
      <c r="P880" s="1">
        <v>46087.872164351851</v>
      </c>
      <c r="Q880" t="s">
        <v>4265</v>
      </c>
      <c r="R880" s="6">
        <v>46088.711805555555</v>
      </c>
      <c r="S880" t="s">
        <v>43</v>
      </c>
      <c r="T880">
        <v>24.99</v>
      </c>
      <c r="U880">
        <v>0</v>
      </c>
      <c r="V880">
        <v>23.8</v>
      </c>
      <c r="W880">
        <v>1.19</v>
      </c>
      <c r="X880">
        <v>0</v>
      </c>
      <c r="Y880">
        <v>0</v>
      </c>
      <c r="Z880">
        <v>24.99</v>
      </c>
      <c r="AA880" t="s">
        <v>2704</v>
      </c>
      <c r="AB880" t="s">
        <v>45</v>
      </c>
      <c r="AC880" t="s">
        <v>46</v>
      </c>
      <c r="AD880" t="s">
        <v>2556</v>
      </c>
      <c r="AE880" t="s">
        <v>2557</v>
      </c>
      <c r="AF880" t="s">
        <v>3513</v>
      </c>
      <c r="AG880" t="s">
        <v>46</v>
      </c>
      <c r="AH880" t="s">
        <v>3509</v>
      </c>
      <c r="AI880" t="s">
        <v>37</v>
      </c>
    </row>
    <row r="881" spans="1:35" x14ac:dyDescent="0.25">
      <c r="A881" t="s">
        <v>3514</v>
      </c>
      <c r="B881" t="s">
        <v>34</v>
      </c>
      <c r="C881" t="s">
        <v>3509</v>
      </c>
      <c r="D881" t="s">
        <v>3510</v>
      </c>
      <c r="E881" t="s">
        <v>3511</v>
      </c>
      <c r="F881" t="s">
        <v>3515</v>
      </c>
      <c r="G881" t="s">
        <v>39</v>
      </c>
      <c r="H881" t="s">
        <v>40</v>
      </c>
      <c r="I881" t="s">
        <v>41</v>
      </c>
      <c r="J881" t="s">
        <v>37</v>
      </c>
      <c r="K881" t="s">
        <v>37</v>
      </c>
      <c r="L881" t="s">
        <v>42</v>
      </c>
      <c r="M881" s="6">
        <v>46087.873217592591</v>
      </c>
      <c r="N881" t="s">
        <v>4265</v>
      </c>
      <c r="O881" s="1">
        <v>46088.375</v>
      </c>
      <c r="P881" s="1">
        <v>46087.873229166667</v>
      </c>
      <c r="Q881" t="s">
        <v>4265</v>
      </c>
      <c r="R881" s="6">
        <v>46088.711805555555</v>
      </c>
      <c r="S881" t="s">
        <v>43</v>
      </c>
      <c r="T881">
        <v>24.99</v>
      </c>
      <c r="U881">
        <v>0</v>
      </c>
      <c r="V881">
        <v>23.8</v>
      </c>
      <c r="W881">
        <v>1.19</v>
      </c>
      <c r="X881">
        <v>0</v>
      </c>
      <c r="Y881">
        <v>0</v>
      </c>
      <c r="Z881">
        <v>24.99</v>
      </c>
      <c r="AA881" t="s">
        <v>2704</v>
      </c>
      <c r="AB881" t="s">
        <v>45</v>
      </c>
      <c r="AC881" t="s">
        <v>46</v>
      </c>
      <c r="AD881" t="s">
        <v>2556</v>
      </c>
      <c r="AE881" t="s">
        <v>2557</v>
      </c>
      <c r="AF881" t="s">
        <v>3516</v>
      </c>
      <c r="AG881" t="s">
        <v>46</v>
      </c>
      <c r="AH881" t="s">
        <v>3509</v>
      </c>
      <c r="AI881" t="s">
        <v>37</v>
      </c>
    </row>
    <row r="882" spans="1:35" x14ac:dyDescent="0.25">
      <c r="A882" t="s">
        <v>3517</v>
      </c>
      <c r="B882" t="s">
        <v>34</v>
      </c>
      <c r="C882" t="s">
        <v>1336</v>
      </c>
      <c r="D882" t="s">
        <v>1337</v>
      </c>
      <c r="E882" t="s">
        <v>37</v>
      </c>
      <c r="F882" t="s">
        <v>3039</v>
      </c>
      <c r="G882" t="s">
        <v>39</v>
      </c>
      <c r="H882" t="s">
        <v>40</v>
      </c>
      <c r="I882" t="s">
        <v>41</v>
      </c>
      <c r="J882" t="s">
        <v>37</v>
      </c>
      <c r="K882" t="s">
        <v>37</v>
      </c>
      <c r="L882" t="s">
        <v>42</v>
      </c>
      <c r="M882" s="6">
        <v>46087.941446759258</v>
      </c>
      <c r="N882" t="s">
        <v>4265</v>
      </c>
      <c r="O882" s="1">
        <v>46088.354166666664</v>
      </c>
      <c r="P882" s="1">
        <v>46087.941458333335</v>
      </c>
      <c r="Q882" t="s">
        <v>4265</v>
      </c>
      <c r="R882" s="6">
        <v>46088.670138888891</v>
      </c>
      <c r="S882" t="s">
        <v>43</v>
      </c>
      <c r="T882">
        <v>24.99</v>
      </c>
      <c r="U882">
        <v>0</v>
      </c>
      <c r="V882">
        <v>23.8</v>
      </c>
      <c r="W882">
        <v>1.19</v>
      </c>
      <c r="X882">
        <v>0</v>
      </c>
      <c r="Y882">
        <v>0</v>
      </c>
      <c r="Z882">
        <v>24.99</v>
      </c>
      <c r="AA882" t="s">
        <v>2704</v>
      </c>
      <c r="AB882" t="s">
        <v>45</v>
      </c>
      <c r="AC882" t="s">
        <v>46</v>
      </c>
      <c r="AD882" t="s">
        <v>2556</v>
      </c>
      <c r="AE882" t="s">
        <v>2557</v>
      </c>
      <c r="AF882" t="s">
        <v>3518</v>
      </c>
      <c r="AG882" t="s">
        <v>46</v>
      </c>
      <c r="AH882" t="s">
        <v>1336</v>
      </c>
      <c r="AI882" t="s">
        <v>37</v>
      </c>
    </row>
    <row r="883" spans="1:35" x14ac:dyDescent="0.25">
      <c r="A883" t="s">
        <v>3519</v>
      </c>
      <c r="B883" t="s">
        <v>34</v>
      </c>
      <c r="C883" t="s">
        <v>3520</v>
      </c>
      <c r="D883" t="s">
        <v>3521</v>
      </c>
      <c r="E883" t="s">
        <v>3522</v>
      </c>
      <c r="F883" t="s">
        <v>3523</v>
      </c>
      <c r="G883" t="s">
        <v>39</v>
      </c>
      <c r="H883" t="s">
        <v>40</v>
      </c>
      <c r="I883" t="s">
        <v>41</v>
      </c>
      <c r="J883" t="s">
        <v>37</v>
      </c>
      <c r="K883" t="s">
        <v>37</v>
      </c>
      <c r="L883" t="s">
        <v>42</v>
      </c>
      <c r="M883" s="6">
        <v>46088.206516203703</v>
      </c>
      <c r="N883" t="s">
        <v>4265</v>
      </c>
      <c r="O883" s="1">
        <v>46088.354166666664</v>
      </c>
      <c r="P883" s="1">
        <v>46088.206932870373</v>
      </c>
      <c r="Q883" t="s">
        <v>4265</v>
      </c>
      <c r="R883" s="6">
        <v>46088.607638888891</v>
      </c>
      <c r="S883" t="s">
        <v>43</v>
      </c>
      <c r="T883">
        <v>24.99</v>
      </c>
      <c r="U883">
        <v>0</v>
      </c>
      <c r="V883">
        <v>23.8</v>
      </c>
      <c r="W883">
        <v>1.19</v>
      </c>
      <c r="X883">
        <v>0</v>
      </c>
      <c r="Y883">
        <v>0</v>
      </c>
      <c r="Z883">
        <v>24.99</v>
      </c>
      <c r="AA883" t="s">
        <v>2704</v>
      </c>
      <c r="AB883" t="s">
        <v>45</v>
      </c>
      <c r="AC883" t="s">
        <v>46</v>
      </c>
      <c r="AD883" t="s">
        <v>2556</v>
      </c>
      <c r="AE883" t="s">
        <v>2557</v>
      </c>
      <c r="AF883" t="s">
        <v>3524</v>
      </c>
      <c r="AG883" t="s">
        <v>46</v>
      </c>
      <c r="AH883" t="s">
        <v>3520</v>
      </c>
      <c r="AI883" t="s">
        <v>37</v>
      </c>
    </row>
    <row r="884" spans="1:35" x14ac:dyDescent="0.25">
      <c r="A884" t="s">
        <v>3525</v>
      </c>
      <c r="B884" t="s">
        <v>34</v>
      </c>
      <c r="C884" t="s">
        <v>3526</v>
      </c>
      <c r="D884" t="s">
        <v>3527</v>
      </c>
      <c r="E884" t="s">
        <v>3528</v>
      </c>
      <c r="F884" t="s">
        <v>3529</v>
      </c>
      <c r="G884" t="s">
        <v>39</v>
      </c>
      <c r="H884" t="s">
        <v>40</v>
      </c>
      <c r="I884" t="s">
        <v>41</v>
      </c>
      <c r="J884" t="s">
        <v>37</v>
      </c>
      <c r="K884" t="s">
        <v>37</v>
      </c>
      <c r="L884" t="s">
        <v>42</v>
      </c>
      <c r="M884" s="6">
        <v>46088.408541666664</v>
      </c>
      <c r="N884" t="s">
        <v>4265</v>
      </c>
      <c r="O884" s="1">
        <v>46088.416666666664</v>
      </c>
      <c r="P884" s="1">
        <v>46088.408773148149</v>
      </c>
      <c r="Q884" t="s">
        <v>4265</v>
      </c>
      <c r="R884" s="6">
        <v>46088.670138888891</v>
      </c>
      <c r="S884" t="s">
        <v>43</v>
      </c>
      <c r="T884">
        <v>24.99</v>
      </c>
      <c r="U884">
        <v>0</v>
      </c>
      <c r="V884">
        <v>23.8</v>
      </c>
      <c r="W884">
        <v>1.19</v>
      </c>
      <c r="X884">
        <v>0</v>
      </c>
      <c r="Y884">
        <v>0</v>
      </c>
      <c r="Z884">
        <v>24.99</v>
      </c>
      <c r="AA884" t="s">
        <v>2704</v>
      </c>
      <c r="AB884" t="s">
        <v>45</v>
      </c>
      <c r="AC884" t="s">
        <v>46</v>
      </c>
      <c r="AD884" t="s">
        <v>2556</v>
      </c>
      <c r="AE884" t="s">
        <v>2557</v>
      </c>
      <c r="AF884" t="s">
        <v>3530</v>
      </c>
      <c r="AG884" t="s">
        <v>46</v>
      </c>
      <c r="AH884" t="s">
        <v>3526</v>
      </c>
      <c r="AI884" t="s">
        <v>37</v>
      </c>
    </row>
    <row r="885" spans="1:35" x14ac:dyDescent="0.25">
      <c r="A885" t="s">
        <v>3531</v>
      </c>
      <c r="B885" t="s">
        <v>34</v>
      </c>
      <c r="C885" t="s">
        <v>3532</v>
      </c>
      <c r="D885" t="s">
        <v>3533</v>
      </c>
      <c r="E885" t="s">
        <v>3534</v>
      </c>
      <c r="F885" t="s">
        <v>3535</v>
      </c>
      <c r="G885" t="s">
        <v>39</v>
      </c>
      <c r="H885" t="s">
        <v>40</v>
      </c>
      <c r="I885" t="s">
        <v>41</v>
      </c>
      <c r="J885" t="s">
        <v>37</v>
      </c>
      <c r="K885" t="s">
        <v>37</v>
      </c>
      <c r="L885" t="s">
        <v>42</v>
      </c>
      <c r="M885" s="6">
        <v>46088.441342592596</v>
      </c>
      <c r="N885" t="s">
        <v>4265</v>
      </c>
      <c r="O885" s="1">
        <v>46088.458333333336</v>
      </c>
      <c r="P885" s="1">
        <v>46088.441342592596</v>
      </c>
      <c r="Q885" t="s">
        <v>4265</v>
      </c>
      <c r="R885" s="6">
        <v>46088.670138888891</v>
      </c>
      <c r="S885" t="s">
        <v>43</v>
      </c>
      <c r="T885">
        <v>24.99</v>
      </c>
      <c r="U885">
        <v>0</v>
      </c>
      <c r="V885">
        <v>23.8</v>
      </c>
      <c r="W885">
        <v>1.19</v>
      </c>
      <c r="X885">
        <v>0</v>
      </c>
      <c r="Y885">
        <v>0</v>
      </c>
      <c r="Z885">
        <v>24.99</v>
      </c>
      <c r="AA885" t="s">
        <v>2704</v>
      </c>
      <c r="AB885" t="s">
        <v>45</v>
      </c>
      <c r="AC885" t="s">
        <v>46</v>
      </c>
      <c r="AD885" t="s">
        <v>2556</v>
      </c>
      <c r="AE885" t="s">
        <v>2557</v>
      </c>
      <c r="AF885" t="s">
        <v>3536</v>
      </c>
      <c r="AG885" t="s">
        <v>46</v>
      </c>
      <c r="AH885" t="s">
        <v>3532</v>
      </c>
      <c r="AI885" t="s">
        <v>37</v>
      </c>
    </row>
    <row r="886" spans="1:35" x14ac:dyDescent="0.25">
      <c r="A886" t="s">
        <v>3537</v>
      </c>
      <c r="B886" t="s">
        <v>34</v>
      </c>
      <c r="C886" t="s">
        <v>3538</v>
      </c>
      <c r="D886" t="s">
        <v>3539</v>
      </c>
      <c r="E886" t="s">
        <v>3540</v>
      </c>
      <c r="F886" t="s">
        <v>3541</v>
      </c>
      <c r="G886" t="s">
        <v>39</v>
      </c>
      <c r="H886" t="s">
        <v>40</v>
      </c>
      <c r="I886" t="s">
        <v>41</v>
      </c>
      <c r="J886" t="s">
        <v>37</v>
      </c>
      <c r="K886" t="s">
        <v>37</v>
      </c>
      <c r="L886" t="s">
        <v>42</v>
      </c>
      <c r="M886" s="6">
        <v>46088.445115740738</v>
      </c>
      <c r="N886" t="s">
        <v>4265</v>
      </c>
      <c r="O886" s="1">
        <v>46088.458333333336</v>
      </c>
      <c r="P886" s="1">
        <v>46088.445115740738</v>
      </c>
      <c r="Q886" t="s">
        <v>4265</v>
      </c>
      <c r="R886" s="6">
        <v>46088.701388888891</v>
      </c>
      <c r="S886" t="s">
        <v>43</v>
      </c>
      <c r="T886">
        <v>24.99</v>
      </c>
      <c r="U886">
        <v>0</v>
      </c>
      <c r="V886">
        <v>23.8</v>
      </c>
      <c r="W886">
        <v>1.19</v>
      </c>
      <c r="X886">
        <v>0</v>
      </c>
      <c r="Y886">
        <v>0</v>
      </c>
      <c r="Z886">
        <v>24.99</v>
      </c>
      <c r="AA886" t="s">
        <v>2704</v>
      </c>
      <c r="AB886" t="s">
        <v>45</v>
      </c>
      <c r="AC886" t="s">
        <v>46</v>
      </c>
      <c r="AD886" t="s">
        <v>2556</v>
      </c>
      <c r="AE886" t="s">
        <v>2557</v>
      </c>
      <c r="AF886" t="s">
        <v>3542</v>
      </c>
      <c r="AG886" t="s">
        <v>46</v>
      </c>
      <c r="AH886" t="s">
        <v>3538</v>
      </c>
      <c r="AI886" t="s">
        <v>37</v>
      </c>
    </row>
    <row r="887" spans="1:35" x14ac:dyDescent="0.25">
      <c r="A887" t="s">
        <v>3543</v>
      </c>
      <c r="B887" t="s">
        <v>34</v>
      </c>
      <c r="C887" t="s">
        <v>3544</v>
      </c>
      <c r="D887" t="s">
        <v>3545</v>
      </c>
      <c r="E887" t="s">
        <v>3546</v>
      </c>
      <c r="F887" t="s">
        <v>3547</v>
      </c>
      <c r="G887" t="s">
        <v>39</v>
      </c>
      <c r="H887" t="s">
        <v>40</v>
      </c>
      <c r="I887" t="s">
        <v>41</v>
      </c>
      <c r="J887" t="s">
        <v>37</v>
      </c>
      <c r="K887" t="s">
        <v>37</v>
      </c>
      <c r="L887" t="s">
        <v>42</v>
      </c>
      <c r="M887" s="6">
        <v>46088.483090277776</v>
      </c>
      <c r="N887" t="s">
        <v>4265</v>
      </c>
      <c r="O887" s="1">
        <v>46088.489583333336</v>
      </c>
      <c r="P887" s="1">
        <v>46088.483090277776</v>
      </c>
      <c r="Q887" t="s">
        <v>4265</v>
      </c>
      <c r="R887" s="6">
        <v>46088.711805555555</v>
      </c>
      <c r="S887" t="s">
        <v>43</v>
      </c>
      <c r="T887">
        <v>24.99</v>
      </c>
      <c r="U887">
        <v>0</v>
      </c>
      <c r="V887">
        <v>23.8</v>
      </c>
      <c r="W887">
        <v>1.19</v>
      </c>
      <c r="X887">
        <v>0</v>
      </c>
      <c r="Y887">
        <v>0</v>
      </c>
      <c r="Z887">
        <v>24.99</v>
      </c>
      <c r="AA887" t="s">
        <v>2704</v>
      </c>
      <c r="AB887" t="s">
        <v>45</v>
      </c>
      <c r="AC887" t="s">
        <v>46</v>
      </c>
      <c r="AD887" t="s">
        <v>2556</v>
      </c>
      <c r="AE887" t="s">
        <v>2557</v>
      </c>
      <c r="AF887" t="s">
        <v>3548</v>
      </c>
      <c r="AG887" t="s">
        <v>46</v>
      </c>
      <c r="AH887" t="s">
        <v>3544</v>
      </c>
      <c r="AI887" t="s">
        <v>37</v>
      </c>
    </row>
    <row r="888" spans="1:35" x14ac:dyDescent="0.25">
      <c r="A888" t="s">
        <v>3549</v>
      </c>
      <c r="B888" t="s">
        <v>34</v>
      </c>
      <c r="C888" t="s">
        <v>3550</v>
      </c>
      <c r="D888" t="s">
        <v>3551</v>
      </c>
      <c r="E888" t="s">
        <v>3552</v>
      </c>
      <c r="F888" t="s">
        <v>3553</v>
      </c>
      <c r="G888" t="s">
        <v>39</v>
      </c>
      <c r="H888" t="s">
        <v>40</v>
      </c>
      <c r="I888" t="s">
        <v>41</v>
      </c>
      <c r="J888" t="s">
        <v>37</v>
      </c>
      <c r="K888" t="s">
        <v>37</v>
      </c>
      <c r="L888" t="s">
        <v>42</v>
      </c>
      <c r="M888" s="6">
        <v>46088.633946759262</v>
      </c>
      <c r="N888" t="s">
        <v>4265</v>
      </c>
      <c r="O888" s="1">
        <v>46095.375</v>
      </c>
      <c r="P888" s="1">
        <v>46088.634583333333</v>
      </c>
      <c r="Q888" t="s">
        <v>4265</v>
      </c>
      <c r="R888" s="6">
        <v>46095.711805555555</v>
      </c>
      <c r="S888" t="s">
        <v>43</v>
      </c>
      <c r="T888">
        <v>24.99</v>
      </c>
      <c r="U888">
        <v>0</v>
      </c>
      <c r="V888">
        <v>23.8</v>
      </c>
      <c r="W888">
        <v>1.19</v>
      </c>
      <c r="X888">
        <v>0</v>
      </c>
      <c r="Y888">
        <v>0</v>
      </c>
      <c r="Z888">
        <v>24.99</v>
      </c>
      <c r="AA888" t="s">
        <v>2704</v>
      </c>
      <c r="AB888" t="s">
        <v>45</v>
      </c>
      <c r="AC888" t="s">
        <v>46</v>
      </c>
      <c r="AD888" t="s">
        <v>2556</v>
      </c>
      <c r="AE888" t="s">
        <v>2557</v>
      </c>
      <c r="AF888" t="s">
        <v>3554</v>
      </c>
      <c r="AG888" t="s">
        <v>46</v>
      </c>
      <c r="AH888" t="s">
        <v>3550</v>
      </c>
      <c r="AI888" t="s">
        <v>37</v>
      </c>
    </row>
    <row r="889" spans="1:35" x14ac:dyDescent="0.25">
      <c r="A889" t="s">
        <v>3555</v>
      </c>
      <c r="B889" t="s">
        <v>34</v>
      </c>
      <c r="C889" t="s">
        <v>726</v>
      </c>
      <c r="D889" t="s">
        <v>727</v>
      </c>
      <c r="E889" t="s">
        <v>37</v>
      </c>
      <c r="F889" t="s">
        <v>728</v>
      </c>
      <c r="G889" t="s">
        <v>39</v>
      </c>
      <c r="H889" t="s">
        <v>40</v>
      </c>
      <c r="I889" t="s">
        <v>41</v>
      </c>
      <c r="J889" t="s">
        <v>37</v>
      </c>
      <c r="K889" t="s">
        <v>37</v>
      </c>
      <c r="L889" t="s">
        <v>42</v>
      </c>
      <c r="M889" s="6">
        <v>46088.69835648148</v>
      </c>
      <c r="N889" t="s">
        <v>4262</v>
      </c>
      <c r="O889" s="1">
        <v>46111.375</v>
      </c>
      <c r="P889" s="1">
        <v>46088.698969907404</v>
      </c>
      <c r="Q889" t="s">
        <v>4262</v>
      </c>
      <c r="R889" s="6">
        <v>46111.711805555555</v>
      </c>
      <c r="S889" t="s">
        <v>43</v>
      </c>
      <c r="T889">
        <v>24.99</v>
      </c>
      <c r="U889">
        <v>0</v>
      </c>
      <c r="V889">
        <v>23.8</v>
      </c>
      <c r="W889">
        <v>1.19</v>
      </c>
      <c r="X889">
        <v>0</v>
      </c>
      <c r="Y889">
        <v>0</v>
      </c>
      <c r="Z889">
        <v>24.99</v>
      </c>
      <c r="AA889" t="s">
        <v>2704</v>
      </c>
      <c r="AB889" t="s">
        <v>45</v>
      </c>
      <c r="AC889" t="s">
        <v>46</v>
      </c>
      <c r="AD889" t="s">
        <v>2556</v>
      </c>
      <c r="AE889" t="s">
        <v>2557</v>
      </c>
      <c r="AF889" t="s">
        <v>3556</v>
      </c>
      <c r="AG889" t="s">
        <v>46</v>
      </c>
      <c r="AH889" t="s">
        <v>726</v>
      </c>
      <c r="AI889" t="s">
        <v>37</v>
      </c>
    </row>
    <row r="890" spans="1:35" x14ac:dyDescent="0.25">
      <c r="A890" t="s">
        <v>3557</v>
      </c>
      <c r="B890" t="s">
        <v>34</v>
      </c>
      <c r="C890" t="s">
        <v>1336</v>
      </c>
      <c r="D890" t="s">
        <v>1337</v>
      </c>
      <c r="E890" t="s">
        <v>37</v>
      </c>
      <c r="F890" t="s">
        <v>3039</v>
      </c>
      <c r="G890" t="s">
        <v>39</v>
      </c>
      <c r="H890" t="s">
        <v>40</v>
      </c>
      <c r="I890" t="s">
        <v>41</v>
      </c>
      <c r="J890" t="s">
        <v>37</v>
      </c>
      <c r="K890" t="s">
        <v>37</v>
      </c>
      <c r="L890" t="s">
        <v>42</v>
      </c>
      <c r="M890" s="6">
        <v>46089.333622685182</v>
      </c>
      <c r="N890" t="s">
        <v>4266</v>
      </c>
      <c r="O890" s="1">
        <v>46089.375</v>
      </c>
      <c r="P890" s="1">
        <v>46089.333634259259</v>
      </c>
      <c r="Q890" t="s">
        <v>4266</v>
      </c>
      <c r="R890" s="6">
        <v>46089.670138888891</v>
      </c>
      <c r="S890" t="s">
        <v>43</v>
      </c>
      <c r="T890">
        <v>24.99</v>
      </c>
      <c r="U890">
        <v>0</v>
      </c>
      <c r="V890">
        <v>23.8</v>
      </c>
      <c r="W890">
        <v>1.19</v>
      </c>
      <c r="X890">
        <v>0</v>
      </c>
      <c r="Y890">
        <v>0</v>
      </c>
      <c r="Z890">
        <v>24.99</v>
      </c>
      <c r="AA890" t="s">
        <v>2704</v>
      </c>
      <c r="AB890" t="s">
        <v>45</v>
      </c>
      <c r="AC890" t="s">
        <v>46</v>
      </c>
      <c r="AD890" t="s">
        <v>2556</v>
      </c>
      <c r="AE890" t="s">
        <v>2557</v>
      </c>
      <c r="AF890" t="s">
        <v>3558</v>
      </c>
      <c r="AG890" t="s">
        <v>46</v>
      </c>
      <c r="AH890" t="s">
        <v>1336</v>
      </c>
      <c r="AI890" t="s">
        <v>37</v>
      </c>
    </row>
    <row r="891" spans="1:35" x14ac:dyDescent="0.25">
      <c r="A891" t="s">
        <v>3559</v>
      </c>
      <c r="B891" t="s">
        <v>34</v>
      </c>
      <c r="C891" t="s">
        <v>3560</v>
      </c>
      <c r="D891" t="s">
        <v>3561</v>
      </c>
      <c r="E891" t="s">
        <v>3562</v>
      </c>
      <c r="F891" t="s">
        <v>3563</v>
      </c>
      <c r="G891" t="s">
        <v>2601</v>
      </c>
      <c r="H891" t="s">
        <v>40</v>
      </c>
      <c r="I891" t="s">
        <v>41</v>
      </c>
      <c r="J891" t="s">
        <v>37</v>
      </c>
      <c r="K891" t="s">
        <v>37</v>
      </c>
      <c r="L891" t="s">
        <v>42</v>
      </c>
      <c r="M891" s="6">
        <v>46089.37903935185</v>
      </c>
      <c r="N891" t="s">
        <v>4266</v>
      </c>
      <c r="O891" s="1">
        <v>46089.385416666664</v>
      </c>
      <c r="P891" s="1">
        <v>46089.379166666666</v>
      </c>
      <c r="Q891" t="s">
        <v>4266</v>
      </c>
      <c r="R891" s="6">
        <v>46089.711805555555</v>
      </c>
      <c r="S891" t="s">
        <v>43</v>
      </c>
      <c r="T891">
        <v>24.99</v>
      </c>
      <c r="U891">
        <v>0</v>
      </c>
      <c r="V891">
        <v>23.8</v>
      </c>
      <c r="W891">
        <v>1.19</v>
      </c>
      <c r="X891">
        <v>0</v>
      </c>
      <c r="Y891">
        <v>0</v>
      </c>
      <c r="Z891">
        <v>24.99</v>
      </c>
      <c r="AA891" t="s">
        <v>2704</v>
      </c>
      <c r="AB891" t="s">
        <v>45</v>
      </c>
      <c r="AC891" t="s">
        <v>46</v>
      </c>
      <c r="AD891" t="s">
        <v>2556</v>
      </c>
      <c r="AE891" t="s">
        <v>2557</v>
      </c>
      <c r="AF891" t="s">
        <v>3564</v>
      </c>
      <c r="AG891" t="s">
        <v>46</v>
      </c>
      <c r="AH891" t="s">
        <v>3560</v>
      </c>
      <c r="AI891" t="s">
        <v>37</v>
      </c>
    </row>
    <row r="892" spans="1:35" x14ac:dyDescent="0.25">
      <c r="A892" t="s">
        <v>3565</v>
      </c>
      <c r="B892" t="s">
        <v>34</v>
      </c>
      <c r="C892" t="s">
        <v>3538</v>
      </c>
      <c r="D892" t="s">
        <v>3539</v>
      </c>
      <c r="E892" t="s">
        <v>3540</v>
      </c>
      <c r="F892" t="s">
        <v>3541</v>
      </c>
      <c r="G892" t="s">
        <v>39</v>
      </c>
      <c r="H892" t="s">
        <v>40</v>
      </c>
      <c r="I892" t="s">
        <v>41</v>
      </c>
      <c r="J892" t="s">
        <v>37</v>
      </c>
      <c r="K892" t="s">
        <v>37</v>
      </c>
      <c r="L892" t="s">
        <v>42</v>
      </c>
      <c r="M892" s="6">
        <v>46089.45349537037</v>
      </c>
      <c r="N892" t="s">
        <v>4266</v>
      </c>
      <c r="O892" s="1">
        <v>46089.458333333336</v>
      </c>
      <c r="P892" s="1">
        <v>46089.45349537037</v>
      </c>
      <c r="Q892" t="s">
        <v>4266</v>
      </c>
      <c r="R892" s="6">
        <v>46089.690972222219</v>
      </c>
      <c r="S892" t="s">
        <v>43</v>
      </c>
      <c r="T892">
        <v>24.99</v>
      </c>
      <c r="U892">
        <v>0</v>
      </c>
      <c r="V892">
        <v>23.8</v>
      </c>
      <c r="W892">
        <v>1.19</v>
      </c>
      <c r="X892">
        <v>0</v>
      </c>
      <c r="Y892">
        <v>0</v>
      </c>
      <c r="Z892">
        <v>24.99</v>
      </c>
      <c r="AA892" t="s">
        <v>2704</v>
      </c>
      <c r="AB892" t="s">
        <v>45</v>
      </c>
      <c r="AC892" t="s">
        <v>46</v>
      </c>
      <c r="AD892" t="s">
        <v>2556</v>
      </c>
      <c r="AE892" t="s">
        <v>2557</v>
      </c>
      <c r="AF892" t="s">
        <v>3566</v>
      </c>
      <c r="AG892" t="s">
        <v>46</v>
      </c>
      <c r="AH892" t="s">
        <v>3538</v>
      </c>
      <c r="AI892" t="s">
        <v>37</v>
      </c>
    </row>
    <row r="893" spans="1:35" x14ac:dyDescent="0.25">
      <c r="A893" t="s">
        <v>3567</v>
      </c>
      <c r="B893" t="s">
        <v>34</v>
      </c>
      <c r="C893" t="s">
        <v>3532</v>
      </c>
      <c r="D893" t="s">
        <v>3533</v>
      </c>
      <c r="E893" t="s">
        <v>3534</v>
      </c>
      <c r="F893" t="s">
        <v>3535</v>
      </c>
      <c r="G893" t="s">
        <v>39</v>
      </c>
      <c r="H893" t="s">
        <v>40</v>
      </c>
      <c r="I893" t="s">
        <v>41</v>
      </c>
      <c r="J893" t="s">
        <v>37</v>
      </c>
      <c r="K893" t="s">
        <v>37</v>
      </c>
      <c r="L893" t="s">
        <v>42</v>
      </c>
      <c r="M893" s="6">
        <v>46089.465752314813</v>
      </c>
      <c r="N893" t="s">
        <v>4266</v>
      </c>
      <c r="O893" s="1">
        <v>46089.479166666664</v>
      </c>
      <c r="P893" s="1">
        <v>46089.465752314813</v>
      </c>
      <c r="Q893" t="s">
        <v>4266</v>
      </c>
      <c r="R893" s="6">
        <v>46089.670138888891</v>
      </c>
      <c r="S893" t="s">
        <v>43</v>
      </c>
      <c r="T893">
        <v>24.99</v>
      </c>
      <c r="U893">
        <v>0</v>
      </c>
      <c r="V893">
        <v>23.8</v>
      </c>
      <c r="W893">
        <v>1.19</v>
      </c>
      <c r="X893">
        <v>0</v>
      </c>
      <c r="Y893">
        <v>0</v>
      </c>
      <c r="Z893">
        <v>24.99</v>
      </c>
      <c r="AA893" t="s">
        <v>2704</v>
      </c>
      <c r="AB893" t="s">
        <v>45</v>
      </c>
      <c r="AC893" t="s">
        <v>46</v>
      </c>
      <c r="AD893" t="s">
        <v>2556</v>
      </c>
      <c r="AE893" t="s">
        <v>2557</v>
      </c>
      <c r="AF893" t="s">
        <v>3568</v>
      </c>
      <c r="AG893" t="s">
        <v>46</v>
      </c>
      <c r="AH893" t="s">
        <v>3532</v>
      </c>
      <c r="AI893" t="s">
        <v>37</v>
      </c>
    </row>
    <row r="894" spans="1:35" x14ac:dyDescent="0.25">
      <c r="A894" t="s">
        <v>3569</v>
      </c>
      <c r="B894" t="s">
        <v>34</v>
      </c>
      <c r="C894" t="s">
        <v>3570</v>
      </c>
      <c r="D894" t="s">
        <v>3571</v>
      </c>
      <c r="E894" t="s">
        <v>3572</v>
      </c>
      <c r="F894" t="s">
        <v>3573</v>
      </c>
      <c r="G894" t="s">
        <v>39</v>
      </c>
      <c r="H894" t="s">
        <v>40</v>
      </c>
      <c r="I894" t="s">
        <v>41</v>
      </c>
      <c r="J894" t="s">
        <v>37</v>
      </c>
      <c r="K894" t="s">
        <v>37</v>
      </c>
      <c r="L894" t="s">
        <v>42</v>
      </c>
      <c r="M894" s="6">
        <v>46090.783935185187</v>
      </c>
      <c r="N894" t="s">
        <v>4265</v>
      </c>
      <c r="O894" s="1">
        <v>46095.395833333336</v>
      </c>
      <c r="P894" s="1">
        <v>46090.784583333334</v>
      </c>
      <c r="Q894" t="s">
        <v>4265</v>
      </c>
      <c r="R894" s="6">
        <v>46095.607638888891</v>
      </c>
      <c r="S894" t="s">
        <v>43</v>
      </c>
      <c r="T894">
        <v>24.99</v>
      </c>
      <c r="U894">
        <v>0</v>
      </c>
      <c r="V894">
        <v>23.8</v>
      </c>
      <c r="W894">
        <v>1.19</v>
      </c>
      <c r="X894">
        <v>0</v>
      </c>
      <c r="Y894">
        <v>0</v>
      </c>
      <c r="Z894">
        <v>24.99</v>
      </c>
      <c r="AA894" t="s">
        <v>2704</v>
      </c>
      <c r="AB894" t="s">
        <v>45</v>
      </c>
      <c r="AC894" t="s">
        <v>46</v>
      </c>
      <c r="AD894" t="s">
        <v>2556</v>
      </c>
      <c r="AE894" t="s">
        <v>2557</v>
      </c>
      <c r="AF894" t="s">
        <v>3574</v>
      </c>
      <c r="AG894" t="s">
        <v>46</v>
      </c>
      <c r="AH894" t="s">
        <v>3570</v>
      </c>
      <c r="AI894" t="s">
        <v>37</v>
      </c>
    </row>
    <row r="895" spans="1:35" x14ac:dyDescent="0.25">
      <c r="A895" t="s">
        <v>3575</v>
      </c>
      <c r="B895" t="s">
        <v>34</v>
      </c>
      <c r="C895" t="s">
        <v>3570</v>
      </c>
      <c r="D895" t="s">
        <v>3571</v>
      </c>
      <c r="E895" t="s">
        <v>3572</v>
      </c>
      <c r="F895" t="s">
        <v>3573</v>
      </c>
      <c r="G895" t="s">
        <v>39</v>
      </c>
      <c r="H895" t="s">
        <v>40</v>
      </c>
      <c r="I895" t="s">
        <v>41</v>
      </c>
      <c r="J895" t="s">
        <v>37</v>
      </c>
      <c r="K895" t="s">
        <v>37</v>
      </c>
      <c r="L895" t="s">
        <v>42</v>
      </c>
      <c r="M895" s="6">
        <v>46091.305150462962</v>
      </c>
      <c r="N895" t="s">
        <v>4265</v>
      </c>
      <c r="O895" s="1">
        <v>46095.364583333336</v>
      </c>
      <c r="P895" s="1">
        <v>46091.305497685185</v>
      </c>
      <c r="Q895" t="s">
        <v>4265</v>
      </c>
      <c r="R895" s="6">
        <v>46095.670138888891</v>
      </c>
      <c r="S895" t="s">
        <v>43</v>
      </c>
      <c r="T895">
        <v>24.99</v>
      </c>
      <c r="U895">
        <v>0</v>
      </c>
      <c r="V895">
        <v>23.8</v>
      </c>
      <c r="W895">
        <v>1.19</v>
      </c>
      <c r="X895">
        <v>0</v>
      </c>
      <c r="Y895">
        <v>0</v>
      </c>
      <c r="Z895">
        <v>24.99</v>
      </c>
      <c r="AA895" t="s">
        <v>2704</v>
      </c>
      <c r="AB895" t="s">
        <v>45</v>
      </c>
      <c r="AC895" t="s">
        <v>46</v>
      </c>
      <c r="AD895" t="s">
        <v>2556</v>
      </c>
      <c r="AE895" t="s">
        <v>2557</v>
      </c>
      <c r="AF895" t="s">
        <v>3576</v>
      </c>
      <c r="AG895" t="s">
        <v>46</v>
      </c>
      <c r="AH895" t="s">
        <v>3570</v>
      </c>
      <c r="AI895" t="s">
        <v>37</v>
      </c>
    </row>
    <row r="896" spans="1:35" x14ac:dyDescent="0.25">
      <c r="A896" t="s">
        <v>3577</v>
      </c>
      <c r="B896" t="s">
        <v>34</v>
      </c>
      <c r="C896" t="s">
        <v>3578</v>
      </c>
      <c r="D896" t="s">
        <v>3579</v>
      </c>
      <c r="E896" t="s">
        <v>3580</v>
      </c>
      <c r="F896" t="s">
        <v>3581</v>
      </c>
      <c r="G896" t="s">
        <v>39</v>
      </c>
      <c r="H896" t="s">
        <v>40</v>
      </c>
      <c r="I896" t="s">
        <v>41</v>
      </c>
      <c r="J896" t="s">
        <v>37</v>
      </c>
      <c r="K896" t="s">
        <v>37</v>
      </c>
      <c r="L896" t="s">
        <v>42</v>
      </c>
      <c r="M896" s="6">
        <v>46091.587638888886</v>
      </c>
      <c r="N896" t="s">
        <v>4263</v>
      </c>
      <c r="O896" s="1">
        <v>46113.375</v>
      </c>
      <c r="P896" s="1">
        <v>46091.588148148148</v>
      </c>
      <c r="Q896" t="s">
        <v>4263</v>
      </c>
      <c r="R896" s="6">
        <v>46113.722222222219</v>
      </c>
      <c r="S896" t="s">
        <v>43</v>
      </c>
      <c r="T896">
        <v>24.99</v>
      </c>
      <c r="U896">
        <v>0</v>
      </c>
      <c r="V896">
        <v>23.8</v>
      </c>
      <c r="W896">
        <v>1.19</v>
      </c>
      <c r="X896">
        <v>0</v>
      </c>
      <c r="Y896">
        <v>0</v>
      </c>
      <c r="Z896">
        <v>24.99</v>
      </c>
      <c r="AA896" t="s">
        <v>2704</v>
      </c>
      <c r="AB896" t="s">
        <v>45</v>
      </c>
      <c r="AC896" t="s">
        <v>46</v>
      </c>
      <c r="AD896" t="s">
        <v>2556</v>
      </c>
      <c r="AE896" t="s">
        <v>2557</v>
      </c>
      <c r="AF896" t="s">
        <v>3582</v>
      </c>
      <c r="AG896" t="s">
        <v>46</v>
      </c>
      <c r="AH896" t="s">
        <v>3578</v>
      </c>
      <c r="AI896" t="s">
        <v>37</v>
      </c>
    </row>
    <row r="897" spans="1:35" x14ac:dyDescent="0.25">
      <c r="A897" t="s">
        <v>3583</v>
      </c>
      <c r="B897" t="s">
        <v>34</v>
      </c>
      <c r="C897" t="s">
        <v>3578</v>
      </c>
      <c r="D897" t="s">
        <v>3579</v>
      </c>
      <c r="E897" t="s">
        <v>3580</v>
      </c>
      <c r="F897" t="s">
        <v>3581</v>
      </c>
      <c r="G897" t="s">
        <v>39</v>
      </c>
      <c r="H897" t="s">
        <v>40</v>
      </c>
      <c r="I897" t="s">
        <v>41</v>
      </c>
      <c r="J897" t="s">
        <v>37</v>
      </c>
      <c r="K897" t="s">
        <v>37</v>
      </c>
      <c r="L897" t="s">
        <v>42</v>
      </c>
      <c r="M897" s="6">
        <v>46091.589722222219</v>
      </c>
      <c r="N897" t="s">
        <v>4267</v>
      </c>
      <c r="O897" s="1">
        <v>46112.364583333336</v>
      </c>
      <c r="P897" s="1">
        <v>46091.590127314812</v>
      </c>
      <c r="Q897" t="s">
        <v>4267</v>
      </c>
      <c r="R897" s="6">
        <v>46112.722222222219</v>
      </c>
      <c r="S897" t="s">
        <v>43</v>
      </c>
      <c r="T897">
        <v>24.99</v>
      </c>
      <c r="U897">
        <v>0</v>
      </c>
      <c r="V897">
        <v>23.8</v>
      </c>
      <c r="W897">
        <v>1.19</v>
      </c>
      <c r="X897">
        <v>0</v>
      </c>
      <c r="Y897">
        <v>0</v>
      </c>
      <c r="Z897">
        <v>24.99</v>
      </c>
      <c r="AA897" t="s">
        <v>2704</v>
      </c>
      <c r="AB897" t="s">
        <v>45</v>
      </c>
      <c r="AC897" t="s">
        <v>46</v>
      </c>
      <c r="AD897" t="s">
        <v>2556</v>
      </c>
      <c r="AE897" t="s">
        <v>2557</v>
      </c>
      <c r="AF897" t="s">
        <v>3584</v>
      </c>
      <c r="AG897" t="s">
        <v>46</v>
      </c>
      <c r="AH897" t="s">
        <v>3578</v>
      </c>
      <c r="AI897" t="s">
        <v>37</v>
      </c>
    </row>
    <row r="898" spans="1:35" x14ac:dyDescent="0.25">
      <c r="A898" t="s">
        <v>3585</v>
      </c>
      <c r="B898" t="s">
        <v>34</v>
      </c>
      <c r="C898" t="s">
        <v>3586</v>
      </c>
      <c r="D898" t="s">
        <v>3587</v>
      </c>
      <c r="E898" t="s">
        <v>3588</v>
      </c>
      <c r="F898" t="s">
        <v>3589</v>
      </c>
      <c r="G898" t="s">
        <v>39</v>
      </c>
      <c r="H898" t="s">
        <v>40</v>
      </c>
      <c r="I898" t="s">
        <v>41</v>
      </c>
      <c r="J898" t="s">
        <v>37</v>
      </c>
      <c r="K898" t="s">
        <v>37</v>
      </c>
      <c r="L898" t="s">
        <v>42</v>
      </c>
      <c r="M898" s="6">
        <v>46092.569745370369</v>
      </c>
      <c r="N898" t="s">
        <v>4265</v>
      </c>
      <c r="O898" s="1">
        <v>46095.395833333336</v>
      </c>
      <c r="P898" s="1">
        <v>46092.5702662037</v>
      </c>
      <c r="Q898" t="s">
        <v>4265</v>
      </c>
      <c r="R898" s="6">
        <v>46095.711805555555</v>
      </c>
      <c r="S898" t="s">
        <v>43</v>
      </c>
      <c r="T898">
        <v>24.99</v>
      </c>
      <c r="U898">
        <v>0</v>
      </c>
      <c r="V898">
        <v>23.8</v>
      </c>
      <c r="W898">
        <v>1.19</v>
      </c>
      <c r="X898">
        <v>0</v>
      </c>
      <c r="Y898">
        <v>0</v>
      </c>
      <c r="Z898">
        <v>24.99</v>
      </c>
      <c r="AA898" t="s">
        <v>2704</v>
      </c>
      <c r="AB898" t="s">
        <v>45</v>
      </c>
      <c r="AC898" t="s">
        <v>46</v>
      </c>
      <c r="AD898" t="s">
        <v>2556</v>
      </c>
      <c r="AE898" t="s">
        <v>2557</v>
      </c>
      <c r="AF898" t="s">
        <v>3590</v>
      </c>
      <c r="AG898" t="s">
        <v>46</v>
      </c>
      <c r="AH898" t="s">
        <v>3586</v>
      </c>
      <c r="AI898" t="s">
        <v>37</v>
      </c>
    </row>
    <row r="899" spans="1:35" x14ac:dyDescent="0.25">
      <c r="A899" t="s">
        <v>3591</v>
      </c>
      <c r="B899" t="s">
        <v>34</v>
      </c>
      <c r="C899" t="s">
        <v>3212</v>
      </c>
      <c r="D899" t="s">
        <v>3213</v>
      </c>
      <c r="E899" t="s">
        <v>3214</v>
      </c>
      <c r="F899" t="s">
        <v>3215</v>
      </c>
      <c r="G899" t="s">
        <v>39</v>
      </c>
      <c r="H899" t="s">
        <v>40</v>
      </c>
      <c r="I899" t="s">
        <v>41</v>
      </c>
      <c r="J899" t="s">
        <v>37</v>
      </c>
      <c r="K899" t="s">
        <v>37</v>
      </c>
      <c r="L899" t="s">
        <v>42</v>
      </c>
      <c r="M899" s="6">
        <v>46092.843240740738</v>
      </c>
      <c r="N899" t="s">
        <v>4268</v>
      </c>
      <c r="O899" s="1">
        <v>46094.375</v>
      </c>
      <c r="P899" s="1">
        <v>46092.844710648147</v>
      </c>
      <c r="Q899" t="s">
        <v>4268</v>
      </c>
      <c r="R899" s="6">
        <v>46094.690972222219</v>
      </c>
      <c r="S899" t="s">
        <v>43</v>
      </c>
      <c r="T899">
        <v>24.99</v>
      </c>
      <c r="U899">
        <v>0</v>
      </c>
      <c r="V899">
        <v>23.8</v>
      </c>
      <c r="W899">
        <v>1.19</v>
      </c>
      <c r="X899">
        <v>0</v>
      </c>
      <c r="Y899">
        <v>0</v>
      </c>
      <c r="Z899">
        <v>24.99</v>
      </c>
      <c r="AA899" t="s">
        <v>2704</v>
      </c>
      <c r="AB899" t="s">
        <v>45</v>
      </c>
      <c r="AC899" t="s">
        <v>46</v>
      </c>
      <c r="AD899" t="s">
        <v>2556</v>
      </c>
      <c r="AE899" t="s">
        <v>2557</v>
      </c>
      <c r="AF899" t="s">
        <v>3592</v>
      </c>
      <c r="AG899" t="s">
        <v>46</v>
      </c>
      <c r="AH899" t="s">
        <v>3212</v>
      </c>
      <c r="AI899" t="s">
        <v>37</v>
      </c>
    </row>
    <row r="900" spans="1:35" x14ac:dyDescent="0.25">
      <c r="A900" t="s">
        <v>3593</v>
      </c>
      <c r="B900" t="s">
        <v>34</v>
      </c>
      <c r="C900" t="s">
        <v>3594</v>
      </c>
      <c r="D900" t="s">
        <v>3595</v>
      </c>
      <c r="E900" t="s">
        <v>3596</v>
      </c>
      <c r="F900" t="s">
        <v>3597</v>
      </c>
      <c r="G900" t="s">
        <v>39</v>
      </c>
      <c r="H900" t="s">
        <v>40</v>
      </c>
      <c r="I900" t="s">
        <v>41</v>
      </c>
      <c r="J900" t="s">
        <v>37</v>
      </c>
      <c r="K900" t="s">
        <v>37</v>
      </c>
      <c r="L900" t="s">
        <v>42</v>
      </c>
      <c r="M900" s="6">
        <v>46093.370347222219</v>
      </c>
      <c r="N900" t="s">
        <v>4265</v>
      </c>
      <c r="O900" s="1">
        <v>46095.375</v>
      </c>
      <c r="P900" s="1">
        <v>46093.370347222219</v>
      </c>
      <c r="Q900" t="s">
        <v>4265</v>
      </c>
      <c r="R900" s="6">
        <v>46095.670138888891</v>
      </c>
      <c r="S900" t="s">
        <v>43</v>
      </c>
      <c r="T900">
        <v>24.99</v>
      </c>
      <c r="U900">
        <v>0</v>
      </c>
      <c r="V900">
        <v>23.8</v>
      </c>
      <c r="W900">
        <v>1.19</v>
      </c>
      <c r="X900">
        <v>0</v>
      </c>
      <c r="Y900">
        <v>0</v>
      </c>
      <c r="Z900">
        <v>24.99</v>
      </c>
      <c r="AA900" t="s">
        <v>2704</v>
      </c>
      <c r="AB900" t="s">
        <v>45</v>
      </c>
      <c r="AC900" t="s">
        <v>46</v>
      </c>
      <c r="AD900" t="s">
        <v>2556</v>
      </c>
      <c r="AE900" t="s">
        <v>2557</v>
      </c>
      <c r="AF900" t="s">
        <v>3598</v>
      </c>
      <c r="AG900" t="s">
        <v>46</v>
      </c>
      <c r="AH900" t="s">
        <v>3594</v>
      </c>
      <c r="AI900" t="s">
        <v>37</v>
      </c>
    </row>
    <row r="901" spans="1:35" x14ac:dyDescent="0.25">
      <c r="A901" t="s">
        <v>3599</v>
      </c>
      <c r="B901" t="s">
        <v>34</v>
      </c>
      <c r="C901" t="s">
        <v>3600</v>
      </c>
      <c r="D901" t="s">
        <v>3601</v>
      </c>
      <c r="E901" t="s">
        <v>3602</v>
      </c>
      <c r="F901" t="s">
        <v>3603</v>
      </c>
      <c r="G901" t="s">
        <v>39</v>
      </c>
      <c r="H901" t="s">
        <v>40</v>
      </c>
      <c r="I901" t="s">
        <v>41</v>
      </c>
      <c r="J901" t="s">
        <v>37</v>
      </c>
      <c r="K901" t="s">
        <v>37</v>
      </c>
      <c r="L901" t="s">
        <v>42</v>
      </c>
      <c r="M901" s="6">
        <v>46093.484756944446</v>
      </c>
      <c r="N901" t="s">
        <v>4265</v>
      </c>
      <c r="O901" s="1">
        <v>46109.375</v>
      </c>
      <c r="P901" s="1">
        <v>46093.48537037037</v>
      </c>
      <c r="Q901" t="s">
        <v>4262</v>
      </c>
      <c r="R901" s="6">
        <v>46111.753472222219</v>
      </c>
      <c r="S901" t="s">
        <v>43</v>
      </c>
      <c r="T901">
        <v>74.97</v>
      </c>
      <c r="U901">
        <v>0</v>
      </c>
      <c r="V901">
        <v>71.400000000000006</v>
      </c>
      <c r="W901">
        <v>3.57</v>
      </c>
      <c r="X901">
        <v>0</v>
      </c>
      <c r="Y901">
        <v>0</v>
      </c>
      <c r="Z901">
        <v>74.97</v>
      </c>
      <c r="AA901" t="s">
        <v>2704</v>
      </c>
      <c r="AB901" t="s">
        <v>45</v>
      </c>
      <c r="AC901" t="s">
        <v>46</v>
      </c>
      <c r="AD901" t="s">
        <v>2556</v>
      </c>
      <c r="AE901" t="s">
        <v>2557</v>
      </c>
      <c r="AF901" t="s">
        <v>3604</v>
      </c>
      <c r="AG901" t="s">
        <v>46</v>
      </c>
      <c r="AH901" t="s">
        <v>3600</v>
      </c>
      <c r="AI901" t="s">
        <v>37</v>
      </c>
    </row>
    <row r="902" spans="1:35" x14ac:dyDescent="0.25">
      <c r="A902" t="s">
        <v>3605</v>
      </c>
      <c r="B902" t="s">
        <v>34</v>
      </c>
      <c r="C902" t="s">
        <v>3606</v>
      </c>
      <c r="D902" t="s">
        <v>3607</v>
      </c>
      <c r="E902" t="s">
        <v>3608</v>
      </c>
      <c r="F902" t="s">
        <v>3609</v>
      </c>
      <c r="G902" t="s">
        <v>2601</v>
      </c>
      <c r="H902" t="s">
        <v>40</v>
      </c>
      <c r="I902" t="s">
        <v>41</v>
      </c>
      <c r="J902" t="s">
        <v>37</v>
      </c>
      <c r="K902" t="s">
        <v>37</v>
      </c>
      <c r="L902" t="s">
        <v>42</v>
      </c>
      <c r="M902" s="6">
        <v>46094.381192129629</v>
      </c>
      <c r="N902" t="s">
        <v>4268</v>
      </c>
      <c r="O902" s="1">
        <v>46094.416666666664</v>
      </c>
      <c r="P902" s="1">
        <v>46094.381192129629</v>
      </c>
      <c r="Q902" t="s">
        <v>4268</v>
      </c>
      <c r="R902" s="6">
        <v>46094.711805555555</v>
      </c>
      <c r="S902" t="s">
        <v>43</v>
      </c>
      <c r="T902">
        <v>24.99</v>
      </c>
      <c r="U902">
        <v>0</v>
      </c>
      <c r="V902">
        <v>23.8</v>
      </c>
      <c r="W902">
        <v>1.19</v>
      </c>
      <c r="X902">
        <v>0</v>
      </c>
      <c r="Y902">
        <v>0</v>
      </c>
      <c r="Z902">
        <v>24.99</v>
      </c>
      <c r="AA902" t="s">
        <v>2704</v>
      </c>
      <c r="AB902" t="s">
        <v>45</v>
      </c>
      <c r="AC902" t="s">
        <v>46</v>
      </c>
      <c r="AD902" t="s">
        <v>2556</v>
      </c>
      <c r="AE902" t="s">
        <v>2557</v>
      </c>
      <c r="AF902" t="s">
        <v>3610</v>
      </c>
      <c r="AG902" t="s">
        <v>46</v>
      </c>
      <c r="AH902" t="s">
        <v>3606</v>
      </c>
      <c r="AI902" t="s">
        <v>37</v>
      </c>
    </row>
    <row r="903" spans="1:35" x14ac:dyDescent="0.25">
      <c r="A903" t="s">
        <v>3611</v>
      </c>
      <c r="B903" t="s">
        <v>34</v>
      </c>
      <c r="C903" t="s">
        <v>3612</v>
      </c>
      <c r="D903" t="s">
        <v>3613</v>
      </c>
      <c r="E903" t="s">
        <v>3614</v>
      </c>
      <c r="F903" t="s">
        <v>3615</v>
      </c>
      <c r="G903" t="s">
        <v>2601</v>
      </c>
      <c r="H903" t="s">
        <v>40</v>
      </c>
      <c r="I903" t="s">
        <v>41</v>
      </c>
      <c r="J903" t="s">
        <v>37</v>
      </c>
      <c r="K903" t="s">
        <v>37</v>
      </c>
      <c r="L903" t="s">
        <v>42</v>
      </c>
      <c r="M903" s="6">
        <v>46094.455717592595</v>
      </c>
      <c r="N903" t="s">
        <v>4268</v>
      </c>
      <c r="O903" s="1">
        <v>46094.53125</v>
      </c>
      <c r="P903" s="1">
        <v>46094.455717592595</v>
      </c>
      <c r="Q903" t="s">
        <v>4268</v>
      </c>
      <c r="R903" s="6">
        <v>46094.711805555555</v>
      </c>
      <c r="S903" t="s">
        <v>43</v>
      </c>
      <c r="T903">
        <v>24.99</v>
      </c>
      <c r="U903">
        <v>0</v>
      </c>
      <c r="V903">
        <v>23.8</v>
      </c>
      <c r="W903">
        <v>1.19</v>
      </c>
      <c r="X903">
        <v>0</v>
      </c>
      <c r="Y903">
        <v>0</v>
      </c>
      <c r="Z903">
        <v>24.99</v>
      </c>
      <c r="AA903" t="s">
        <v>2704</v>
      </c>
      <c r="AB903" t="s">
        <v>45</v>
      </c>
      <c r="AC903" t="s">
        <v>46</v>
      </c>
      <c r="AD903" t="s">
        <v>2556</v>
      </c>
      <c r="AE903" t="s">
        <v>2557</v>
      </c>
      <c r="AF903" t="s">
        <v>3616</v>
      </c>
      <c r="AG903" t="s">
        <v>46</v>
      </c>
      <c r="AH903" t="s">
        <v>3612</v>
      </c>
      <c r="AI903" t="s">
        <v>37</v>
      </c>
    </row>
    <row r="904" spans="1:35" x14ac:dyDescent="0.25">
      <c r="A904" t="s">
        <v>3617</v>
      </c>
      <c r="B904" t="s">
        <v>34</v>
      </c>
      <c r="C904" t="s">
        <v>3618</v>
      </c>
      <c r="D904" t="s">
        <v>3619</v>
      </c>
      <c r="E904" t="s">
        <v>3620</v>
      </c>
      <c r="F904" t="s">
        <v>3621</v>
      </c>
      <c r="G904" t="s">
        <v>39</v>
      </c>
      <c r="H904" t="s">
        <v>40</v>
      </c>
      <c r="I904" t="s">
        <v>41</v>
      </c>
      <c r="J904" t="s">
        <v>37</v>
      </c>
      <c r="K904" t="s">
        <v>37</v>
      </c>
      <c r="L904" t="s">
        <v>42</v>
      </c>
      <c r="M904" s="6">
        <v>46094.499074074076</v>
      </c>
      <c r="N904" t="s">
        <v>4265</v>
      </c>
      <c r="O904" s="1">
        <v>46095.333333333336</v>
      </c>
      <c r="P904" s="1">
        <v>46094.499340277776</v>
      </c>
      <c r="Q904" t="s">
        <v>4265</v>
      </c>
      <c r="R904" s="6">
        <v>46095.711805555555</v>
      </c>
      <c r="S904" t="s">
        <v>43</v>
      </c>
      <c r="T904">
        <v>24.99</v>
      </c>
      <c r="U904">
        <v>0</v>
      </c>
      <c r="V904">
        <v>23.8</v>
      </c>
      <c r="W904">
        <v>1.19</v>
      </c>
      <c r="X904">
        <v>0</v>
      </c>
      <c r="Y904">
        <v>0</v>
      </c>
      <c r="Z904">
        <v>24.99</v>
      </c>
      <c r="AA904" t="s">
        <v>2704</v>
      </c>
      <c r="AB904" t="s">
        <v>45</v>
      </c>
      <c r="AC904" t="s">
        <v>46</v>
      </c>
      <c r="AD904" t="s">
        <v>2556</v>
      </c>
      <c r="AE904" t="s">
        <v>2557</v>
      </c>
      <c r="AF904" t="s">
        <v>3622</v>
      </c>
      <c r="AG904" t="s">
        <v>46</v>
      </c>
      <c r="AH904" t="s">
        <v>3618</v>
      </c>
      <c r="AI904" t="s">
        <v>37</v>
      </c>
    </row>
    <row r="905" spans="1:35" x14ac:dyDescent="0.25">
      <c r="A905" t="s">
        <v>3623</v>
      </c>
      <c r="B905" t="s">
        <v>34</v>
      </c>
      <c r="C905" t="s">
        <v>3624</v>
      </c>
      <c r="D905" t="s">
        <v>3625</v>
      </c>
      <c r="E905" t="s">
        <v>3626</v>
      </c>
      <c r="F905" t="s">
        <v>2470</v>
      </c>
      <c r="G905" t="s">
        <v>39</v>
      </c>
      <c r="H905" t="s">
        <v>40</v>
      </c>
      <c r="I905" t="s">
        <v>41</v>
      </c>
      <c r="J905" t="s">
        <v>37</v>
      </c>
      <c r="K905" t="s">
        <v>37</v>
      </c>
      <c r="L905" t="s">
        <v>42</v>
      </c>
      <c r="M905" s="6">
        <v>46094.859918981485</v>
      </c>
      <c r="N905" t="s">
        <v>4265</v>
      </c>
      <c r="O905" s="1">
        <v>46095.385416666664</v>
      </c>
      <c r="P905" s="1">
        <v>46094.860960648148</v>
      </c>
      <c r="Q905" t="s">
        <v>4265</v>
      </c>
      <c r="R905" s="6">
        <v>46095.670138888891</v>
      </c>
      <c r="S905" t="s">
        <v>43</v>
      </c>
      <c r="T905">
        <v>24.99</v>
      </c>
      <c r="U905">
        <v>0</v>
      </c>
      <c r="V905">
        <v>23.8</v>
      </c>
      <c r="W905">
        <v>1.19</v>
      </c>
      <c r="X905">
        <v>0</v>
      </c>
      <c r="Y905">
        <v>0</v>
      </c>
      <c r="Z905">
        <v>24.99</v>
      </c>
      <c r="AA905" t="s">
        <v>2704</v>
      </c>
      <c r="AB905" t="s">
        <v>45</v>
      </c>
      <c r="AC905" t="s">
        <v>46</v>
      </c>
      <c r="AD905" t="s">
        <v>2556</v>
      </c>
      <c r="AE905" t="s">
        <v>2557</v>
      </c>
      <c r="AF905" t="s">
        <v>3627</v>
      </c>
      <c r="AG905" t="s">
        <v>46</v>
      </c>
      <c r="AH905" t="s">
        <v>3624</v>
      </c>
      <c r="AI905" t="s">
        <v>37</v>
      </c>
    </row>
    <row r="906" spans="1:35" x14ac:dyDescent="0.25">
      <c r="A906" t="s">
        <v>3628</v>
      </c>
      <c r="B906" t="s">
        <v>34</v>
      </c>
      <c r="C906" t="s">
        <v>3145</v>
      </c>
      <c r="D906" t="s">
        <v>3146</v>
      </c>
      <c r="E906" t="s">
        <v>3147</v>
      </c>
      <c r="F906" t="s">
        <v>3122</v>
      </c>
      <c r="G906" t="s">
        <v>39</v>
      </c>
      <c r="H906" t="s">
        <v>40</v>
      </c>
      <c r="I906" t="s">
        <v>41</v>
      </c>
      <c r="J906" t="s">
        <v>37</v>
      </c>
      <c r="K906" t="s">
        <v>37</v>
      </c>
      <c r="L906" t="s">
        <v>42</v>
      </c>
      <c r="M906" s="6">
        <v>46095.08216435185</v>
      </c>
      <c r="N906" t="s">
        <v>4265</v>
      </c>
      <c r="O906" s="1">
        <v>46095.364583333336</v>
      </c>
      <c r="P906" s="1">
        <v>46095.08216435185</v>
      </c>
      <c r="Q906" t="s">
        <v>4265</v>
      </c>
      <c r="R906" s="6">
        <v>46095.711805555555</v>
      </c>
      <c r="S906" t="s">
        <v>43</v>
      </c>
      <c r="T906">
        <v>24.99</v>
      </c>
      <c r="U906">
        <v>0</v>
      </c>
      <c r="V906">
        <v>23.8</v>
      </c>
      <c r="W906">
        <v>1.19</v>
      </c>
      <c r="X906">
        <v>0</v>
      </c>
      <c r="Y906">
        <v>0</v>
      </c>
      <c r="Z906">
        <v>24.99</v>
      </c>
      <c r="AA906" t="s">
        <v>2704</v>
      </c>
      <c r="AB906" t="s">
        <v>45</v>
      </c>
      <c r="AC906" t="s">
        <v>46</v>
      </c>
      <c r="AD906" t="s">
        <v>2556</v>
      </c>
      <c r="AE906" t="s">
        <v>2557</v>
      </c>
      <c r="AF906" t="s">
        <v>3629</v>
      </c>
      <c r="AG906" t="s">
        <v>46</v>
      </c>
      <c r="AH906" t="s">
        <v>3145</v>
      </c>
      <c r="AI906" t="s">
        <v>37</v>
      </c>
    </row>
    <row r="907" spans="1:35" x14ac:dyDescent="0.25">
      <c r="A907" t="s">
        <v>3630</v>
      </c>
      <c r="B907" t="s">
        <v>34</v>
      </c>
      <c r="C907" t="s">
        <v>3631</v>
      </c>
      <c r="D907" t="s">
        <v>3632</v>
      </c>
      <c r="E907" t="s">
        <v>3633</v>
      </c>
      <c r="F907" t="s">
        <v>3634</v>
      </c>
      <c r="G907" t="s">
        <v>39</v>
      </c>
      <c r="H907" t="s">
        <v>40</v>
      </c>
      <c r="I907" t="s">
        <v>41</v>
      </c>
      <c r="J907" t="s">
        <v>37</v>
      </c>
      <c r="K907" t="s">
        <v>37</v>
      </c>
      <c r="L907" t="s">
        <v>42</v>
      </c>
      <c r="M907" s="6">
        <v>46095.236944444441</v>
      </c>
      <c r="N907" t="s">
        <v>4265</v>
      </c>
      <c r="O907" s="1">
        <v>46095.354166666664</v>
      </c>
      <c r="P907" s="1">
        <v>46095.236944444441</v>
      </c>
      <c r="Q907" t="s">
        <v>4265</v>
      </c>
      <c r="R907" s="6">
        <v>46095.690972222219</v>
      </c>
      <c r="S907" t="s">
        <v>43</v>
      </c>
      <c r="T907">
        <v>24.99</v>
      </c>
      <c r="U907">
        <v>0</v>
      </c>
      <c r="V907">
        <v>23.8</v>
      </c>
      <c r="W907">
        <v>1.19</v>
      </c>
      <c r="X907">
        <v>0</v>
      </c>
      <c r="Y907">
        <v>0</v>
      </c>
      <c r="Z907">
        <v>24.99</v>
      </c>
      <c r="AA907" t="s">
        <v>2704</v>
      </c>
      <c r="AB907" t="s">
        <v>45</v>
      </c>
      <c r="AC907" t="s">
        <v>46</v>
      </c>
      <c r="AD907" t="s">
        <v>2556</v>
      </c>
      <c r="AE907" t="s">
        <v>2557</v>
      </c>
      <c r="AF907" t="s">
        <v>3635</v>
      </c>
      <c r="AG907" t="s">
        <v>46</v>
      </c>
      <c r="AH907" t="s">
        <v>3631</v>
      </c>
      <c r="AI907" t="s">
        <v>37</v>
      </c>
    </row>
    <row r="908" spans="1:35" x14ac:dyDescent="0.25">
      <c r="A908" t="s">
        <v>3636</v>
      </c>
      <c r="B908" t="s">
        <v>34</v>
      </c>
      <c r="C908" t="s">
        <v>3637</v>
      </c>
      <c r="D908" t="s">
        <v>3638</v>
      </c>
      <c r="E908" t="s">
        <v>3639</v>
      </c>
      <c r="F908" t="s">
        <v>3640</v>
      </c>
      <c r="G908" t="s">
        <v>39</v>
      </c>
      <c r="H908" t="s">
        <v>40</v>
      </c>
      <c r="I908" t="s">
        <v>41</v>
      </c>
      <c r="J908" t="s">
        <v>37</v>
      </c>
      <c r="K908" t="s">
        <v>37</v>
      </c>
      <c r="L908" t="s">
        <v>42</v>
      </c>
      <c r="M908" s="6">
        <v>46095.321400462963</v>
      </c>
      <c r="N908" t="s">
        <v>4265</v>
      </c>
      <c r="O908" s="1">
        <v>46095.40625</v>
      </c>
      <c r="P908" s="1">
        <v>46095.32203703704</v>
      </c>
      <c r="Q908" t="s">
        <v>4265</v>
      </c>
      <c r="R908" s="6">
        <v>46095.711805555555</v>
      </c>
      <c r="S908" t="s">
        <v>43</v>
      </c>
      <c r="T908">
        <v>24.99</v>
      </c>
      <c r="U908">
        <v>0</v>
      </c>
      <c r="V908">
        <v>23.8</v>
      </c>
      <c r="W908">
        <v>1.19</v>
      </c>
      <c r="X908">
        <v>0</v>
      </c>
      <c r="Y908">
        <v>0</v>
      </c>
      <c r="Z908">
        <v>24.99</v>
      </c>
      <c r="AA908" t="s">
        <v>2704</v>
      </c>
      <c r="AB908" t="s">
        <v>45</v>
      </c>
      <c r="AC908" t="s">
        <v>46</v>
      </c>
      <c r="AD908" t="s">
        <v>2556</v>
      </c>
      <c r="AE908" t="s">
        <v>2557</v>
      </c>
      <c r="AF908" t="s">
        <v>3641</v>
      </c>
      <c r="AG908" t="s">
        <v>46</v>
      </c>
      <c r="AH908" t="s">
        <v>3637</v>
      </c>
      <c r="AI908" t="s">
        <v>37</v>
      </c>
    </row>
    <row r="909" spans="1:35" x14ac:dyDescent="0.25">
      <c r="A909" t="s">
        <v>3642</v>
      </c>
      <c r="B909" t="s">
        <v>34</v>
      </c>
      <c r="C909" t="s">
        <v>3643</v>
      </c>
      <c r="D909" t="s">
        <v>3644</v>
      </c>
      <c r="E909" t="s">
        <v>3645</v>
      </c>
      <c r="F909" t="s">
        <v>3646</v>
      </c>
      <c r="G909" t="s">
        <v>39</v>
      </c>
      <c r="H909" t="s">
        <v>40</v>
      </c>
      <c r="I909" t="s">
        <v>41</v>
      </c>
      <c r="J909" t="s">
        <v>37</v>
      </c>
      <c r="K909" t="s">
        <v>37</v>
      </c>
      <c r="L909" t="s">
        <v>42</v>
      </c>
      <c r="M909" s="6">
        <v>46095.377557870372</v>
      </c>
      <c r="N909" t="s">
        <v>4265</v>
      </c>
      <c r="O909" s="1">
        <v>46095.416666666664</v>
      </c>
      <c r="P909" s="1">
        <v>46095.378819444442</v>
      </c>
      <c r="Q909" t="s">
        <v>4265</v>
      </c>
      <c r="R909" s="6">
        <v>46095.670138888891</v>
      </c>
      <c r="S909" t="s">
        <v>43</v>
      </c>
      <c r="T909">
        <v>24.99</v>
      </c>
      <c r="U909">
        <v>0</v>
      </c>
      <c r="V909">
        <v>23.8</v>
      </c>
      <c r="W909">
        <v>1.19</v>
      </c>
      <c r="X909">
        <v>0</v>
      </c>
      <c r="Y909">
        <v>0</v>
      </c>
      <c r="Z909">
        <v>24.99</v>
      </c>
      <c r="AA909" t="s">
        <v>2704</v>
      </c>
      <c r="AB909" t="s">
        <v>45</v>
      </c>
      <c r="AC909" t="s">
        <v>46</v>
      </c>
      <c r="AD909" t="s">
        <v>2556</v>
      </c>
      <c r="AE909" t="s">
        <v>2557</v>
      </c>
      <c r="AF909" t="s">
        <v>3647</v>
      </c>
      <c r="AG909" t="s">
        <v>46</v>
      </c>
      <c r="AH909" t="s">
        <v>3643</v>
      </c>
      <c r="AI909" t="s">
        <v>37</v>
      </c>
    </row>
    <row r="910" spans="1:35" x14ac:dyDescent="0.25">
      <c r="A910" t="s">
        <v>3648</v>
      </c>
      <c r="B910" t="s">
        <v>34</v>
      </c>
      <c r="C910" t="s">
        <v>3643</v>
      </c>
      <c r="D910" t="s">
        <v>3644</v>
      </c>
      <c r="E910" t="s">
        <v>3645</v>
      </c>
      <c r="F910" t="s">
        <v>3646</v>
      </c>
      <c r="G910" t="s">
        <v>39</v>
      </c>
      <c r="H910" t="s">
        <v>40</v>
      </c>
      <c r="I910" t="s">
        <v>41</v>
      </c>
      <c r="J910" t="s">
        <v>37</v>
      </c>
      <c r="K910" t="s">
        <v>37</v>
      </c>
      <c r="L910" t="s">
        <v>42</v>
      </c>
      <c r="M910" s="6">
        <v>46095.381724537037</v>
      </c>
      <c r="N910" t="s">
        <v>4265</v>
      </c>
      <c r="O910" s="1">
        <v>46095.416666666664</v>
      </c>
      <c r="P910" s="1">
        <v>46095.381724537037</v>
      </c>
      <c r="Q910" t="s">
        <v>4265</v>
      </c>
      <c r="R910" s="6">
        <v>46095.670138888891</v>
      </c>
      <c r="S910" t="s">
        <v>43</v>
      </c>
      <c r="T910">
        <v>24.99</v>
      </c>
      <c r="U910">
        <v>0</v>
      </c>
      <c r="V910">
        <v>23.8</v>
      </c>
      <c r="W910">
        <v>1.19</v>
      </c>
      <c r="X910">
        <v>0</v>
      </c>
      <c r="Y910">
        <v>0</v>
      </c>
      <c r="Z910">
        <v>24.99</v>
      </c>
      <c r="AA910" t="s">
        <v>2704</v>
      </c>
      <c r="AB910" t="s">
        <v>45</v>
      </c>
      <c r="AC910" t="s">
        <v>46</v>
      </c>
      <c r="AD910" t="s">
        <v>2556</v>
      </c>
      <c r="AE910" t="s">
        <v>2557</v>
      </c>
      <c r="AF910" t="s">
        <v>3649</v>
      </c>
      <c r="AG910" t="s">
        <v>46</v>
      </c>
      <c r="AH910" t="s">
        <v>3643</v>
      </c>
      <c r="AI910" t="s">
        <v>37</v>
      </c>
    </row>
    <row r="911" spans="1:35" x14ac:dyDescent="0.25">
      <c r="A911" t="s">
        <v>3650</v>
      </c>
      <c r="B911" t="s">
        <v>34</v>
      </c>
      <c r="C911" t="s">
        <v>3651</v>
      </c>
      <c r="D911" t="s">
        <v>3652</v>
      </c>
      <c r="E911" t="s">
        <v>3653</v>
      </c>
      <c r="F911" t="s">
        <v>3654</v>
      </c>
      <c r="G911" t="s">
        <v>39</v>
      </c>
      <c r="H911" t="s">
        <v>40</v>
      </c>
      <c r="I911" t="s">
        <v>41</v>
      </c>
      <c r="J911" t="s">
        <v>37</v>
      </c>
      <c r="K911" t="s">
        <v>37</v>
      </c>
      <c r="L911" t="s">
        <v>42</v>
      </c>
      <c r="M911" s="6">
        <v>46095.451122685183</v>
      </c>
      <c r="N911" t="s">
        <v>4265</v>
      </c>
      <c r="O911" s="1">
        <v>46095.458333333336</v>
      </c>
      <c r="P911" s="1">
        <v>46095.451122685183</v>
      </c>
      <c r="Q911" t="s">
        <v>4265</v>
      </c>
      <c r="R911" s="6">
        <v>46095.690972222219</v>
      </c>
      <c r="S911" t="s">
        <v>43</v>
      </c>
      <c r="T911">
        <v>24.99</v>
      </c>
      <c r="U911">
        <v>0</v>
      </c>
      <c r="V911">
        <v>23.8</v>
      </c>
      <c r="W911">
        <v>1.19</v>
      </c>
      <c r="X911">
        <v>0</v>
      </c>
      <c r="Y911">
        <v>0</v>
      </c>
      <c r="Z911">
        <v>24.99</v>
      </c>
      <c r="AA911" t="s">
        <v>2704</v>
      </c>
      <c r="AB911" t="s">
        <v>45</v>
      </c>
      <c r="AC911" t="s">
        <v>46</v>
      </c>
      <c r="AD911" t="s">
        <v>2556</v>
      </c>
      <c r="AE911" t="s">
        <v>2557</v>
      </c>
      <c r="AF911" t="s">
        <v>3655</v>
      </c>
      <c r="AG911" t="s">
        <v>46</v>
      </c>
      <c r="AH911" t="s">
        <v>3651</v>
      </c>
      <c r="AI911" t="s">
        <v>37</v>
      </c>
    </row>
    <row r="912" spans="1:35" x14ac:dyDescent="0.25">
      <c r="A912" t="s">
        <v>3656</v>
      </c>
      <c r="B912" t="s">
        <v>34</v>
      </c>
      <c r="C912" t="s">
        <v>3657</v>
      </c>
      <c r="D912" t="s">
        <v>3658</v>
      </c>
      <c r="E912" t="s">
        <v>3659</v>
      </c>
      <c r="F912" t="s">
        <v>3660</v>
      </c>
      <c r="G912" t="s">
        <v>39</v>
      </c>
      <c r="H912" t="s">
        <v>40</v>
      </c>
      <c r="I912" t="s">
        <v>41</v>
      </c>
      <c r="J912" t="s">
        <v>37</v>
      </c>
      <c r="K912" t="s">
        <v>37</v>
      </c>
      <c r="L912" t="s">
        <v>42</v>
      </c>
      <c r="M912" s="6">
        <v>46095.474074074074</v>
      </c>
      <c r="N912" t="s">
        <v>4265</v>
      </c>
      <c r="O912" s="1">
        <v>46095.479166666664</v>
      </c>
      <c r="P912" s="1">
        <v>46095.474409722221</v>
      </c>
      <c r="Q912" t="s">
        <v>4265</v>
      </c>
      <c r="R912" s="6">
        <v>46095.670138888891</v>
      </c>
      <c r="S912" t="s">
        <v>43</v>
      </c>
      <c r="T912">
        <v>24.99</v>
      </c>
      <c r="U912">
        <v>0</v>
      </c>
      <c r="V912">
        <v>23.8</v>
      </c>
      <c r="W912">
        <v>1.19</v>
      </c>
      <c r="X912">
        <v>0</v>
      </c>
      <c r="Y912">
        <v>0</v>
      </c>
      <c r="Z912">
        <v>24.99</v>
      </c>
      <c r="AA912" t="s">
        <v>2704</v>
      </c>
      <c r="AB912" t="s">
        <v>45</v>
      </c>
      <c r="AC912" t="s">
        <v>46</v>
      </c>
      <c r="AD912" t="s">
        <v>2556</v>
      </c>
      <c r="AE912" t="s">
        <v>2557</v>
      </c>
      <c r="AF912" t="s">
        <v>3661</v>
      </c>
      <c r="AG912" t="s">
        <v>46</v>
      </c>
      <c r="AH912" t="s">
        <v>3657</v>
      </c>
      <c r="AI912" t="s">
        <v>37</v>
      </c>
    </row>
    <row r="913" spans="1:35" x14ac:dyDescent="0.25">
      <c r="A913" t="s">
        <v>3662</v>
      </c>
      <c r="B913" t="s">
        <v>34</v>
      </c>
      <c r="C913" t="s">
        <v>3663</v>
      </c>
      <c r="D913" t="s">
        <v>3664</v>
      </c>
      <c r="E913" t="s">
        <v>3665</v>
      </c>
      <c r="F913" t="s">
        <v>3666</v>
      </c>
      <c r="G913" t="s">
        <v>39</v>
      </c>
      <c r="H913" t="s">
        <v>40</v>
      </c>
      <c r="I913" t="s">
        <v>41</v>
      </c>
      <c r="J913" t="s">
        <v>37</v>
      </c>
      <c r="K913" t="s">
        <v>37</v>
      </c>
      <c r="L913" t="s">
        <v>42</v>
      </c>
      <c r="M913" s="6">
        <v>46095.516516203701</v>
      </c>
      <c r="N913" t="s">
        <v>4265</v>
      </c>
      <c r="O913" s="1">
        <v>46095.520833333336</v>
      </c>
      <c r="P913" s="1">
        <v>46095.517071759263</v>
      </c>
      <c r="Q913" t="s">
        <v>4265</v>
      </c>
      <c r="R913" s="6">
        <v>46095.690972222219</v>
      </c>
      <c r="S913" t="s">
        <v>43</v>
      </c>
      <c r="T913">
        <v>24.99</v>
      </c>
      <c r="U913">
        <v>0</v>
      </c>
      <c r="V913">
        <v>23.8</v>
      </c>
      <c r="W913">
        <v>1.19</v>
      </c>
      <c r="X913">
        <v>0</v>
      </c>
      <c r="Y913">
        <v>0</v>
      </c>
      <c r="Z913">
        <v>24.99</v>
      </c>
      <c r="AA913" t="s">
        <v>2704</v>
      </c>
      <c r="AB913" t="s">
        <v>45</v>
      </c>
      <c r="AC913" t="s">
        <v>46</v>
      </c>
      <c r="AD913" t="s">
        <v>2556</v>
      </c>
      <c r="AE913" t="s">
        <v>2557</v>
      </c>
      <c r="AF913" t="s">
        <v>3667</v>
      </c>
      <c r="AG913" t="s">
        <v>46</v>
      </c>
      <c r="AH913" t="s">
        <v>3663</v>
      </c>
      <c r="AI913" t="s">
        <v>37</v>
      </c>
    </row>
    <row r="914" spans="1:35" x14ac:dyDescent="0.25">
      <c r="A914" t="s">
        <v>3668</v>
      </c>
      <c r="B914" t="s">
        <v>34</v>
      </c>
      <c r="C914" t="s">
        <v>3657</v>
      </c>
      <c r="D914" t="s">
        <v>3658</v>
      </c>
      <c r="E914" t="s">
        <v>3659</v>
      </c>
      <c r="F914" t="s">
        <v>3660</v>
      </c>
      <c r="G914" t="s">
        <v>39</v>
      </c>
      <c r="H914" t="s">
        <v>40</v>
      </c>
      <c r="I914" t="s">
        <v>41</v>
      </c>
      <c r="J914" t="s">
        <v>37</v>
      </c>
      <c r="K914" t="s">
        <v>37</v>
      </c>
      <c r="L914" t="s">
        <v>42</v>
      </c>
      <c r="M914" s="6">
        <v>46096.51835648148</v>
      </c>
      <c r="N914" t="s">
        <v>4266</v>
      </c>
      <c r="O914" s="1">
        <v>46096.520833333336</v>
      </c>
      <c r="P914" s="1">
        <v>46096.518703703703</v>
      </c>
      <c r="Q914" t="s">
        <v>4266</v>
      </c>
      <c r="R914" s="6">
        <v>46096.670138888891</v>
      </c>
      <c r="S914" t="s">
        <v>43</v>
      </c>
      <c r="T914">
        <v>24.99</v>
      </c>
      <c r="U914">
        <v>0</v>
      </c>
      <c r="V914">
        <v>23.8</v>
      </c>
      <c r="W914">
        <v>1.19</v>
      </c>
      <c r="X914">
        <v>0</v>
      </c>
      <c r="Y914">
        <v>0</v>
      </c>
      <c r="Z914">
        <v>24.99</v>
      </c>
      <c r="AA914" t="s">
        <v>2704</v>
      </c>
      <c r="AB914" t="s">
        <v>45</v>
      </c>
      <c r="AC914" t="s">
        <v>46</v>
      </c>
      <c r="AD914" t="s">
        <v>2556</v>
      </c>
      <c r="AE914" t="s">
        <v>2557</v>
      </c>
      <c r="AF914" t="s">
        <v>3669</v>
      </c>
      <c r="AG914" t="s">
        <v>46</v>
      </c>
      <c r="AH914" t="s">
        <v>3657</v>
      </c>
      <c r="AI914" t="s">
        <v>37</v>
      </c>
    </row>
    <row r="915" spans="1:35" x14ac:dyDescent="0.25">
      <c r="A915" t="s">
        <v>3670</v>
      </c>
      <c r="B915" t="s">
        <v>34</v>
      </c>
      <c r="C915" t="s">
        <v>1525</v>
      </c>
      <c r="D915" t="s">
        <v>1526</v>
      </c>
      <c r="E915" t="s">
        <v>37</v>
      </c>
      <c r="F915" t="s">
        <v>1527</v>
      </c>
      <c r="G915" t="s">
        <v>39</v>
      </c>
      <c r="H915" t="s">
        <v>40</v>
      </c>
      <c r="I915" t="s">
        <v>41</v>
      </c>
      <c r="J915" t="s">
        <v>37</v>
      </c>
      <c r="K915" t="s">
        <v>37</v>
      </c>
      <c r="L915" t="s">
        <v>42</v>
      </c>
      <c r="M915" s="6">
        <v>46098.80976851852</v>
      </c>
      <c r="N915" t="s">
        <v>4268</v>
      </c>
      <c r="O915" s="1">
        <v>46101.416666666664</v>
      </c>
      <c r="P915" s="1">
        <v>46098.809930555559</v>
      </c>
      <c r="Q915" t="s">
        <v>4268</v>
      </c>
      <c r="R915" s="6">
        <v>46101.711805555555</v>
      </c>
      <c r="S915" t="s">
        <v>43</v>
      </c>
      <c r="T915">
        <v>24.99</v>
      </c>
      <c r="U915">
        <v>0</v>
      </c>
      <c r="V915">
        <v>23.8</v>
      </c>
      <c r="W915">
        <v>1.19</v>
      </c>
      <c r="X915">
        <v>0</v>
      </c>
      <c r="Y915">
        <v>0</v>
      </c>
      <c r="Z915">
        <v>24.99</v>
      </c>
      <c r="AA915" t="s">
        <v>2704</v>
      </c>
      <c r="AB915" t="s">
        <v>45</v>
      </c>
      <c r="AC915" t="s">
        <v>46</v>
      </c>
      <c r="AD915" t="s">
        <v>2556</v>
      </c>
      <c r="AE915" t="s">
        <v>2557</v>
      </c>
      <c r="AF915" t="s">
        <v>3671</v>
      </c>
      <c r="AG915" t="s">
        <v>46</v>
      </c>
      <c r="AH915" t="s">
        <v>1525</v>
      </c>
      <c r="AI915" t="s">
        <v>37</v>
      </c>
    </row>
    <row r="916" spans="1:35" x14ac:dyDescent="0.25">
      <c r="A916" t="s">
        <v>3672</v>
      </c>
      <c r="B916" t="s">
        <v>34</v>
      </c>
      <c r="C916" t="s">
        <v>1525</v>
      </c>
      <c r="D916" t="s">
        <v>1526</v>
      </c>
      <c r="E916" t="s">
        <v>37</v>
      </c>
      <c r="F916" t="s">
        <v>1527</v>
      </c>
      <c r="G916" t="s">
        <v>39</v>
      </c>
      <c r="H916" t="s">
        <v>40</v>
      </c>
      <c r="I916" t="s">
        <v>41</v>
      </c>
      <c r="J916" t="s">
        <v>37</v>
      </c>
      <c r="K916" t="s">
        <v>37</v>
      </c>
      <c r="L916" t="s">
        <v>42</v>
      </c>
      <c r="M916" s="6">
        <v>46098.810671296298</v>
      </c>
      <c r="N916" t="s">
        <v>4265</v>
      </c>
      <c r="O916" s="1">
        <v>46102.375</v>
      </c>
      <c r="P916" s="1">
        <v>46098.810810185183</v>
      </c>
      <c r="Q916" t="s">
        <v>4265</v>
      </c>
      <c r="R916" s="6">
        <v>46102.711805555555</v>
      </c>
      <c r="S916" t="s">
        <v>43</v>
      </c>
      <c r="T916">
        <v>24.99</v>
      </c>
      <c r="U916">
        <v>0</v>
      </c>
      <c r="V916">
        <v>23.8</v>
      </c>
      <c r="W916">
        <v>1.19</v>
      </c>
      <c r="X916">
        <v>0</v>
      </c>
      <c r="Y916">
        <v>0</v>
      </c>
      <c r="Z916">
        <v>24.99</v>
      </c>
      <c r="AA916" t="s">
        <v>2704</v>
      </c>
      <c r="AB916" t="s">
        <v>45</v>
      </c>
      <c r="AC916" t="s">
        <v>46</v>
      </c>
      <c r="AD916" t="s">
        <v>2556</v>
      </c>
      <c r="AE916" t="s">
        <v>2557</v>
      </c>
      <c r="AF916" t="s">
        <v>3673</v>
      </c>
      <c r="AG916" t="s">
        <v>46</v>
      </c>
      <c r="AH916" t="s">
        <v>1525</v>
      </c>
      <c r="AI916" t="s">
        <v>37</v>
      </c>
    </row>
    <row r="917" spans="1:35" x14ac:dyDescent="0.25">
      <c r="A917" t="s">
        <v>3674</v>
      </c>
      <c r="B917" t="s">
        <v>34</v>
      </c>
      <c r="C917" t="s">
        <v>3675</v>
      </c>
      <c r="D917" t="s">
        <v>3676</v>
      </c>
      <c r="E917" t="s">
        <v>3677</v>
      </c>
      <c r="F917" t="s">
        <v>3678</v>
      </c>
      <c r="G917" t="s">
        <v>2601</v>
      </c>
      <c r="H917" t="s">
        <v>40</v>
      </c>
      <c r="I917" t="s">
        <v>41</v>
      </c>
      <c r="J917" t="s">
        <v>37</v>
      </c>
      <c r="K917" t="s">
        <v>37</v>
      </c>
      <c r="L917" t="s">
        <v>42</v>
      </c>
      <c r="M917" s="6">
        <v>46100.765150462961</v>
      </c>
      <c r="N917" t="s">
        <v>4268</v>
      </c>
      <c r="O917" s="1">
        <v>46108.322916666664</v>
      </c>
      <c r="P917" s="1">
        <v>46100.765983796293</v>
      </c>
      <c r="Q917" t="s">
        <v>4265</v>
      </c>
      <c r="R917" s="6">
        <v>46109.753472222219</v>
      </c>
      <c r="S917" t="s">
        <v>43</v>
      </c>
      <c r="T917">
        <v>49.98</v>
      </c>
      <c r="U917">
        <v>0</v>
      </c>
      <c r="V917">
        <v>47.6</v>
      </c>
      <c r="W917">
        <v>2.38</v>
      </c>
      <c r="X917">
        <v>0</v>
      </c>
      <c r="Y917">
        <v>0</v>
      </c>
      <c r="Z917">
        <v>49.98</v>
      </c>
      <c r="AA917" t="s">
        <v>2704</v>
      </c>
      <c r="AB917" t="s">
        <v>45</v>
      </c>
      <c r="AC917" t="s">
        <v>46</v>
      </c>
      <c r="AD917" t="s">
        <v>2556</v>
      </c>
      <c r="AE917" t="s">
        <v>2557</v>
      </c>
      <c r="AF917" t="s">
        <v>3679</v>
      </c>
      <c r="AG917" t="s">
        <v>46</v>
      </c>
      <c r="AH917" t="s">
        <v>3675</v>
      </c>
      <c r="AI917" t="s">
        <v>37</v>
      </c>
    </row>
    <row r="918" spans="1:35" x14ac:dyDescent="0.25">
      <c r="A918" t="s">
        <v>3680</v>
      </c>
      <c r="B918" t="s">
        <v>34</v>
      </c>
      <c r="C918" t="s">
        <v>3681</v>
      </c>
      <c r="D918" t="s">
        <v>3682</v>
      </c>
      <c r="E918" t="s">
        <v>3683</v>
      </c>
      <c r="F918" t="s">
        <v>3684</v>
      </c>
      <c r="G918" t="s">
        <v>39</v>
      </c>
      <c r="H918" t="s">
        <v>40</v>
      </c>
      <c r="I918" t="s">
        <v>41</v>
      </c>
      <c r="J918" t="s">
        <v>37</v>
      </c>
      <c r="K918" t="s">
        <v>37</v>
      </c>
      <c r="L918" t="s">
        <v>42</v>
      </c>
      <c r="M918" s="6">
        <v>46100.980069444442</v>
      </c>
      <c r="N918" t="s">
        <v>4268</v>
      </c>
      <c r="O918" s="1">
        <v>46101.333333333336</v>
      </c>
      <c r="P918" s="1">
        <v>46100.980069444442</v>
      </c>
      <c r="Q918" t="s">
        <v>4268</v>
      </c>
      <c r="R918" s="6">
        <v>46101.711805555555</v>
      </c>
      <c r="S918" t="s">
        <v>43</v>
      </c>
      <c r="T918">
        <v>24.99</v>
      </c>
      <c r="U918">
        <v>0</v>
      </c>
      <c r="V918">
        <v>23.8</v>
      </c>
      <c r="W918">
        <v>1.19</v>
      </c>
      <c r="X918">
        <v>0</v>
      </c>
      <c r="Y918">
        <v>0</v>
      </c>
      <c r="Z918">
        <v>24.99</v>
      </c>
      <c r="AA918" t="s">
        <v>2704</v>
      </c>
      <c r="AB918" t="s">
        <v>45</v>
      </c>
      <c r="AC918" t="s">
        <v>46</v>
      </c>
      <c r="AD918" t="s">
        <v>2556</v>
      </c>
      <c r="AE918" t="s">
        <v>2557</v>
      </c>
      <c r="AF918" t="s">
        <v>3685</v>
      </c>
      <c r="AG918" t="s">
        <v>46</v>
      </c>
      <c r="AH918" t="s">
        <v>3681</v>
      </c>
      <c r="AI918" t="s">
        <v>37</v>
      </c>
    </row>
    <row r="919" spans="1:35" x14ac:dyDescent="0.25">
      <c r="A919" t="s">
        <v>3686</v>
      </c>
      <c r="B919" t="s">
        <v>34</v>
      </c>
      <c r="C919" t="s">
        <v>3687</v>
      </c>
      <c r="D919" t="s">
        <v>3688</v>
      </c>
      <c r="E919" t="s">
        <v>3689</v>
      </c>
      <c r="F919" t="s">
        <v>3690</v>
      </c>
      <c r="G919" t="s">
        <v>39</v>
      </c>
      <c r="H919" t="s">
        <v>40</v>
      </c>
      <c r="I919" t="s">
        <v>41</v>
      </c>
      <c r="J919" t="s">
        <v>37</v>
      </c>
      <c r="K919" t="s">
        <v>37</v>
      </c>
      <c r="L919" t="s">
        <v>42</v>
      </c>
      <c r="M919" s="6">
        <v>46101.109733796293</v>
      </c>
      <c r="N919" t="s">
        <v>4262</v>
      </c>
      <c r="O919" s="1">
        <v>46111.364583333336</v>
      </c>
      <c r="P919" s="1">
        <v>46101.110277777778</v>
      </c>
      <c r="Q919" t="s">
        <v>4267</v>
      </c>
      <c r="R919" s="6">
        <v>46112.680555555555</v>
      </c>
      <c r="S919" t="s">
        <v>43</v>
      </c>
      <c r="T919">
        <v>49.98</v>
      </c>
      <c r="U919">
        <v>0</v>
      </c>
      <c r="V919">
        <v>47.6</v>
      </c>
      <c r="W919">
        <v>2.38</v>
      </c>
      <c r="X919">
        <v>0</v>
      </c>
      <c r="Y919">
        <v>0</v>
      </c>
      <c r="Z919">
        <v>49.98</v>
      </c>
      <c r="AA919" t="s">
        <v>2704</v>
      </c>
      <c r="AB919" t="s">
        <v>45</v>
      </c>
      <c r="AC919" t="s">
        <v>46</v>
      </c>
      <c r="AD919" t="s">
        <v>2556</v>
      </c>
      <c r="AE919" t="s">
        <v>2557</v>
      </c>
      <c r="AF919" t="s">
        <v>3691</v>
      </c>
      <c r="AG919" t="s">
        <v>46</v>
      </c>
      <c r="AH919" t="s">
        <v>3687</v>
      </c>
      <c r="AI919" t="s">
        <v>37</v>
      </c>
    </row>
    <row r="920" spans="1:35" x14ac:dyDescent="0.25">
      <c r="A920" t="s">
        <v>3692</v>
      </c>
      <c r="B920" t="s">
        <v>34</v>
      </c>
      <c r="C920" t="s">
        <v>3693</v>
      </c>
      <c r="D920" t="s">
        <v>3694</v>
      </c>
      <c r="E920" t="s">
        <v>3695</v>
      </c>
      <c r="F920" t="s">
        <v>3696</v>
      </c>
      <c r="G920" t="s">
        <v>39</v>
      </c>
      <c r="H920" t="s">
        <v>40</v>
      </c>
      <c r="I920" t="s">
        <v>41</v>
      </c>
      <c r="J920" t="s">
        <v>37</v>
      </c>
      <c r="K920" t="s">
        <v>37</v>
      </c>
      <c r="L920" t="s">
        <v>42</v>
      </c>
      <c r="M920" s="6">
        <v>46101.282708333332</v>
      </c>
      <c r="N920" t="s">
        <v>4268</v>
      </c>
      <c r="O920" s="1">
        <v>46101.3125</v>
      </c>
      <c r="P920" s="1">
        <v>46101.283136574071</v>
      </c>
      <c r="Q920" t="s">
        <v>4268</v>
      </c>
      <c r="R920" s="6">
        <v>46101.711805555555</v>
      </c>
      <c r="S920" t="s">
        <v>43</v>
      </c>
      <c r="T920">
        <v>24.99</v>
      </c>
      <c r="U920">
        <v>0</v>
      </c>
      <c r="V920">
        <v>23.8</v>
      </c>
      <c r="W920">
        <v>1.19</v>
      </c>
      <c r="X920">
        <v>0</v>
      </c>
      <c r="Y920">
        <v>0</v>
      </c>
      <c r="Z920">
        <v>24.99</v>
      </c>
      <c r="AA920" t="s">
        <v>2704</v>
      </c>
      <c r="AB920" t="s">
        <v>45</v>
      </c>
      <c r="AC920" t="s">
        <v>46</v>
      </c>
      <c r="AD920" t="s">
        <v>2556</v>
      </c>
      <c r="AE920" t="s">
        <v>2557</v>
      </c>
      <c r="AF920" t="s">
        <v>3697</v>
      </c>
      <c r="AG920" t="s">
        <v>46</v>
      </c>
      <c r="AH920" t="s">
        <v>3693</v>
      </c>
      <c r="AI920" t="s">
        <v>37</v>
      </c>
    </row>
    <row r="921" spans="1:35" x14ac:dyDescent="0.25">
      <c r="A921" t="s">
        <v>3698</v>
      </c>
      <c r="B921" t="s">
        <v>34</v>
      </c>
      <c r="C921" t="s">
        <v>3699</v>
      </c>
      <c r="D921" t="s">
        <v>3700</v>
      </c>
      <c r="E921" t="s">
        <v>3701</v>
      </c>
      <c r="F921" t="s">
        <v>3702</v>
      </c>
      <c r="G921" t="s">
        <v>39</v>
      </c>
      <c r="H921" t="s">
        <v>40</v>
      </c>
      <c r="I921" t="s">
        <v>41</v>
      </c>
      <c r="J921" t="s">
        <v>37</v>
      </c>
      <c r="K921" t="s">
        <v>37</v>
      </c>
      <c r="L921" t="s">
        <v>42</v>
      </c>
      <c r="M921" s="6">
        <v>46101.35728009259</v>
      </c>
      <c r="N921" t="s">
        <v>4265</v>
      </c>
      <c r="O921" s="1">
        <v>46102.333333333336</v>
      </c>
      <c r="P921" s="1">
        <v>46101.357766203706</v>
      </c>
      <c r="Q921" t="s">
        <v>4265</v>
      </c>
      <c r="R921" s="6">
        <v>46102.711805555555</v>
      </c>
      <c r="S921" t="s">
        <v>43</v>
      </c>
      <c r="T921">
        <v>24.99</v>
      </c>
      <c r="U921">
        <v>0</v>
      </c>
      <c r="V921">
        <v>23.8</v>
      </c>
      <c r="W921">
        <v>1.19</v>
      </c>
      <c r="X921">
        <v>0</v>
      </c>
      <c r="Y921">
        <v>0</v>
      </c>
      <c r="Z921">
        <v>24.99</v>
      </c>
      <c r="AA921" t="s">
        <v>2704</v>
      </c>
      <c r="AB921" t="s">
        <v>45</v>
      </c>
      <c r="AC921" t="s">
        <v>46</v>
      </c>
      <c r="AD921" t="s">
        <v>2556</v>
      </c>
      <c r="AE921" t="s">
        <v>2557</v>
      </c>
      <c r="AF921" t="s">
        <v>3703</v>
      </c>
      <c r="AG921" t="s">
        <v>46</v>
      </c>
      <c r="AH921" t="s">
        <v>3699</v>
      </c>
      <c r="AI921" t="s">
        <v>37</v>
      </c>
    </row>
    <row r="922" spans="1:35" x14ac:dyDescent="0.25">
      <c r="A922" t="s">
        <v>3704</v>
      </c>
      <c r="B922" t="s">
        <v>34</v>
      </c>
      <c r="C922" t="s">
        <v>3675</v>
      </c>
      <c r="D922" t="s">
        <v>3676</v>
      </c>
      <c r="E922" t="s">
        <v>3677</v>
      </c>
      <c r="F922" t="s">
        <v>3678</v>
      </c>
      <c r="G922" t="s">
        <v>2601</v>
      </c>
      <c r="H922" t="s">
        <v>40</v>
      </c>
      <c r="I922" t="s">
        <v>41</v>
      </c>
      <c r="J922" t="s">
        <v>37</v>
      </c>
      <c r="K922" t="s">
        <v>37</v>
      </c>
      <c r="L922" t="s">
        <v>42</v>
      </c>
      <c r="M922" s="6">
        <v>46101.50341435185</v>
      </c>
      <c r="N922" t="s">
        <v>4268</v>
      </c>
      <c r="O922" s="1">
        <v>46108.322916666664</v>
      </c>
      <c r="P922" s="1">
        <v>46101.503854166665</v>
      </c>
      <c r="Q922" t="s">
        <v>4265</v>
      </c>
      <c r="R922" s="6">
        <v>46109.753472222219</v>
      </c>
      <c r="S922" t="s">
        <v>43</v>
      </c>
      <c r="T922">
        <v>49.98</v>
      </c>
      <c r="U922">
        <v>0</v>
      </c>
      <c r="V922">
        <v>47.6</v>
      </c>
      <c r="W922">
        <v>2.38</v>
      </c>
      <c r="X922">
        <v>0</v>
      </c>
      <c r="Y922">
        <v>0</v>
      </c>
      <c r="Z922">
        <v>49.98</v>
      </c>
      <c r="AA922" t="s">
        <v>2704</v>
      </c>
      <c r="AB922" t="s">
        <v>45</v>
      </c>
      <c r="AC922" t="s">
        <v>46</v>
      </c>
      <c r="AD922" t="s">
        <v>2556</v>
      </c>
      <c r="AE922" t="s">
        <v>2557</v>
      </c>
      <c r="AF922" t="s">
        <v>3705</v>
      </c>
      <c r="AG922" t="s">
        <v>46</v>
      </c>
      <c r="AH922" t="s">
        <v>3675</v>
      </c>
      <c r="AI922" t="s">
        <v>37</v>
      </c>
    </row>
    <row r="923" spans="1:35" x14ac:dyDescent="0.25">
      <c r="A923" t="s">
        <v>3706</v>
      </c>
      <c r="B923" t="s">
        <v>34</v>
      </c>
      <c r="C923" t="s">
        <v>2457</v>
      </c>
      <c r="D923" t="s">
        <v>2458</v>
      </c>
      <c r="E923" t="s">
        <v>37</v>
      </c>
      <c r="F923" t="s">
        <v>2459</v>
      </c>
      <c r="G923" t="s">
        <v>39</v>
      </c>
      <c r="H923" t="s">
        <v>40</v>
      </c>
      <c r="I923" t="s">
        <v>41</v>
      </c>
      <c r="J923" t="s">
        <v>37</v>
      </c>
      <c r="K923" t="s">
        <v>37</v>
      </c>
      <c r="L923" t="s">
        <v>42</v>
      </c>
      <c r="M923" s="6">
        <v>46101.577615740738</v>
      </c>
      <c r="N923" t="s">
        <v>4265</v>
      </c>
      <c r="O923" s="1">
        <v>46102.333333333336</v>
      </c>
      <c r="P923" s="1">
        <v>46101.578090277777</v>
      </c>
      <c r="Q923" t="s">
        <v>4265</v>
      </c>
      <c r="R923" s="6">
        <v>46102.711805555555</v>
      </c>
      <c r="S923" t="s">
        <v>43</v>
      </c>
      <c r="T923">
        <v>24.99</v>
      </c>
      <c r="U923">
        <v>0</v>
      </c>
      <c r="V923">
        <v>23.8</v>
      </c>
      <c r="W923">
        <v>1.19</v>
      </c>
      <c r="X923">
        <v>0</v>
      </c>
      <c r="Y923">
        <v>0</v>
      </c>
      <c r="Z923">
        <v>24.99</v>
      </c>
      <c r="AA923" t="s">
        <v>2704</v>
      </c>
      <c r="AB923" t="s">
        <v>45</v>
      </c>
      <c r="AC923" t="s">
        <v>46</v>
      </c>
      <c r="AD923" t="s">
        <v>2556</v>
      </c>
      <c r="AE923" t="s">
        <v>2557</v>
      </c>
      <c r="AF923" t="s">
        <v>3707</v>
      </c>
      <c r="AG923" t="s">
        <v>46</v>
      </c>
      <c r="AH923" t="s">
        <v>2457</v>
      </c>
      <c r="AI923" t="s">
        <v>37</v>
      </c>
    </row>
    <row r="924" spans="1:35" x14ac:dyDescent="0.25">
      <c r="A924" t="s">
        <v>3708</v>
      </c>
      <c r="B924" t="s">
        <v>34</v>
      </c>
      <c r="C924" t="s">
        <v>3709</v>
      </c>
      <c r="D924" t="s">
        <v>3710</v>
      </c>
      <c r="E924" t="s">
        <v>3711</v>
      </c>
      <c r="F924" t="s">
        <v>3712</v>
      </c>
      <c r="G924" t="s">
        <v>39</v>
      </c>
      <c r="H924" t="s">
        <v>40</v>
      </c>
      <c r="I924" t="s">
        <v>41</v>
      </c>
      <c r="J924" t="s">
        <v>37</v>
      </c>
      <c r="K924" t="s">
        <v>37</v>
      </c>
      <c r="L924" t="s">
        <v>42</v>
      </c>
      <c r="M924" s="6">
        <v>46101.638472222221</v>
      </c>
      <c r="N924" t="s">
        <v>4265</v>
      </c>
      <c r="O924" s="1">
        <v>46109.395833333336</v>
      </c>
      <c r="P924" s="1">
        <v>46101.639421296299</v>
      </c>
      <c r="Q924" t="s">
        <v>4266</v>
      </c>
      <c r="R924" s="6">
        <v>46110.732638888891</v>
      </c>
      <c r="S924" t="s">
        <v>43</v>
      </c>
      <c r="T924">
        <v>49.98</v>
      </c>
      <c r="U924">
        <v>0</v>
      </c>
      <c r="V924">
        <v>47.6</v>
      </c>
      <c r="W924">
        <v>2.38</v>
      </c>
      <c r="X924">
        <v>0</v>
      </c>
      <c r="Y924">
        <v>0</v>
      </c>
      <c r="Z924">
        <v>49.98</v>
      </c>
      <c r="AA924" t="s">
        <v>2704</v>
      </c>
      <c r="AB924" t="s">
        <v>45</v>
      </c>
      <c r="AC924" t="s">
        <v>46</v>
      </c>
      <c r="AD924" t="s">
        <v>2556</v>
      </c>
      <c r="AE924" t="s">
        <v>2557</v>
      </c>
      <c r="AF924" t="s">
        <v>3713</v>
      </c>
      <c r="AG924" t="s">
        <v>46</v>
      </c>
      <c r="AH924" t="s">
        <v>3709</v>
      </c>
      <c r="AI924" t="s">
        <v>37</v>
      </c>
    </row>
    <row r="925" spans="1:35" x14ac:dyDescent="0.25">
      <c r="A925" t="s">
        <v>3714</v>
      </c>
      <c r="B925" t="s">
        <v>34</v>
      </c>
      <c r="C925" t="s">
        <v>3709</v>
      </c>
      <c r="D925" t="s">
        <v>3710</v>
      </c>
      <c r="E925" t="s">
        <v>3711</v>
      </c>
      <c r="F925" t="s">
        <v>3712</v>
      </c>
      <c r="G925" t="s">
        <v>39</v>
      </c>
      <c r="H925" t="s">
        <v>40</v>
      </c>
      <c r="I925" t="s">
        <v>41</v>
      </c>
      <c r="J925" t="s">
        <v>37</v>
      </c>
      <c r="K925" t="s">
        <v>37</v>
      </c>
      <c r="L925" t="s">
        <v>42</v>
      </c>
      <c r="M925" s="6">
        <v>46101.641400462962</v>
      </c>
      <c r="N925" t="s">
        <v>4262</v>
      </c>
      <c r="O925" s="1">
        <v>46111.395833333336</v>
      </c>
      <c r="P925" s="1">
        <v>46101.642013888886</v>
      </c>
      <c r="Q925" t="s">
        <v>4267</v>
      </c>
      <c r="R925" s="6">
        <v>46112.732638888891</v>
      </c>
      <c r="S925" t="s">
        <v>43</v>
      </c>
      <c r="T925">
        <v>49.98</v>
      </c>
      <c r="U925">
        <v>0</v>
      </c>
      <c r="V925">
        <v>47.6</v>
      </c>
      <c r="W925">
        <v>2.38</v>
      </c>
      <c r="X925">
        <v>0</v>
      </c>
      <c r="Y925">
        <v>0</v>
      </c>
      <c r="Z925">
        <v>49.98</v>
      </c>
      <c r="AA925" t="s">
        <v>2704</v>
      </c>
      <c r="AB925" t="s">
        <v>45</v>
      </c>
      <c r="AC925" t="s">
        <v>46</v>
      </c>
      <c r="AD925" t="s">
        <v>2556</v>
      </c>
      <c r="AE925" t="s">
        <v>2557</v>
      </c>
      <c r="AF925" t="s">
        <v>3715</v>
      </c>
      <c r="AG925" t="s">
        <v>46</v>
      </c>
      <c r="AH925" t="s">
        <v>3709</v>
      </c>
      <c r="AI925" t="s">
        <v>37</v>
      </c>
    </row>
    <row r="926" spans="1:35" x14ac:dyDescent="0.25">
      <c r="A926" t="s">
        <v>3716</v>
      </c>
      <c r="B926" t="s">
        <v>34</v>
      </c>
      <c r="C926" t="s">
        <v>3709</v>
      </c>
      <c r="D926" t="s">
        <v>3710</v>
      </c>
      <c r="E926" t="s">
        <v>3711</v>
      </c>
      <c r="F926" t="s">
        <v>3712</v>
      </c>
      <c r="G926" t="s">
        <v>39</v>
      </c>
      <c r="H926" t="s">
        <v>40</v>
      </c>
      <c r="I926" t="s">
        <v>41</v>
      </c>
      <c r="J926" t="s">
        <v>37</v>
      </c>
      <c r="K926" t="s">
        <v>37</v>
      </c>
      <c r="L926" t="s">
        <v>42</v>
      </c>
      <c r="M926" s="6">
        <v>46101.643310185187</v>
      </c>
      <c r="N926" t="s">
        <v>4263</v>
      </c>
      <c r="O926" s="1">
        <v>46113.395833333336</v>
      </c>
      <c r="P926" s="1">
        <v>46101.643831018519</v>
      </c>
      <c r="Q926" t="s">
        <v>4263</v>
      </c>
      <c r="R926" s="6">
        <v>46113.732638888891</v>
      </c>
      <c r="S926" t="s">
        <v>43</v>
      </c>
      <c r="T926">
        <v>24.99</v>
      </c>
      <c r="U926">
        <v>0</v>
      </c>
      <c r="V926">
        <v>23.8</v>
      </c>
      <c r="W926">
        <v>1.19</v>
      </c>
      <c r="X926">
        <v>0</v>
      </c>
      <c r="Y926">
        <v>0</v>
      </c>
      <c r="Z926">
        <v>24.99</v>
      </c>
      <c r="AA926" t="s">
        <v>2704</v>
      </c>
      <c r="AB926" t="s">
        <v>45</v>
      </c>
      <c r="AC926" t="s">
        <v>46</v>
      </c>
      <c r="AD926" t="s">
        <v>2556</v>
      </c>
      <c r="AE926" t="s">
        <v>2557</v>
      </c>
      <c r="AF926" t="s">
        <v>3717</v>
      </c>
      <c r="AG926" t="s">
        <v>46</v>
      </c>
      <c r="AH926" t="s">
        <v>3709</v>
      </c>
      <c r="AI926" t="s">
        <v>37</v>
      </c>
    </row>
    <row r="927" spans="1:35" x14ac:dyDescent="0.25">
      <c r="A927" t="s">
        <v>3718</v>
      </c>
      <c r="B927" t="s">
        <v>34</v>
      </c>
      <c r="C927" t="s">
        <v>3719</v>
      </c>
      <c r="D927" t="s">
        <v>3720</v>
      </c>
      <c r="E927" t="s">
        <v>3721</v>
      </c>
      <c r="F927" t="s">
        <v>3722</v>
      </c>
      <c r="G927" t="s">
        <v>39</v>
      </c>
      <c r="H927" t="s">
        <v>40</v>
      </c>
      <c r="I927" t="s">
        <v>41</v>
      </c>
      <c r="J927" t="s">
        <v>37</v>
      </c>
      <c r="K927" t="s">
        <v>37</v>
      </c>
      <c r="L927" t="s">
        <v>42</v>
      </c>
      <c r="M927" s="6">
        <v>46101.649386574078</v>
      </c>
      <c r="N927" t="s">
        <v>4265</v>
      </c>
      <c r="O927" s="1">
        <v>46109.322916666664</v>
      </c>
      <c r="P927" s="1">
        <v>46101.649861111109</v>
      </c>
      <c r="Q927" t="s">
        <v>4265</v>
      </c>
      <c r="R927" s="6">
        <v>46109.753472222219</v>
      </c>
      <c r="S927" t="s">
        <v>43</v>
      </c>
      <c r="T927">
        <v>24.99</v>
      </c>
      <c r="U927">
        <v>0</v>
      </c>
      <c r="V927">
        <v>23.8</v>
      </c>
      <c r="W927">
        <v>1.19</v>
      </c>
      <c r="X927">
        <v>0</v>
      </c>
      <c r="Y927">
        <v>0</v>
      </c>
      <c r="Z927">
        <v>24.99</v>
      </c>
      <c r="AA927" t="s">
        <v>2704</v>
      </c>
      <c r="AB927" t="s">
        <v>45</v>
      </c>
      <c r="AC927" t="s">
        <v>46</v>
      </c>
      <c r="AD927" t="s">
        <v>2556</v>
      </c>
      <c r="AE927" t="s">
        <v>2557</v>
      </c>
      <c r="AF927" t="s">
        <v>3723</v>
      </c>
      <c r="AG927" t="s">
        <v>46</v>
      </c>
      <c r="AH927" t="s">
        <v>3719</v>
      </c>
      <c r="AI927" t="s">
        <v>37</v>
      </c>
    </row>
    <row r="928" spans="1:35" x14ac:dyDescent="0.25">
      <c r="A928" t="s">
        <v>3724</v>
      </c>
      <c r="B928" t="s">
        <v>34</v>
      </c>
      <c r="C928" t="s">
        <v>3719</v>
      </c>
      <c r="D928" t="s">
        <v>3720</v>
      </c>
      <c r="E928" t="s">
        <v>3721</v>
      </c>
      <c r="F928" t="s">
        <v>3722</v>
      </c>
      <c r="G928" t="s">
        <v>39</v>
      </c>
      <c r="H928" t="s">
        <v>40</v>
      </c>
      <c r="I928" t="s">
        <v>41</v>
      </c>
      <c r="J928" t="s">
        <v>37</v>
      </c>
      <c r="K928" t="s">
        <v>37</v>
      </c>
      <c r="L928" t="s">
        <v>42</v>
      </c>
      <c r="M928" s="6">
        <v>46101.658483796295</v>
      </c>
      <c r="N928" t="s">
        <v>4266</v>
      </c>
      <c r="O928" s="1">
        <v>46110.322916666664</v>
      </c>
      <c r="P928" s="1">
        <v>46101.658483796295</v>
      </c>
      <c r="Q928" t="s">
        <v>4266</v>
      </c>
      <c r="R928" s="6">
        <v>46110.753472222219</v>
      </c>
      <c r="S928" t="s">
        <v>43</v>
      </c>
      <c r="T928">
        <v>24.99</v>
      </c>
      <c r="U928">
        <v>0</v>
      </c>
      <c r="V928">
        <v>23.8</v>
      </c>
      <c r="W928">
        <v>1.19</v>
      </c>
      <c r="X928">
        <v>0</v>
      </c>
      <c r="Y928">
        <v>0</v>
      </c>
      <c r="Z928">
        <v>24.99</v>
      </c>
      <c r="AA928" t="s">
        <v>2704</v>
      </c>
      <c r="AB928" t="s">
        <v>45</v>
      </c>
      <c r="AC928" t="s">
        <v>46</v>
      </c>
      <c r="AD928" t="s">
        <v>2556</v>
      </c>
      <c r="AE928" t="s">
        <v>2557</v>
      </c>
      <c r="AF928" t="s">
        <v>3725</v>
      </c>
      <c r="AG928" t="s">
        <v>46</v>
      </c>
      <c r="AH928" t="s">
        <v>3719</v>
      </c>
      <c r="AI928" t="s">
        <v>37</v>
      </c>
    </row>
    <row r="929" spans="1:35" x14ac:dyDescent="0.25">
      <c r="A929" t="s">
        <v>3726</v>
      </c>
      <c r="B929" t="s">
        <v>34</v>
      </c>
      <c r="C929" t="s">
        <v>3727</v>
      </c>
      <c r="D929" t="s">
        <v>3728</v>
      </c>
      <c r="E929" t="s">
        <v>3729</v>
      </c>
      <c r="F929" t="s">
        <v>3730</v>
      </c>
      <c r="G929" t="s">
        <v>2601</v>
      </c>
      <c r="H929" t="s">
        <v>40</v>
      </c>
      <c r="I929" t="s">
        <v>41</v>
      </c>
      <c r="J929" t="s">
        <v>37</v>
      </c>
      <c r="K929" t="s">
        <v>37</v>
      </c>
      <c r="L929" t="s">
        <v>42</v>
      </c>
      <c r="M929" s="6">
        <v>46101.710416666669</v>
      </c>
      <c r="N929" t="s">
        <v>4265</v>
      </c>
      <c r="O929" s="1">
        <v>46102.375</v>
      </c>
      <c r="P929" s="1">
        <v>46101.710601851853</v>
      </c>
      <c r="Q929" t="s">
        <v>4265</v>
      </c>
      <c r="R929" s="6">
        <v>46102.670138888891</v>
      </c>
      <c r="S929" t="s">
        <v>43</v>
      </c>
      <c r="T929">
        <v>24.99</v>
      </c>
      <c r="U929">
        <v>0</v>
      </c>
      <c r="V929">
        <v>23.8</v>
      </c>
      <c r="W929">
        <v>1.19</v>
      </c>
      <c r="X929">
        <v>0</v>
      </c>
      <c r="Y929">
        <v>0</v>
      </c>
      <c r="Z929">
        <v>24.99</v>
      </c>
      <c r="AA929" t="s">
        <v>2704</v>
      </c>
      <c r="AB929" t="s">
        <v>45</v>
      </c>
      <c r="AC929" t="s">
        <v>46</v>
      </c>
      <c r="AD929" t="s">
        <v>2556</v>
      </c>
      <c r="AE929" t="s">
        <v>2557</v>
      </c>
      <c r="AF929" t="s">
        <v>3731</v>
      </c>
      <c r="AG929" t="s">
        <v>46</v>
      </c>
      <c r="AH929" t="s">
        <v>3727</v>
      </c>
      <c r="AI929" t="s">
        <v>37</v>
      </c>
    </row>
    <row r="930" spans="1:35" x14ac:dyDescent="0.25">
      <c r="A930" t="s">
        <v>3732</v>
      </c>
      <c r="B930" t="s">
        <v>34</v>
      </c>
      <c r="C930" t="s">
        <v>2768</v>
      </c>
      <c r="D930" t="s">
        <v>2769</v>
      </c>
      <c r="E930" t="s">
        <v>2770</v>
      </c>
      <c r="F930" t="s">
        <v>2771</v>
      </c>
      <c r="G930" t="s">
        <v>39</v>
      </c>
      <c r="H930" t="s">
        <v>40</v>
      </c>
      <c r="I930" t="s">
        <v>41</v>
      </c>
      <c r="J930" t="s">
        <v>37</v>
      </c>
      <c r="K930" t="s">
        <v>37</v>
      </c>
      <c r="L930" t="s">
        <v>42</v>
      </c>
      <c r="M930" s="6">
        <v>46101.752685185187</v>
      </c>
      <c r="N930" t="s">
        <v>4265</v>
      </c>
      <c r="O930" s="1">
        <v>46102.291666666664</v>
      </c>
      <c r="P930" s="1">
        <v>46101.752685185187</v>
      </c>
      <c r="Q930" t="s">
        <v>4265</v>
      </c>
      <c r="R930" s="6">
        <v>46102.690972222219</v>
      </c>
      <c r="S930" t="s">
        <v>43</v>
      </c>
      <c r="T930">
        <v>24.99</v>
      </c>
      <c r="U930">
        <v>0</v>
      </c>
      <c r="V930">
        <v>23.8</v>
      </c>
      <c r="W930">
        <v>1.19</v>
      </c>
      <c r="X930">
        <v>0</v>
      </c>
      <c r="Y930">
        <v>0</v>
      </c>
      <c r="Z930">
        <v>24.99</v>
      </c>
      <c r="AA930" t="s">
        <v>2704</v>
      </c>
      <c r="AB930" t="s">
        <v>45</v>
      </c>
      <c r="AC930" t="s">
        <v>46</v>
      </c>
      <c r="AD930" t="s">
        <v>2556</v>
      </c>
      <c r="AE930" t="s">
        <v>2557</v>
      </c>
      <c r="AF930" t="s">
        <v>3733</v>
      </c>
      <c r="AG930" t="s">
        <v>46</v>
      </c>
      <c r="AH930" t="s">
        <v>2768</v>
      </c>
      <c r="AI930" t="s">
        <v>37</v>
      </c>
    </row>
    <row r="931" spans="1:35" x14ac:dyDescent="0.25">
      <c r="A931" t="s">
        <v>3734</v>
      </c>
      <c r="B931" t="s">
        <v>34</v>
      </c>
      <c r="C931" t="s">
        <v>638</v>
      </c>
      <c r="D931" t="s">
        <v>639</v>
      </c>
      <c r="E931" t="s">
        <v>37</v>
      </c>
      <c r="F931" t="s">
        <v>640</v>
      </c>
      <c r="G931" t="s">
        <v>39</v>
      </c>
      <c r="H931" t="s">
        <v>40</v>
      </c>
      <c r="I931" t="s">
        <v>41</v>
      </c>
      <c r="J931" t="s">
        <v>37</v>
      </c>
      <c r="K931" t="s">
        <v>37</v>
      </c>
      <c r="L931" t="s">
        <v>42</v>
      </c>
      <c r="M931" s="6">
        <v>46101.843900462962</v>
      </c>
      <c r="N931" t="s">
        <v>4265</v>
      </c>
      <c r="O931" s="1">
        <v>46102.416666666664</v>
      </c>
      <c r="P931" s="1">
        <v>46101.844270833331</v>
      </c>
      <c r="Q931" t="s">
        <v>4265</v>
      </c>
      <c r="R931" s="6">
        <v>46102.670138888891</v>
      </c>
      <c r="S931" t="s">
        <v>43</v>
      </c>
      <c r="T931">
        <v>24.99</v>
      </c>
      <c r="U931">
        <v>0</v>
      </c>
      <c r="V931">
        <v>23.8</v>
      </c>
      <c r="W931">
        <v>1.19</v>
      </c>
      <c r="X931">
        <v>0</v>
      </c>
      <c r="Y931">
        <v>0</v>
      </c>
      <c r="Z931">
        <v>24.99</v>
      </c>
      <c r="AA931" t="s">
        <v>2704</v>
      </c>
      <c r="AB931" t="s">
        <v>45</v>
      </c>
      <c r="AC931" t="s">
        <v>46</v>
      </c>
      <c r="AD931" t="s">
        <v>2556</v>
      </c>
      <c r="AE931" t="s">
        <v>2557</v>
      </c>
      <c r="AF931" t="s">
        <v>3735</v>
      </c>
      <c r="AG931" t="s">
        <v>46</v>
      </c>
      <c r="AH931" t="s">
        <v>638</v>
      </c>
      <c r="AI931" t="s">
        <v>37</v>
      </c>
    </row>
    <row r="932" spans="1:35" x14ac:dyDescent="0.25">
      <c r="A932" t="s">
        <v>3736</v>
      </c>
      <c r="B932" t="s">
        <v>34</v>
      </c>
      <c r="C932" t="s">
        <v>3477</v>
      </c>
      <c r="D932" t="s">
        <v>3478</v>
      </c>
      <c r="E932" t="s">
        <v>3479</v>
      </c>
      <c r="F932" t="s">
        <v>3480</v>
      </c>
      <c r="G932" t="s">
        <v>39</v>
      </c>
      <c r="H932" t="s">
        <v>40</v>
      </c>
      <c r="I932" t="s">
        <v>41</v>
      </c>
      <c r="J932" t="s">
        <v>37</v>
      </c>
      <c r="K932" t="s">
        <v>37</v>
      </c>
      <c r="L932" t="s">
        <v>42</v>
      </c>
      <c r="M932" s="6">
        <v>46101.886435185188</v>
      </c>
      <c r="N932" t="s">
        <v>4265</v>
      </c>
      <c r="O932" s="1">
        <v>46102.291666666664</v>
      </c>
      <c r="P932" s="1">
        <v>46101.886435185188</v>
      </c>
      <c r="Q932" t="s">
        <v>4265</v>
      </c>
      <c r="R932" s="6">
        <v>46102.711805555555</v>
      </c>
      <c r="S932" t="s">
        <v>43</v>
      </c>
      <c r="T932">
        <v>24.99</v>
      </c>
      <c r="U932">
        <v>0</v>
      </c>
      <c r="V932">
        <v>23.8</v>
      </c>
      <c r="W932">
        <v>1.19</v>
      </c>
      <c r="X932">
        <v>0</v>
      </c>
      <c r="Y932">
        <v>0</v>
      </c>
      <c r="Z932">
        <v>24.99</v>
      </c>
      <c r="AA932" t="s">
        <v>2704</v>
      </c>
      <c r="AB932" t="s">
        <v>45</v>
      </c>
      <c r="AC932" t="s">
        <v>46</v>
      </c>
      <c r="AD932" t="s">
        <v>2556</v>
      </c>
      <c r="AE932" t="s">
        <v>2557</v>
      </c>
      <c r="AF932" t="s">
        <v>3737</v>
      </c>
      <c r="AG932" t="s">
        <v>46</v>
      </c>
      <c r="AH932" t="s">
        <v>3477</v>
      </c>
      <c r="AI932" t="s">
        <v>37</v>
      </c>
    </row>
    <row r="933" spans="1:35" x14ac:dyDescent="0.25">
      <c r="A933" t="s">
        <v>3738</v>
      </c>
      <c r="B933" t="s">
        <v>34</v>
      </c>
      <c r="C933" t="s">
        <v>3739</v>
      </c>
      <c r="D933" t="s">
        <v>3740</v>
      </c>
      <c r="E933" t="s">
        <v>3741</v>
      </c>
      <c r="F933" t="s">
        <v>3742</v>
      </c>
      <c r="G933" t="s">
        <v>2601</v>
      </c>
      <c r="H933" t="s">
        <v>40</v>
      </c>
      <c r="I933" t="s">
        <v>41</v>
      </c>
      <c r="J933" t="s">
        <v>37</v>
      </c>
      <c r="K933" t="s">
        <v>37</v>
      </c>
      <c r="L933" t="s">
        <v>42</v>
      </c>
      <c r="M933" s="6">
        <v>46101.893020833333</v>
      </c>
      <c r="N933" t="s">
        <v>4265</v>
      </c>
      <c r="O933" s="1">
        <v>46102.291666666664</v>
      </c>
      <c r="P933" s="1">
        <v>46101.893020833333</v>
      </c>
      <c r="Q933" t="s">
        <v>4265</v>
      </c>
      <c r="R933" s="6">
        <v>46102.711805555555</v>
      </c>
      <c r="S933" t="s">
        <v>43</v>
      </c>
      <c r="T933">
        <v>24.99</v>
      </c>
      <c r="U933">
        <v>0</v>
      </c>
      <c r="V933">
        <v>23.8</v>
      </c>
      <c r="W933">
        <v>1.19</v>
      </c>
      <c r="X933">
        <v>0</v>
      </c>
      <c r="Y933">
        <v>0</v>
      </c>
      <c r="Z933">
        <v>24.99</v>
      </c>
      <c r="AA933" t="s">
        <v>2704</v>
      </c>
      <c r="AB933" t="s">
        <v>45</v>
      </c>
      <c r="AC933" t="s">
        <v>46</v>
      </c>
      <c r="AD933" t="s">
        <v>2556</v>
      </c>
      <c r="AE933" t="s">
        <v>2557</v>
      </c>
      <c r="AF933" t="s">
        <v>3743</v>
      </c>
      <c r="AG933" t="s">
        <v>46</v>
      </c>
      <c r="AH933" t="s">
        <v>3739</v>
      </c>
      <c r="AI933" t="s">
        <v>37</v>
      </c>
    </row>
    <row r="934" spans="1:35" x14ac:dyDescent="0.25">
      <c r="A934" t="s">
        <v>3744</v>
      </c>
      <c r="B934" t="s">
        <v>34</v>
      </c>
      <c r="C934" t="s">
        <v>3745</v>
      </c>
      <c r="D934" t="s">
        <v>3746</v>
      </c>
      <c r="E934" t="s">
        <v>3747</v>
      </c>
      <c r="F934" t="s">
        <v>3748</v>
      </c>
      <c r="G934" t="s">
        <v>39</v>
      </c>
      <c r="H934" t="s">
        <v>40</v>
      </c>
      <c r="I934" t="s">
        <v>41</v>
      </c>
      <c r="J934" t="s">
        <v>37</v>
      </c>
      <c r="K934" t="s">
        <v>37</v>
      </c>
      <c r="L934" t="s">
        <v>42</v>
      </c>
      <c r="M934" s="6">
        <v>46102.002430555556</v>
      </c>
      <c r="N934" t="s">
        <v>4265</v>
      </c>
      <c r="O934" s="1">
        <v>46102.416666666664</v>
      </c>
      <c r="P934" s="1">
        <v>46102.002569444441</v>
      </c>
      <c r="Q934" t="s">
        <v>4265</v>
      </c>
      <c r="R934" s="6">
        <v>46102.690972222219</v>
      </c>
      <c r="S934" t="s">
        <v>43</v>
      </c>
      <c r="T934">
        <v>24.99</v>
      </c>
      <c r="U934">
        <v>0</v>
      </c>
      <c r="V934">
        <v>23.8</v>
      </c>
      <c r="W934">
        <v>1.19</v>
      </c>
      <c r="X934">
        <v>0</v>
      </c>
      <c r="Y934">
        <v>0</v>
      </c>
      <c r="Z934">
        <v>24.99</v>
      </c>
      <c r="AA934" t="s">
        <v>2704</v>
      </c>
      <c r="AB934" t="s">
        <v>45</v>
      </c>
      <c r="AC934" t="s">
        <v>46</v>
      </c>
      <c r="AD934" t="s">
        <v>2556</v>
      </c>
      <c r="AE934" t="s">
        <v>2557</v>
      </c>
      <c r="AF934" t="s">
        <v>3749</v>
      </c>
      <c r="AG934" t="s">
        <v>46</v>
      </c>
      <c r="AH934" t="s">
        <v>3745</v>
      </c>
      <c r="AI934" t="s">
        <v>37</v>
      </c>
    </row>
    <row r="935" spans="1:35" x14ac:dyDescent="0.25">
      <c r="A935" t="s">
        <v>3750</v>
      </c>
      <c r="B935" t="s">
        <v>34</v>
      </c>
      <c r="C935" t="s">
        <v>3751</v>
      </c>
      <c r="D935" t="s">
        <v>3752</v>
      </c>
      <c r="E935" t="s">
        <v>3753</v>
      </c>
      <c r="F935" t="s">
        <v>3754</v>
      </c>
      <c r="G935" t="s">
        <v>39</v>
      </c>
      <c r="H935" t="s">
        <v>40</v>
      </c>
      <c r="I935" t="s">
        <v>41</v>
      </c>
      <c r="J935" t="s">
        <v>37</v>
      </c>
      <c r="K935" t="s">
        <v>37</v>
      </c>
      <c r="L935" t="s">
        <v>42</v>
      </c>
      <c r="M935" s="6">
        <v>46102.27684027778</v>
      </c>
      <c r="N935" t="s">
        <v>4265</v>
      </c>
      <c r="O935" s="1">
        <v>46102.333333333336</v>
      </c>
      <c r="P935" s="1">
        <v>46102.277233796296</v>
      </c>
      <c r="Q935" t="s">
        <v>4265</v>
      </c>
      <c r="R935" s="6">
        <v>46102.711805555555</v>
      </c>
      <c r="S935" t="s">
        <v>43</v>
      </c>
      <c r="T935">
        <v>24.99</v>
      </c>
      <c r="U935">
        <v>0</v>
      </c>
      <c r="V935">
        <v>23.8</v>
      </c>
      <c r="W935">
        <v>1.19</v>
      </c>
      <c r="X935">
        <v>0</v>
      </c>
      <c r="Y935">
        <v>0</v>
      </c>
      <c r="Z935">
        <v>24.99</v>
      </c>
      <c r="AA935" t="s">
        <v>2704</v>
      </c>
      <c r="AB935" t="s">
        <v>45</v>
      </c>
      <c r="AC935" t="s">
        <v>46</v>
      </c>
      <c r="AD935" t="s">
        <v>2556</v>
      </c>
      <c r="AE935" t="s">
        <v>2557</v>
      </c>
      <c r="AF935" t="s">
        <v>3755</v>
      </c>
      <c r="AG935" t="s">
        <v>46</v>
      </c>
      <c r="AH935" t="s">
        <v>3751</v>
      </c>
      <c r="AI935" t="s">
        <v>37</v>
      </c>
    </row>
    <row r="936" spans="1:35" x14ac:dyDescent="0.25">
      <c r="A936" t="s">
        <v>3756</v>
      </c>
      <c r="B936" t="s">
        <v>34</v>
      </c>
      <c r="C936" t="s">
        <v>3757</v>
      </c>
      <c r="D936" t="s">
        <v>3758</v>
      </c>
      <c r="E936" t="s">
        <v>3759</v>
      </c>
      <c r="F936" t="s">
        <v>3760</v>
      </c>
      <c r="G936" t="s">
        <v>39</v>
      </c>
      <c r="H936" t="s">
        <v>40</v>
      </c>
      <c r="I936" t="s">
        <v>41</v>
      </c>
      <c r="J936" t="s">
        <v>37</v>
      </c>
      <c r="K936" t="s">
        <v>37</v>
      </c>
      <c r="L936" t="s">
        <v>42</v>
      </c>
      <c r="M936" s="6">
        <v>46102.283252314817</v>
      </c>
      <c r="N936" t="s">
        <v>4265</v>
      </c>
      <c r="O936" s="1">
        <v>46102.364583333336</v>
      </c>
      <c r="P936" s="1">
        <v>46102.283252314817</v>
      </c>
      <c r="Q936" t="s">
        <v>4265</v>
      </c>
      <c r="R936" s="6">
        <v>46102.409722222219</v>
      </c>
      <c r="S936" t="s">
        <v>43</v>
      </c>
      <c r="T936">
        <v>24.99</v>
      </c>
      <c r="U936">
        <v>0</v>
      </c>
      <c r="V936">
        <v>23.8</v>
      </c>
      <c r="W936">
        <v>1.19</v>
      </c>
      <c r="X936">
        <v>0</v>
      </c>
      <c r="Y936">
        <v>0</v>
      </c>
      <c r="Z936">
        <v>24.99</v>
      </c>
      <c r="AA936" t="s">
        <v>2704</v>
      </c>
      <c r="AB936" t="s">
        <v>45</v>
      </c>
      <c r="AC936" t="s">
        <v>46</v>
      </c>
      <c r="AD936" t="s">
        <v>2556</v>
      </c>
      <c r="AE936" t="s">
        <v>2557</v>
      </c>
      <c r="AF936" t="s">
        <v>3761</v>
      </c>
      <c r="AG936" t="s">
        <v>46</v>
      </c>
      <c r="AH936" t="s">
        <v>3757</v>
      </c>
      <c r="AI936" t="s">
        <v>37</v>
      </c>
    </row>
    <row r="937" spans="1:35" x14ac:dyDescent="0.25">
      <c r="A937" t="s">
        <v>3762</v>
      </c>
      <c r="B937" t="s">
        <v>34</v>
      </c>
      <c r="C937" t="s">
        <v>3763</v>
      </c>
      <c r="D937" t="s">
        <v>3764</v>
      </c>
      <c r="E937" t="s">
        <v>3765</v>
      </c>
      <c r="F937" t="s">
        <v>3766</v>
      </c>
      <c r="G937" t="s">
        <v>39</v>
      </c>
      <c r="H937" t="s">
        <v>40</v>
      </c>
      <c r="I937" t="s">
        <v>41</v>
      </c>
      <c r="J937" t="s">
        <v>37</v>
      </c>
      <c r="K937" t="s">
        <v>37</v>
      </c>
      <c r="L937" t="s">
        <v>42</v>
      </c>
      <c r="M937" s="6">
        <v>46102.338831018518</v>
      </c>
      <c r="N937" t="s">
        <v>4265</v>
      </c>
      <c r="O937" s="1">
        <v>46102.427083333336</v>
      </c>
      <c r="P937" s="1">
        <v>46102.338831018518</v>
      </c>
      <c r="Q937" t="s">
        <v>4265</v>
      </c>
      <c r="R937" s="6">
        <v>46102.472222222219</v>
      </c>
      <c r="S937" t="s">
        <v>43</v>
      </c>
      <c r="T937">
        <v>24.99</v>
      </c>
      <c r="U937">
        <v>0</v>
      </c>
      <c r="V937">
        <v>23.8</v>
      </c>
      <c r="W937">
        <v>1.19</v>
      </c>
      <c r="X937">
        <v>0</v>
      </c>
      <c r="Y937">
        <v>0</v>
      </c>
      <c r="Z937">
        <v>24.99</v>
      </c>
      <c r="AA937" t="s">
        <v>2704</v>
      </c>
      <c r="AB937" t="s">
        <v>45</v>
      </c>
      <c r="AC937" t="s">
        <v>46</v>
      </c>
      <c r="AD937" t="s">
        <v>2556</v>
      </c>
      <c r="AE937" t="s">
        <v>2557</v>
      </c>
      <c r="AF937" t="s">
        <v>3767</v>
      </c>
      <c r="AG937" t="s">
        <v>46</v>
      </c>
      <c r="AH937" t="s">
        <v>3763</v>
      </c>
      <c r="AI937" t="s">
        <v>37</v>
      </c>
    </row>
    <row r="938" spans="1:35" x14ac:dyDescent="0.25">
      <c r="A938" t="s">
        <v>3768</v>
      </c>
      <c r="B938" t="s">
        <v>34</v>
      </c>
      <c r="C938" t="s">
        <v>3769</v>
      </c>
      <c r="D938" t="s">
        <v>3770</v>
      </c>
      <c r="E938" t="s">
        <v>3771</v>
      </c>
      <c r="F938" t="s">
        <v>3772</v>
      </c>
      <c r="G938" t="s">
        <v>39</v>
      </c>
      <c r="H938" t="s">
        <v>40</v>
      </c>
      <c r="I938" t="s">
        <v>41</v>
      </c>
      <c r="J938" t="s">
        <v>37</v>
      </c>
      <c r="K938" t="s">
        <v>37</v>
      </c>
      <c r="L938" t="s">
        <v>42</v>
      </c>
      <c r="M938" s="6">
        <v>46102.431643518517</v>
      </c>
      <c r="N938" t="s">
        <v>4265</v>
      </c>
      <c r="O938" s="1">
        <v>46102.4375</v>
      </c>
      <c r="P938" s="1">
        <v>46102.431863425925</v>
      </c>
      <c r="Q938" t="s">
        <v>4265</v>
      </c>
      <c r="R938" s="6">
        <v>46102.670138888891</v>
      </c>
      <c r="S938" t="s">
        <v>43</v>
      </c>
      <c r="T938">
        <v>24.99</v>
      </c>
      <c r="U938">
        <v>0</v>
      </c>
      <c r="V938">
        <v>23.8</v>
      </c>
      <c r="W938">
        <v>1.19</v>
      </c>
      <c r="X938">
        <v>0</v>
      </c>
      <c r="Y938">
        <v>0</v>
      </c>
      <c r="Z938">
        <v>24.99</v>
      </c>
      <c r="AA938" t="s">
        <v>2704</v>
      </c>
      <c r="AB938" t="s">
        <v>45</v>
      </c>
      <c r="AC938" t="s">
        <v>46</v>
      </c>
      <c r="AD938" t="s">
        <v>2556</v>
      </c>
      <c r="AE938" t="s">
        <v>2557</v>
      </c>
      <c r="AF938" t="s">
        <v>3773</v>
      </c>
      <c r="AG938" t="s">
        <v>46</v>
      </c>
      <c r="AH938" t="s">
        <v>3769</v>
      </c>
      <c r="AI938" t="s">
        <v>37</v>
      </c>
    </row>
    <row r="939" spans="1:35" x14ac:dyDescent="0.25">
      <c r="A939" t="s">
        <v>3774</v>
      </c>
      <c r="B939" t="s">
        <v>34</v>
      </c>
      <c r="C939" t="s">
        <v>3775</v>
      </c>
      <c r="D939" t="s">
        <v>3776</v>
      </c>
      <c r="E939" t="s">
        <v>3777</v>
      </c>
      <c r="F939" t="s">
        <v>3778</v>
      </c>
      <c r="G939" t="s">
        <v>39</v>
      </c>
      <c r="H939" t="s">
        <v>40</v>
      </c>
      <c r="I939" t="s">
        <v>41</v>
      </c>
      <c r="J939" t="s">
        <v>37</v>
      </c>
      <c r="K939" t="s">
        <v>37</v>
      </c>
      <c r="L939" t="s">
        <v>42</v>
      </c>
      <c r="M939" s="6">
        <v>46102.701192129629</v>
      </c>
      <c r="N939" t="s">
        <v>4266</v>
      </c>
      <c r="O939" s="1">
        <v>46103.354166666664</v>
      </c>
      <c r="P939" s="1">
        <v>46102.702349537038</v>
      </c>
      <c r="Q939" t="s">
        <v>4266</v>
      </c>
      <c r="R939" s="6">
        <v>46103.690972222219</v>
      </c>
      <c r="S939" t="s">
        <v>43</v>
      </c>
      <c r="T939">
        <v>24.99</v>
      </c>
      <c r="U939">
        <v>0</v>
      </c>
      <c r="V939">
        <v>23.8</v>
      </c>
      <c r="W939">
        <v>1.19</v>
      </c>
      <c r="X939">
        <v>0</v>
      </c>
      <c r="Y939">
        <v>0</v>
      </c>
      <c r="Z939">
        <v>24.99</v>
      </c>
      <c r="AA939" t="s">
        <v>2704</v>
      </c>
      <c r="AB939" t="s">
        <v>45</v>
      </c>
      <c r="AC939" t="s">
        <v>46</v>
      </c>
      <c r="AD939" t="s">
        <v>2556</v>
      </c>
      <c r="AE939" t="s">
        <v>2557</v>
      </c>
      <c r="AF939" t="s">
        <v>3779</v>
      </c>
      <c r="AG939" t="s">
        <v>46</v>
      </c>
      <c r="AH939" t="s">
        <v>3775</v>
      </c>
      <c r="AI939" t="s">
        <v>37</v>
      </c>
    </row>
    <row r="940" spans="1:35" x14ac:dyDescent="0.25">
      <c r="A940" t="s">
        <v>3780</v>
      </c>
      <c r="B940" t="s">
        <v>34</v>
      </c>
      <c r="C940" t="s">
        <v>3781</v>
      </c>
      <c r="D940" t="s">
        <v>3782</v>
      </c>
      <c r="E940" t="s">
        <v>3783</v>
      </c>
      <c r="F940" t="s">
        <v>3784</v>
      </c>
      <c r="G940" t="s">
        <v>39</v>
      </c>
      <c r="H940" t="s">
        <v>40</v>
      </c>
      <c r="I940" t="s">
        <v>41</v>
      </c>
      <c r="J940" t="s">
        <v>37</v>
      </c>
      <c r="K940" t="s">
        <v>37</v>
      </c>
      <c r="L940" t="s">
        <v>42</v>
      </c>
      <c r="M940" s="6">
        <v>46102.732060185182</v>
      </c>
      <c r="N940" t="s">
        <v>4266</v>
      </c>
      <c r="O940" s="1">
        <v>46103.333333333336</v>
      </c>
      <c r="P940" s="1">
        <v>46102.732638888891</v>
      </c>
      <c r="Q940" t="s">
        <v>4266</v>
      </c>
      <c r="R940" s="6">
        <v>46103.670138888891</v>
      </c>
      <c r="S940" t="s">
        <v>43</v>
      </c>
      <c r="T940">
        <v>24.99</v>
      </c>
      <c r="U940">
        <v>0</v>
      </c>
      <c r="V940">
        <v>23.8</v>
      </c>
      <c r="W940">
        <v>1.19</v>
      </c>
      <c r="X940">
        <v>0</v>
      </c>
      <c r="Y940">
        <v>0</v>
      </c>
      <c r="Z940">
        <v>24.99</v>
      </c>
      <c r="AA940" t="s">
        <v>2704</v>
      </c>
      <c r="AB940" t="s">
        <v>45</v>
      </c>
      <c r="AC940" t="s">
        <v>46</v>
      </c>
      <c r="AD940" t="s">
        <v>2556</v>
      </c>
      <c r="AE940" t="s">
        <v>2557</v>
      </c>
      <c r="AF940" t="s">
        <v>3785</v>
      </c>
      <c r="AG940" t="s">
        <v>46</v>
      </c>
      <c r="AH940" t="s">
        <v>3781</v>
      </c>
      <c r="AI940" t="s">
        <v>37</v>
      </c>
    </row>
    <row r="941" spans="1:35" x14ac:dyDescent="0.25">
      <c r="A941" t="s">
        <v>3786</v>
      </c>
      <c r="B941" t="s">
        <v>34</v>
      </c>
      <c r="C941" t="s">
        <v>3787</v>
      </c>
      <c r="D941" t="s">
        <v>3788</v>
      </c>
      <c r="E941" t="s">
        <v>3789</v>
      </c>
      <c r="F941" t="s">
        <v>3790</v>
      </c>
      <c r="G941" t="s">
        <v>39</v>
      </c>
      <c r="H941" t="s">
        <v>40</v>
      </c>
      <c r="I941" t="s">
        <v>41</v>
      </c>
      <c r="J941" t="s">
        <v>37</v>
      </c>
      <c r="K941" t="s">
        <v>37</v>
      </c>
      <c r="L941" t="s">
        <v>42</v>
      </c>
      <c r="M941" s="6">
        <v>46104.888437499998</v>
      </c>
      <c r="N941" t="s">
        <v>4265</v>
      </c>
      <c r="O941" s="1">
        <v>46109.333333333336</v>
      </c>
      <c r="P941" s="1">
        <v>46104.888738425929</v>
      </c>
      <c r="Q941" t="s">
        <v>4265</v>
      </c>
      <c r="R941" s="6">
        <v>46109.711805555555</v>
      </c>
      <c r="S941" t="s">
        <v>43</v>
      </c>
      <c r="T941">
        <v>24.99</v>
      </c>
      <c r="U941">
        <v>0</v>
      </c>
      <c r="V941">
        <v>23.8</v>
      </c>
      <c r="W941">
        <v>1.19</v>
      </c>
      <c r="X941">
        <v>0</v>
      </c>
      <c r="Y941">
        <v>0</v>
      </c>
      <c r="Z941">
        <v>24.99</v>
      </c>
      <c r="AA941" t="s">
        <v>2704</v>
      </c>
      <c r="AB941" t="s">
        <v>45</v>
      </c>
      <c r="AC941" t="s">
        <v>46</v>
      </c>
      <c r="AD941" t="s">
        <v>2556</v>
      </c>
      <c r="AE941" t="s">
        <v>2557</v>
      </c>
      <c r="AF941" t="s">
        <v>3791</v>
      </c>
      <c r="AG941" t="s">
        <v>46</v>
      </c>
      <c r="AH941" t="s">
        <v>3787</v>
      </c>
      <c r="AI941" t="s">
        <v>37</v>
      </c>
    </row>
    <row r="942" spans="1:35" x14ac:dyDescent="0.25">
      <c r="A942" t="s">
        <v>3792</v>
      </c>
      <c r="B942" t="s">
        <v>34</v>
      </c>
      <c r="C942" t="s">
        <v>3787</v>
      </c>
      <c r="D942" t="s">
        <v>3788</v>
      </c>
      <c r="E942" t="s">
        <v>3789</v>
      </c>
      <c r="F942" t="s">
        <v>3790</v>
      </c>
      <c r="G942" t="s">
        <v>39</v>
      </c>
      <c r="H942" t="s">
        <v>40</v>
      </c>
      <c r="I942" t="s">
        <v>41</v>
      </c>
      <c r="J942" t="s">
        <v>37</v>
      </c>
      <c r="K942" t="s">
        <v>37</v>
      </c>
      <c r="L942" t="s">
        <v>42</v>
      </c>
      <c r="M942" s="6">
        <v>46104.890717592592</v>
      </c>
      <c r="N942" t="s">
        <v>4266</v>
      </c>
      <c r="O942" s="1">
        <v>46110.333333333336</v>
      </c>
      <c r="P942" s="1">
        <v>46104.891053240739</v>
      </c>
      <c r="Q942" t="s">
        <v>4266</v>
      </c>
      <c r="R942" s="6">
        <v>46110.711805555555</v>
      </c>
      <c r="S942" t="s">
        <v>43</v>
      </c>
      <c r="T942">
        <v>24.99</v>
      </c>
      <c r="U942">
        <v>0</v>
      </c>
      <c r="V942">
        <v>23.8</v>
      </c>
      <c r="W942">
        <v>1.19</v>
      </c>
      <c r="X942">
        <v>0</v>
      </c>
      <c r="Y942">
        <v>0</v>
      </c>
      <c r="Z942">
        <v>24.99</v>
      </c>
      <c r="AA942" t="s">
        <v>2704</v>
      </c>
      <c r="AB942" t="s">
        <v>45</v>
      </c>
      <c r="AC942" t="s">
        <v>46</v>
      </c>
      <c r="AD942" t="s">
        <v>2556</v>
      </c>
      <c r="AE942" t="s">
        <v>2557</v>
      </c>
      <c r="AF942" t="s">
        <v>3793</v>
      </c>
      <c r="AG942" t="s">
        <v>46</v>
      </c>
      <c r="AH942" t="s">
        <v>3787</v>
      </c>
      <c r="AI942" t="s">
        <v>37</v>
      </c>
    </row>
    <row r="943" spans="1:35" x14ac:dyDescent="0.25">
      <c r="A943" t="s">
        <v>3794</v>
      </c>
      <c r="B943" t="s">
        <v>34</v>
      </c>
      <c r="C943" t="s">
        <v>531</v>
      </c>
      <c r="D943" t="s">
        <v>532</v>
      </c>
      <c r="E943" t="s">
        <v>37</v>
      </c>
      <c r="F943" t="s">
        <v>533</v>
      </c>
      <c r="G943" t="s">
        <v>39</v>
      </c>
      <c r="H943" t="s">
        <v>40</v>
      </c>
      <c r="I943" t="s">
        <v>41</v>
      </c>
      <c r="J943" t="s">
        <v>37</v>
      </c>
      <c r="K943" t="s">
        <v>37</v>
      </c>
      <c r="L943" t="s">
        <v>42</v>
      </c>
      <c r="M943" s="6">
        <v>46105.857997685183</v>
      </c>
      <c r="N943" t="s">
        <v>4268</v>
      </c>
      <c r="O943" s="1">
        <v>46108.333333333336</v>
      </c>
      <c r="P943" s="1">
        <v>46105.858483796299</v>
      </c>
      <c r="Q943" t="s">
        <v>4268</v>
      </c>
      <c r="R943" s="6">
        <v>46108.711805555555</v>
      </c>
      <c r="S943" t="s">
        <v>43</v>
      </c>
      <c r="T943">
        <v>24.99</v>
      </c>
      <c r="U943">
        <v>0</v>
      </c>
      <c r="V943">
        <v>23.8</v>
      </c>
      <c r="W943">
        <v>1.19</v>
      </c>
      <c r="X943">
        <v>0</v>
      </c>
      <c r="Y943">
        <v>0</v>
      </c>
      <c r="Z943">
        <v>24.99</v>
      </c>
      <c r="AA943" t="s">
        <v>2704</v>
      </c>
      <c r="AB943" t="s">
        <v>45</v>
      </c>
      <c r="AC943" t="s">
        <v>46</v>
      </c>
      <c r="AD943" t="s">
        <v>2556</v>
      </c>
      <c r="AE943" t="s">
        <v>2557</v>
      </c>
      <c r="AF943" t="s">
        <v>3795</v>
      </c>
      <c r="AG943" t="s">
        <v>46</v>
      </c>
      <c r="AH943" t="s">
        <v>531</v>
      </c>
      <c r="AI943" t="s">
        <v>37</v>
      </c>
    </row>
    <row r="944" spans="1:35" x14ac:dyDescent="0.25">
      <c r="A944" t="s">
        <v>3796</v>
      </c>
      <c r="B944" t="s">
        <v>34</v>
      </c>
      <c r="C944" t="s">
        <v>531</v>
      </c>
      <c r="D944" t="s">
        <v>532</v>
      </c>
      <c r="E944" t="s">
        <v>37</v>
      </c>
      <c r="F944" t="s">
        <v>533</v>
      </c>
      <c r="G944" t="s">
        <v>39</v>
      </c>
      <c r="H944" t="s">
        <v>40</v>
      </c>
      <c r="I944" t="s">
        <v>41</v>
      </c>
      <c r="J944" t="s">
        <v>37</v>
      </c>
      <c r="K944" t="s">
        <v>37</v>
      </c>
      <c r="L944" t="s">
        <v>42</v>
      </c>
      <c r="M944" s="6">
        <v>46105.8590625</v>
      </c>
      <c r="N944" t="s">
        <v>4265</v>
      </c>
      <c r="O944" s="1">
        <v>46109.333333333336</v>
      </c>
      <c r="P944" s="1">
        <v>46105.8596875</v>
      </c>
      <c r="Q944" t="s">
        <v>4265</v>
      </c>
      <c r="R944" s="6">
        <v>46109.711805555555</v>
      </c>
      <c r="S944" t="s">
        <v>43</v>
      </c>
      <c r="T944">
        <v>24.99</v>
      </c>
      <c r="U944">
        <v>0</v>
      </c>
      <c r="V944">
        <v>23.8</v>
      </c>
      <c r="W944">
        <v>1.19</v>
      </c>
      <c r="X944">
        <v>0</v>
      </c>
      <c r="Y944">
        <v>0</v>
      </c>
      <c r="Z944">
        <v>24.99</v>
      </c>
      <c r="AA944" t="s">
        <v>2704</v>
      </c>
      <c r="AB944" t="s">
        <v>45</v>
      </c>
      <c r="AC944" t="s">
        <v>46</v>
      </c>
      <c r="AD944" t="s">
        <v>2556</v>
      </c>
      <c r="AE944" t="s">
        <v>2557</v>
      </c>
      <c r="AF944" t="s">
        <v>3797</v>
      </c>
      <c r="AG944" t="s">
        <v>46</v>
      </c>
      <c r="AH944" t="s">
        <v>531</v>
      </c>
      <c r="AI944" t="s">
        <v>37</v>
      </c>
    </row>
    <row r="945" spans="1:35" x14ac:dyDescent="0.25">
      <c r="A945" t="s">
        <v>3798</v>
      </c>
      <c r="B945" t="s">
        <v>34</v>
      </c>
      <c r="C945" t="s">
        <v>3799</v>
      </c>
      <c r="D945" t="s">
        <v>3800</v>
      </c>
      <c r="E945" t="s">
        <v>3801</v>
      </c>
      <c r="F945" t="s">
        <v>3802</v>
      </c>
      <c r="G945" t="s">
        <v>2601</v>
      </c>
      <c r="H945" t="s">
        <v>40</v>
      </c>
      <c r="I945" t="s">
        <v>41</v>
      </c>
      <c r="J945" t="s">
        <v>37</v>
      </c>
      <c r="K945" t="s">
        <v>37</v>
      </c>
      <c r="L945" t="s">
        <v>42</v>
      </c>
      <c r="M945" s="6">
        <v>46105.950069444443</v>
      </c>
      <c r="N945" t="s">
        <v>4266</v>
      </c>
      <c r="O945" s="1">
        <v>46110.375</v>
      </c>
      <c r="P945" s="1">
        <v>46105.950543981482</v>
      </c>
      <c r="Q945" t="s">
        <v>4266</v>
      </c>
      <c r="R945" s="6">
        <v>46110.565972222219</v>
      </c>
      <c r="S945" t="s">
        <v>43</v>
      </c>
      <c r="T945">
        <v>24.99</v>
      </c>
      <c r="U945">
        <v>0</v>
      </c>
      <c r="V945">
        <v>23.8</v>
      </c>
      <c r="W945">
        <v>1.19</v>
      </c>
      <c r="X945">
        <v>0</v>
      </c>
      <c r="Y945">
        <v>0</v>
      </c>
      <c r="Z945">
        <v>24.99</v>
      </c>
      <c r="AA945" t="s">
        <v>2704</v>
      </c>
      <c r="AB945" t="s">
        <v>45</v>
      </c>
      <c r="AC945" t="s">
        <v>46</v>
      </c>
      <c r="AD945" t="s">
        <v>2556</v>
      </c>
      <c r="AE945" t="s">
        <v>2557</v>
      </c>
      <c r="AF945" t="s">
        <v>3803</v>
      </c>
      <c r="AG945" t="s">
        <v>46</v>
      </c>
      <c r="AH945" t="s">
        <v>3799</v>
      </c>
      <c r="AI945" t="s">
        <v>37</v>
      </c>
    </row>
    <row r="946" spans="1:35" x14ac:dyDescent="0.25">
      <c r="A946" t="s">
        <v>3804</v>
      </c>
      <c r="B946" t="s">
        <v>34</v>
      </c>
      <c r="C946" t="s">
        <v>3799</v>
      </c>
      <c r="D946" t="s">
        <v>3800</v>
      </c>
      <c r="E946" t="s">
        <v>3801</v>
      </c>
      <c r="F946" t="s">
        <v>3802</v>
      </c>
      <c r="G946" t="s">
        <v>2601</v>
      </c>
      <c r="H946" t="s">
        <v>40</v>
      </c>
      <c r="I946" t="s">
        <v>41</v>
      </c>
      <c r="J946" t="s">
        <v>37</v>
      </c>
      <c r="K946" t="s">
        <v>37</v>
      </c>
      <c r="L946" t="s">
        <v>42</v>
      </c>
      <c r="M946" s="6">
        <v>46105.952534722222</v>
      </c>
      <c r="N946" t="s">
        <v>4265</v>
      </c>
      <c r="O946" s="1">
        <v>46109.354166666664</v>
      </c>
      <c r="P946" s="1">
        <v>46105.952534722222</v>
      </c>
      <c r="Q946" t="s">
        <v>4265</v>
      </c>
      <c r="R946" s="6">
        <v>46109.732638888891</v>
      </c>
      <c r="S946" t="s">
        <v>43</v>
      </c>
      <c r="T946">
        <v>24.99</v>
      </c>
      <c r="U946">
        <v>0</v>
      </c>
      <c r="V946">
        <v>23.8</v>
      </c>
      <c r="W946">
        <v>1.19</v>
      </c>
      <c r="X946">
        <v>0</v>
      </c>
      <c r="Y946">
        <v>0</v>
      </c>
      <c r="Z946">
        <v>24.99</v>
      </c>
      <c r="AA946" t="s">
        <v>2704</v>
      </c>
      <c r="AB946" t="s">
        <v>45</v>
      </c>
      <c r="AC946" t="s">
        <v>46</v>
      </c>
      <c r="AD946" t="s">
        <v>2556</v>
      </c>
      <c r="AE946" t="s">
        <v>2557</v>
      </c>
      <c r="AF946" t="s">
        <v>3805</v>
      </c>
      <c r="AG946" t="s">
        <v>46</v>
      </c>
      <c r="AH946" t="s">
        <v>3799</v>
      </c>
      <c r="AI946" t="s">
        <v>37</v>
      </c>
    </row>
    <row r="947" spans="1:35" x14ac:dyDescent="0.25">
      <c r="A947" t="s">
        <v>3806</v>
      </c>
      <c r="B947" t="s">
        <v>34</v>
      </c>
      <c r="C947" t="s">
        <v>3807</v>
      </c>
      <c r="D947" t="s">
        <v>3808</v>
      </c>
      <c r="E947" t="s">
        <v>3809</v>
      </c>
      <c r="F947" t="s">
        <v>3810</v>
      </c>
      <c r="G947" t="s">
        <v>39</v>
      </c>
      <c r="H947" t="s">
        <v>40</v>
      </c>
      <c r="I947" t="s">
        <v>41</v>
      </c>
      <c r="J947" t="s">
        <v>37</v>
      </c>
      <c r="K947" t="s">
        <v>37</v>
      </c>
      <c r="L947" t="s">
        <v>42</v>
      </c>
      <c r="M947" s="6">
        <v>46106.838159722225</v>
      </c>
      <c r="N947" t="s">
        <v>4265</v>
      </c>
      <c r="O947" s="1">
        <v>46109.375</v>
      </c>
      <c r="P947" s="1">
        <v>46106.838530092595</v>
      </c>
      <c r="Q947" t="s">
        <v>4265</v>
      </c>
      <c r="R947" s="6">
        <v>46109.711805555555</v>
      </c>
      <c r="S947" t="s">
        <v>43</v>
      </c>
      <c r="T947">
        <v>24.99</v>
      </c>
      <c r="U947">
        <v>0</v>
      </c>
      <c r="V947">
        <v>23.8</v>
      </c>
      <c r="W947">
        <v>1.19</v>
      </c>
      <c r="X947">
        <v>0</v>
      </c>
      <c r="Y947">
        <v>0</v>
      </c>
      <c r="Z947">
        <v>24.99</v>
      </c>
      <c r="AA947" t="s">
        <v>2704</v>
      </c>
      <c r="AB947" t="s">
        <v>45</v>
      </c>
      <c r="AC947" t="s">
        <v>46</v>
      </c>
      <c r="AD947" t="s">
        <v>2556</v>
      </c>
      <c r="AE947" t="s">
        <v>2557</v>
      </c>
      <c r="AF947" t="s">
        <v>3811</v>
      </c>
      <c r="AG947" t="s">
        <v>46</v>
      </c>
      <c r="AH947" t="s">
        <v>3807</v>
      </c>
      <c r="AI947" t="s">
        <v>37</v>
      </c>
    </row>
    <row r="948" spans="1:35" x14ac:dyDescent="0.25">
      <c r="A948" t="s">
        <v>3812</v>
      </c>
      <c r="B948" t="s">
        <v>34</v>
      </c>
      <c r="C948" t="s">
        <v>3807</v>
      </c>
      <c r="D948" t="s">
        <v>3808</v>
      </c>
      <c r="E948" t="s">
        <v>3809</v>
      </c>
      <c r="F948" t="s">
        <v>3810</v>
      </c>
      <c r="G948" t="s">
        <v>39</v>
      </c>
      <c r="H948" t="s">
        <v>40</v>
      </c>
      <c r="I948" t="s">
        <v>41</v>
      </c>
      <c r="J948" t="s">
        <v>37</v>
      </c>
      <c r="K948" t="s">
        <v>37</v>
      </c>
      <c r="L948" t="s">
        <v>42</v>
      </c>
      <c r="M948" s="6">
        <v>46106.839641203704</v>
      </c>
      <c r="N948" t="s">
        <v>4266</v>
      </c>
      <c r="O948" s="1">
        <v>46110.375</v>
      </c>
      <c r="P948" s="1">
        <v>46106.839641203704</v>
      </c>
      <c r="Q948" t="s">
        <v>4266</v>
      </c>
      <c r="R948" s="6">
        <v>46110.711805555555</v>
      </c>
      <c r="S948" t="s">
        <v>43</v>
      </c>
      <c r="T948">
        <v>24.99</v>
      </c>
      <c r="U948">
        <v>0</v>
      </c>
      <c r="V948">
        <v>23.8</v>
      </c>
      <c r="W948">
        <v>1.19</v>
      </c>
      <c r="X948">
        <v>0</v>
      </c>
      <c r="Y948">
        <v>0</v>
      </c>
      <c r="Z948">
        <v>24.99</v>
      </c>
      <c r="AA948" t="s">
        <v>2704</v>
      </c>
      <c r="AB948" t="s">
        <v>45</v>
      </c>
      <c r="AC948" t="s">
        <v>46</v>
      </c>
      <c r="AD948" t="s">
        <v>2556</v>
      </c>
      <c r="AE948" t="s">
        <v>2557</v>
      </c>
      <c r="AF948" t="s">
        <v>3813</v>
      </c>
      <c r="AG948" t="s">
        <v>46</v>
      </c>
      <c r="AH948" t="s">
        <v>3807</v>
      </c>
      <c r="AI948" t="s">
        <v>37</v>
      </c>
    </row>
    <row r="949" spans="1:35" x14ac:dyDescent="0.25">
      <c r="A949" t="s">
        <v>3814</v>
      </c>
      <c r="B949" t="s">
        <v>34</v>
      </c>
      <c r="C949" t="s">
        <v>3815</v>
      </c>
      <c r="D949" t="s">
        <v>3816</v>
      </c>
      <c r="E949" t="s">
        <v>3817</v>
      </c>
      <c r="F949" t="s">
        <v>3818</v>
      </c>
      <c r="G949" t="s">
        <v>39</v>
      </c>
      <c r="H949" t="s">
        <v>40</v>
      </c>
      <c r="I949" t="s">
        <v>41</v>
      </c>
      <c r="J949" t="s">
        <v>37</v>
      </c>
      <c r="K949" t="s">
        <v>37</v>
      </c>
      <c r="L949" t="s">
        <v>42</v>
      </c>
      <c r="M949" s="6">
        <v>46107.634236111109</v>
      </c>
      <c r="N949" t="s">
        <v>4265</v>
      </c>
      <c r="O949" s="1">
        <v>46109.416666666664</v>
      </c>
      <c r="P949" s="1">
        <v>46107.634942129633</v>
      </c>
      <c r="Q949" t="s">
        <v>4265</v>
      </c>
      <c r="R949" s="6">
        <v>46109.722222222219</v>
      </c>
      <c r="S949" t="s">
        <v>43</v>
      </c>
      <c r="T949">
        <v>24.99</v>
      </c>
      <c r="U949">
        <v>0</v>
      </c>
      <c r="V949">
        <v>23.8</v>
      </c>
      <c r="W949">
        <v>1.19</v>
      </c>
      <c r="X949">
        <v>0</v>
      </c>
      <c r="Y949">
        <v>0</v>
      </c>
      <c r="Z949">
        <v>24.99</v>
      </c>
      <c r="AA949" t="s">
        <v>2704</v>
      </c>
      <c r="AB949" t="s">
        <v>45</v>
      </c>
      <c r="AC949" t="s">
        <v>46</v>
      </c>
      <c r="AD949" t="s">
        <v>2556</v>
      </c>
      <c r="AE949" t="s">
        <v>2557</v>
      </c>
      <c r="AF949" t="s">
        <v>3819</v>
      </c>
      <c r="AG949" t="s">
        <v>46</v>
      </c>
      <c r="AH949" t="s">
        <v>3815</v>
      </c>
      <c r="AI949" t="s">
        <v>37</v>
      </c>
    </row>
    <row r="950" spans="1:35" x14ac:dyDescent="0.25">
      <c r="A950" t="s">
        <v>3820</v>
      </c>
      <c r="B950" t="s">
        <v>34</v>
      </c>
      <c r="C950" t="s">
        <v>3821</v>
      </c>
      <c r="D950" t="s">
        <v>3822</v>
      </c>
      <c r="E950" t="s">
        <v>3823</v>
      </c>
      <c r="F950" t="s">
        <v>3824</v>
      </c>
      <c r="G950" t="s">
        <v>39</v>
      </c>
      <c r="H950" t="s">
        <v>40</v>
      </c>
      <c r="I950" t="s">
        <v>41</v>
      </c>
      <c r="J950" t="s">
        <v>37</v>
      </c>
      <c r="K950" t="s">
        <v>37</v>
      </c>
      <c r="L950" t="s">
        <v>42</v>
      </c>
      <c r="M950" s="6">
        <v>46107.799189814818</v>
      </c>
      <c r="N950" t="s">
        <v>4265</v>
      </c>
      <c r="O950" s="1">
        <v>46109.375</v>
      </c>
      <c r="P950" s="1">
        <v>46107.799189814818</v>
      </c>
      <c r="Q950" t="s">
        <v>4265</v>
      </c>
      <c r="R950" s="6">
        <v>46109.649305555555</v>
      </c>
      <c r="S950" t="s">
        <v>43</v>
      </c>
      <c r="T950">
        <v>24.99</v>
      </c>
      <c r="U950">
        <v>0</v>
      </c>
      <c r="V950">
        <v>23.8</v>
      </c>
      <c r="W950">
        <v>1.19</v>
      </c>
      <c r="X950">
        <v>0</v>
      </c>
      <c r="Y950">
        <v>0</v>
      </c>
      <c r="Z950">
        <v>24.99</v>
      </c>
      <c r="AA950" t="s">
        <v>2704</v>
      </c>
      <c r="AB950" t="s">
        <v>45</v>
      </c>
      <c r="AC950" t="s">
        <v>46</v>
      </c>
      <c r="AD950" t="s">
        <v>2556</v>
      </c>
      <c r="AE950" t="s">
        <v>2557</v>
      </c>
      <c r="AF950" t="s">
        <v>3825</v>
      </c>
      <c r="AG950" t="s">
        <v>46</v>
      </c>
      <c r="AH950" t="s">
        <v>3821</v>
      </c>
      <c r="AI950" t="s">
        <v>37</v>
      </c>
    </row>
    <row r="951" spans="1:35" x14ac:dyDescent="0.25">
      <c r="A951" t="s">
        <v>3826</v>
      </c>
      <c r="B951" t="s">
        <v>34</v>
      </c>
      <c r="C951" t="s">
        <v>107</v>
      </c>
      <c r="D951" t="s">
        <v>108</v>
      </c>
      <c r="E951" t="s">
        <v>37</v>
      </c>
      <c r="F951" t="s">
        <v>109</v>
      </c>
      <c r="G951" t="s">
        <v>39</v>
      </c>
      <c r="H951" t="s">
        <v>40</v>
      </c>
      <c r="I951" t="s">
        <v>41</v>
      </c>
      <c r="J951" t="s">
        <v>37</v>
      </c>
      <c r="K951" t="s">
        <v>37</v>
      </c>
      <c r="L951" t="s">
        <v>42</v>
      </c>
      <c r="M951" s="6">
        <v>46108.351539351854</v>
      </c>
      <c r="N951" t="s">
        <v>4265</v>
      </c>
      <c r="O951" s="1">
        <v>46109.385416666664</v>
      </c>
      <c r="P951" s="1">
        <v>46108.351782407408</v>
      </c>
      <c r="Q951" t="s">
        <v>4265</v>
      </c>
      <c r="R951" s="6">
        <v>46109.711805555555</v>
      </c>
      <c r="S951" t="s">
        <v>43</v>
      </c>
      <c r="T951">
        <v>24.99</v>
      </c>
      <c r="U951">
        <v>0</v>
      </c>
      <c r="V951">
        <v>23.8</v>
      </c>
      <c r="W951">
        <v>1.19</v>
      </c>
      <c r="X951">
        <v>0</v>
      </c>
      <c r="Y951">
        <v>0</v>
      </c>
      <c r="Z951">
        <v>24.99</v>
      </c>
      <c r="AA951" t="s">
        <v>2704</v>
      </c>
      <c r="AB951" t="s">
        <v>45</v>
      </c>
      <c r="AC951" t="s">
        <v>46</v>
      </c>
      <c r="AD951" t="s">
        <v>2556</v>
      </c>
      <c r="AE951" t="s">
        <v>2557</v>
      </c>
      <c r="AF951" t="s">
        <v>3827</v>
      </c>
      <c r="AG951" t="s">
        <v>46</v>
      </c>
      <c r="AH951" t="s">
        <v>107</v>
      </c>
      <c r="AI951" t="s">
        <v>37</v>
      </c>
    </row>
    <row r="952" spans="1:35" x14ac:dyDescent="0.25">
      <c r="A952" t="s">
        <v>3828</v>
      </c>
      <c r="B952" t="s">
        <v>34</v>
      </c>
      <c r="C952" t="s">
        <v>1606</v>
      </c>
      <c r="D952" t="s">
        <v>1607</v>
      </c>
      <c r="E952" t="s">
        <v>37</v>
      </c>
      <c r="F952" t="s">
        <v>1608</v>
      </c>
      <c r="G952" t="s">
        <v>39</v>
      </c>
      <c r="H952" t="s">
        <v>40</v>
      </c>
      <c r="I952" t="s">
        <v>41</v>
      </c>
      <c r="J952" t="s">
        <v>37</v>
      </c>
      <c r="K952" t="s">
        <v>37</v>
      </c>
      <c r="L952" t="s">
        <v>42</v>
      </c>
      <c r="M952" s="6">
        <v>46108.358148148145</v>
      </c>
      <c r="N952" t="s">
        <v>4268</v>
      </c>
      <c r="O952" s="1">
        <v>46108.375</v>
      </c>
      <c r="P952" s="1">
        <v>46108.360729166663</v>
      </c>
      <c r="Q952" t="s">
        <v>4268</v>
      </c>
      <c r="R952" s="6">
        <v>46108.711805555555</v>
      </c>
      <c r="S952" t="s">
        <v>43</v>
      </c>
      <c r="T952">
        <v>24.99</v>
      </c>
      <c r="U952">
        <v>0</v>
      </c>
      <c r="V952">
        <v>23.8</v>
      </c>
      <c r="W952">
        <v>1.19</v>
      </c>
      <c r="X952">
        <v>0</v>
      </c>
      <c r="Y952">
        <v>0</v>
      </c>
      <c r="Z952">
        <v>24.99</v>
      </c>
      <c r="AA952" t="s">
        <v>2704</v>
      </c>
      <c r="AB952" t="s">
        <v>45</v>
      </c>
      <c r="AC952" t="s">
        <v>46</v>
      </c>
      <c r="AD952" t="s">
        <v>2556</v>
      </c>
      <c r="AE952" t="s">
        <v>2557</v>
      </c>
      <c r="AF952" t="s">
        <v>3829</v>
      </c>
      <c r="AG952" t="s">
        <v>46</v>
      </c>
      <c r="AH952" t="s">
        <v>1606</v>
      </c>
      <c r="AI952" t="s">
        <v>37</v>
      </c>
    </row>
    <row r="953" spans="1:35" x14ac:dyDescent="0.25">
      <c r="A953" t="s">
        <v>3830</v>
      </c>
      <c r="B953" t="s">
        <v>34</v>
      </c>
      <c r="C953" t="s">
        <v>3831</v>
      </c>
      <c r="D953" t="s">
        <v>3832</v>
      </c>
      <c r="E953" t="s">
        <v>3833</v>
      </c>
      <c r="F953" t="s">
        <v>3834</v>
      </c>
      <c r="G953" t="s">
        <v>39</v>
      </c>
      <c r="H953" t="s">
        <v>40</v>
      </c>
      <c r="I953" t="s">
        <v>41</v>
      </c>
      <c r="J953" t="s">
        <v>37</v>
      </c>
      <c r="K953" t="s">
        <v>37</v>
      </c>
      <c r="L953" t="s">
        <v>42</v>
      </c>
      <c r="M953" s="6">
        <v>46108.980868055558</v>
      </c>
      <c r="N953" t="s">
        <v>4265</v>
      </c>
      <c r="O953" s="1">
        <v>46109.479166666664</v>
      </c>
      <c r="P953" s="1">
        <v>46108.981053240743</v>
      </c>
      <c r="Q953" t="s">
        <v>4265</v>
      </c>
      <c r="R953" s="6">
        <v>46109.618055555555</v>
      </c>
      <c r="S953" t="s">
        <v>43</v>
      </c>
      <c r="T953">
        <v>24.99</v>
      </c>
      <c r="U953">
        <v>0</v>
      </c>
      <c r="V953">
        <v>23.8</v>
      </c>
      <c r="W953">
        <v>1.19</v>
      </c>
      <c r="X953">
        <v>0</v>
      </c>
      <c r="Y953">
        <v>0</v>
      </c>
      <c r="Z953">
        <v>24.99</v>
      </c>
      <c r="AA953" t="s">
        <v>2704</v>
      </c>
      <c r="AB953" t="s">
        <v>45</v>
      </c>
      <c r="AC953" t="s">
        <v>46</v>
      </c>
      <c r="AD953" t="s">
        <v>2556</v>
      </c>
      <c r="AE953" t="s">
        <v>2557</v>
      </c>
      <c r="AF953" t="s">
        <v>3835</v>
      </c>
      <c r="AG953" t="s">
        <v>46</v>
      </c>
      <c r="AH953" t="s">
        <v>3831</v>
      </c>
      <c r="AI953" t="s">
        <v>37</v>
      </c>
    </row>
    <row r="954" spans="1:35" x14ac:dyDescent="0.25">
      <c r="A954" t="s">
        <v>3836</v>
      </c>
      <c r="B954" t="s">
        <v>34</v>
      </c>
      <c r="C954" t="s">
        <v>3837</v>
      </c>
      <c r="D954" t="s">
        <v>3838</v>
      </c>
      <c r="E954" t="s">
        <v>3839</v>
      </c>
      <c r="F954" t="s">
        <v>3840</v>
      </c>
      <c r="G954" t="s">
        <v>39</v>
      </c>
      <c r="H954" t="s">
        <v>40</v>
      </c>
      <c r="I954" t="s">
        <v>41</v>
      </c>
      <c r="J954" t="s">
        <v>37</v>
      </c>
      <c r="K954" t="s">
        <v>37</v>
      </c>
      <c r="L954" t="s">
        <v>42</v>
      </c>
      <c r="M954" s="6">
        <v>46109.311064814814</v>
      </c>
      <c r="N954" t="s">
        <v>4265</v>
      </c>
      <c r="O954" s="1">
        <v>46109.333333333336</v>
      </c>
      <c r="P954" s="1">
        <v>46109.311076388891</v>
      </c>
      <c r="Q954" t="s">
        <v>4265</v>
      </c>
      <c r="R954" s="6">
        <v>46109.670138888891</v>
      </c>
      <c r="S954" t="s">
        <v>43</v>
      </c>
      <c r="T954">
        <v>24.99</v>
      </c>
      <c r="U954">
        <v>0</v>
      </c>
      <c r="V954">
        <v>23.8</v>
      </c>
      <c r="W954">
        <v>1.19</v>
      </c>
      <c r="X954">
        <v>0</v>
      </c>
      <c r="Y954">
        <v>0</v>
      </c>
      <c r="Z954">
        <v>24.99</v>
      </c>
      <c r="AA954" t="s">
        <v>2704</v>
      </c>
      <c r="AB954" t="s">
        <v>45</v>
      </c>
      <c r="AC954" t="s">
        <v>46</v>
      </c>
      <c r="AD954" t="s">
        <v>2556</v>
      </c>
      <c r="AE954" t="s">
        <v>2557</v>
      </c>
      <c r="AF954" t="s">
        <v>3841</v>
      </c>
      <c r="AG954" t="s">
        <v>46</v>
      </c>
      <c r="AH954" t="s">
        <v>3837</v>
      </c>
      <c r="AI954" t="s">
        <v>37</v>
      </c>
    </row>
    <row r="955" spans="1:35" x14ac:dyDescent="0.25">
      <c r="A955" t="s">
        <v>3842</v>
      </c>
      <c r="B955" t="s">
        <v>34</v>
      </c>
      <c r="C955" t="s">
        <v>3232</v>
      </c>
      <c r="D955" t="s">
        <v>3233</v>
      </c>
      <c r="E955" t="s">
        <v>3234</v>
      </c>
      <c r="F955" t="s">
        <v>3235</v>
      </c>
      <c r="G955" t="s">
        <v>2601</v>
      </c>
      <c r="H955" t="s">
        <v>40</v>
      </c>
      <c r="I955" t="s">
        <v>41</v>
      </c>
      <c r="J955" t="s">
        <v>37</v>
      </c>
      <c r="K955" t="s">
        <v>37</v>
      </c>
      <c r="L955" t="s">
        <v>42</v>
      </c>
      <c r="M955" s="6">
        <v>46109.340960648151</v>
      </c>
      <c r="N955" t="s">
        <v>4265</v>
      </c>
      <c r="O955" s="1">
        <v>46109.375</v>
      </c>
      <c r="P955" s="1">
        <v>46109.341273148151</v>
      </c>
      <c r="Q955" t="s">
        <v>4265</v>
      </c>
      <c r="R955" s="6">
        <v>46109.670138888891</v>
      </c>
      <c r="S955" t="s">
        <v>43</v>
      </c>
      <c r="T955">
        <v>24.99</v>
      </c>
      <c r="U955">
        <v>0</v>
      </c>
      <c r="V955">
        <v>23.8</v>
      </c>
      <c r="W955">
        <v>1.19</v>
      </c>
      <c r="X955">
        <v>0</v>
      </c>
      <c r="Y955">
        <v>0</v>
      </c>
      <c r="Z955">
        <v>24.99</v>
      </c>
      <c r="AA955" t="s">
        <v>2704</v>
      </c>
      <c r="AB955" t="s">
        <v>45</v>
      </c>
      <c r="AC955" t="s">
        <v>46</v>
      </c>
      <c r="AD955" t="s">
        <v>2556</v>
      </c>
      <c r="AE955" t="s">
        <v>2557</v>
      </c>
      <c r="AF955" t="s">
        <v>3843</v>
      </c>
      <c r="AG955" t="s">
        <v>46</v>
      </c>
      <c r="AH955" t="s">
        <v>3232</v>
      </c>
      <c r="AI955" t="s">
        <v>37</v>
      </c>
    </row>
    <row r="956" spans="1:35" x14ac:dyDescent="0.25">
      <c r="A956" t="s">
        <v>3844</v>
      </c>
      <c r="B956" t="s">
        <v>34</v>
      </c>
      <c r="C956" t="s">
        <v>3845</v>
      </c>
      <c r="D956" t="s">
        <v>3846</v>
      </c>
      <c r="E956" t="s">
        <v>3847</v>
      </c>
      <c r="F956" t="s">
        <v>3848</v>
      </c>
      <c r="G956" t="s">
        <v>39</v>
      </c>
      <c r="H956" t="s">
        <v>40</v>
      </c>
      <c r="I956" t="s">
        <v>41</v>
      </c>
      <c r="J956" t="s">
        <v>37</v>
      </c>
      <c r="K956" t="s">
        <v>37</v>
      </c>
      <c r="L956" t="s">
        <v>42</v>
      </c>
      <c r="M956" s="6">
        <v>46109.383946759262</v>
      </c>
      <c r="N956" t="s">
        <v>4265</v>
      </c>
      <c r="O956" s="1">
        <v>46109.395833333336</v>
      </c>
      <c r="P956" s="1">
        <v>46109.384571759256</v>
      </c>
      <c r="Q956" t="s">
        <v>4265</v>
      </c>
      <c r="R956" s="6">
        <v>46109.722222222219</v>
      </c>
      <c r="S956" t="s">
        <v>43</v>
      </c>
      <c r="T956">
        <v>24.99</v>
      </c>
      <c r="U956">
        <v>0</v>
      </c>
      <c r="V956">
        <v>23.8</v>
      </c>
      <c r="W956">
        <v>1.19</v>
      </c>
      <c r="X956">
        <v>0</v>
      </c>
      <c r="Y956">
        <v>0</v>
      </c>
      <c r="Z956">
        <v>24.99</v>
      </c>
      <c r="AA956" t="s">
        <v>2704</v>
      </c>
      <c r="AB956" t="s">
        <v>45</v>
      </c>
      <c r="AC956" t="s">
        <v>46</v>
      </c>
      <c r="AD956" t="s">
        <v>2556</v>
      </c>
      <c r="AE956" t="s">
        <v>2557</v>
      </c>
      <c r="AF956" t="s">
        <v>3849</v>
      </c>
      <c r="AG956" t="s">
        <v>46</v>
      </c>
      <c r="AH956" t="s">
        <v>3845</v>
      </c>
      <c r="AI956" t="s">
        <v>37</v>
      </c>
    </row>
    <row r="957" spans="1:35" x14ac:dyDescent="0.25">
      <c r="A957" t="s">
        <v>3850</v>
      </c>
      <c r="B957" t="s">
        <v>34</v>
      </c>
      <c r="C957" t="s">
        <v>3851</v>
      </c>
      <c r="D957" t="s">
        <v>3852</v>
      </c>
      <c r="E957" t="s">
        <v>3853</v>
      </c>
      <c r="F957" t="s">
        <v>3854</v>
      </c>
      <c r="G957" t="s">
        <v>39</v>
      </c>
      <c r="H957" t="s">
        <v>40</v>
      </c>
      <c r="I957" t="s">
        <v>41</v>
      </c>
      <c r="J957" t="s">
        <v>37</v>
      </c>
      <c r="K957" t="s">
        <v>37</v>
      </c>
      <c r="L957" t="s">
        <v>42</v>
      </c>
      <c r="M957" s="6">
        <v>46109.50613425926</v>
      </c>
      <c r="N957" t="s">
        <v>4262</v>
      </c>
      <c r="O957" s="1">
        <v>46111.375</v>
      </c>
      <c r="P957" s="1">
        <v>46109.50675925926</v>
      </c>
      <c r="Q957" t="s">
        <v>4262</v>
      </c>
      <c r="R957" s="6">
        <v>46111.701388888891</v>
      </c>
      <c r="S957" t="s">
        <v>43</v>
      </c>
      <c r="T957">
        <v>24.99</v>
      </c>
      <c r="U957">
        <v>0</v>
      </c>
      <c r="V957">
        <v>23.8</v>
      </c>
      <c r="W957">
        <v>1.19</v>
      </c>
      <c r="X957">
        <v>0</v>
      </c>
      <c r="Y957">
        <v>0</v>
      </c>
      <c r="Z957">
        <v>24.99</v>
      </c>
      <c r="AA957" t="s">
        <v>2704</v>
      </c>
      <c r="AB957" t="s">
        <v>45</v>
      </c>
      <c r="AC957" t="s">
        <v>46</v>
      </c>
      <c r="AD957" t="s">
        <v>2556</v>
      </c>
      <c r="AE957" t="s">
        <v>2557</v>
      </c>
      <c r="AF957" t="s">
        <v>3855</v>
      </c>
      <c r="AG957" t="s">
        <v>46</v>
      </c>
      <c r="AH957" t="s">
        <v>3851</v>
      </c>
      <c r="AI957" t="s">
        <v>37</v>
      </c>
    </row>
    <row r="958" spans="1:35" x14ac:dyDescent="0.25">
      <c r="A958" t="s">
        <v>3856</v>
      </c>
      <c r="B958" t="s">
        <v>34</v>
      </c>
      <c r="C958" t="s">
        <v>3851</v>
      </c>
      <c r="D958" t="s">
        <v>3852</v>
      </c>
      <c r="E958" t="s">
        <v>3853</v>
      </c>
      <c r="F958" t="s">
        <v>3854</v>
      </c>
      <c r="G958" t="s">
        <v>39</v>
      </c>
      <c r="H958" t="s">
        <v>40</v>
      </c>
      <c r="I958" t="s">
        <v>41</v>
      </c>
      <c r="J958" t="s">
        <v>37</v>
      </c>
      <c r="K958" t="s">
        <v>37</v>
      </c>
      <c r="L958" t="s">
        <v>42</v>
      </c>
      <c r="M958" s="6">
        <v>46109.507893518516</v>
      </c>
      <c r="N958" t="s">
        <v>4267</v>
      </c>
      <c r="O958" s="1">
        <v>46112.375</v>
      </c>
      <c r="P958" s="1">
        <v>46109.507893518516</v>
      </c>
      <c r="Q958" t="s">
        <v>4267</v>
      </c>
      <c r="R958" s="6">
        <v>46112.420138888891</v>
      </c>
      <c r="S958" t="s">
        <v>43</v>
      </c>
      <c r="T958">
        <v>24.99</v>
      </c>
      <c r="U958">
        <v>0</v>
      </c>
      <c r="V958">
        <v>23.8</v>
      </c>
      <c r="W958">
        <v>1.19</v>
      </c>
      <c r="X958">
        <v>0</v>
      </c>
      <c r="Y958">
        <v>0</v>
      </c>
      <c r="Z958">
        <v>24.99</v>
      </c>
      <c r="AA958" t="s">
        <v>2704</v>
      </c>
      <c r="AB958" t="s">
        <v>45</v>
      </c>
      <c r="AC958" t="s">
        <v>46</v>
      </c>
      <c r="AD958" t="s">
        <v>2556</v>
      </c>
      <c r="AE958" t="s">
        <v>2557</v>
      </c>
      <c r="AF958" t="s">
        <v>3857</v>
      </c>
      <c r="AG958" t="s">
        <v>46</v>
      </c>
      <c r="AH958" t="s">
        <v>3851</v>
      </c>
      <c r="AI958" t="s">
        <v>37</v>
      </c>
    </row>
    <row r="959" spans="1:35" x14ac:dyDescent="0.25">
      <c r="A959" t="s">
        <v>3858</v>
      </c>
      <c r="B959" t="s">
        <v>34</v>
      </c>
      <c r="C959" t="s">
        <v>3859</v>
      </c>
      <c r="D959" t="s">
        <v>3860</v>
      </c>
      <c r="E959" t="s">
        <v>3861</v>
      </c>
      <c r="F959" t="s">
        <v>3862</v>
      </c>
      <c r="G959" t="s">
        <v>39</v>
      </c>
      <c r="H959" t="s">
        <v>40</v>
      </c>
      <c r="I959" t="s">
        <v>41</v>
      </c>
      <c r="J959" t="s">
        <v>37</v>
      </c>
      <c r="K959" t="s">
        <v>37</v>
      </c>
      <c r="L959" t="s">
        <v>42</v>
      </c>
      <c r="M959" s="6">
        <v>46109.516250000001</v>
      </c>
      <c r="N959" t="s">
        <v>4265</v>
      </c>
      <c r="O959" s="1">
        <v>46109.520833333336</v>
      </c>
      <c r="P959" s="1">
        <v>46109.516875000001</v>
      </c>
      <c r="Q959" t="s">
        <v>4265</v>
      </c>
      <c r="R959" s="6">
        <v>46109.670138888891</v>
      </c>
      <c r="S959" t="s">
        <v>43</v>
      </c>
      <c r="T959">
        <v>24.99</v>
      </c>
      <c r="U959">
        <v>0</v>
      </c>
      <c r="V959">
        <v>23.8</v>
      </c>
      <c r="W959">
        <v>1.19</v>
      </c>
      <c r="X959">
        <v>0</v>
      </c>
      <c r="Y959">
        <v>0</v>
      </c>
      <c r="Z959">
        <v>24.99</v>
      </c>
      <c r="AA959" t="s">
        <v>2704</v>
      </c>
      <c r="AB959" t="s">
        <v>45</v>
      </c>
      <c r="AC959" t="s">
        <v>46</v>
      </c>
      <c r="AD959" t="s">
        <v>2556</v>
      </c>
      <c r="AE959" t="s">
        <v>2557</v>
      </c>
      <c r="AF959" t="s">
        <v>3863</v>
      </c>
      <c r="AG959" t="s">
        <v>46</v>
      </c>
      <c r="AH959" t="s">
        <v>3859</v>
      </c>
      <c r="AI959" t="s">
        <v>37</v>
      </c>
    </row>
    <row r="960" spans="1:35" x14ac:dyDescent="0.25">
      <c r="A960" t="s">
        <v>3864</v>
      </c>
      <c r="B960" t="s">
        <v>34</v>
      </c>
      <c r="C960" t="s">
        <v>3865</v>
      </c>
      <c r="D960" t="s">
        <v>3866</v>
      </c>
      <c r="E960" t="s">
        <v>3867</v>
      </c>
      <c r="F960" t="s">
        <v>3868</v>
      </c>
      <c r="G960" t="s">
        <v>39</v>
      </c>
      <c r="H960" t="s">
        <v>40</v>
      </c>
      <c r="I960" t="s">
        <v>41</v>
      </c>
      <c r="J960" t="s">
        <v>37</v>
      </c>
      <c r="K960" t="s">
        <v>37</v>
      </c>
      <c r="L960" t="s">
        <v>42</v>
      </c>
      <c r="M960" s="6">
        <v>46109.906284722223</v>
      </c>
      <c r="N960" t="s">
        <v>4266</v>
      </c>
      <c r="O960" s="1">
        <v>46110.375</v>
      </c>
      <c r="P960" s="1">
        <v>46109.906597222223</v>
      </c>
      <c r="Q960" t="s">
        <v>4266</v>
      </c>
      <c r="R960" s="6">
        <v>46110.670138888891</v>
      </c>
      <c r="S960" t="s">
        <v>43</v>
      </c>
      <c r="T960">
        <v>24.99</v>
      </c>
      <c r="U960">
        <v>0</v>
      </c>
      <c r="V960">
        <v>23.8</v>
      </c>
      <c r="W960">
        <v>1.19</v>
      </c>
      <c r="X960">
        <v>0</v>
      </c>
      <c r="Y960">
        <v>0</v>
      </c>
      <c r="Z960">
        <v>24.99</v>
      </c>
      <c r="AA960" t="s">
        <v>2704</v>
      </c>
      <c r="AB960" t="s">
        <v>45</v>
      </c>
      <c r="AC960" t="s">
        <v>46</v>
      </c>
      <c r="AD960" t="s">
        <v>2556</v>
      </c>
      <c r="AE960" t="s">
        <v>2557</v>
      </c>
      <c r="AF960" t="s">
        <v>3869</v>
      </c>
      <c r="AG960" t="s">
        <v>46</v>
      </c>
      <c r="AH960" t="s">
        <v>3865</v>
      </c>
      <c r="AI960" t="s">
        <v>37</v>
      </c>
    </row>
    <row r="961" spans="1:35" x14ac:dyDescent="0.25">
      <c r="A961" t="s">
        <v>3870</v>
      </c>
      <c r="B961" t="s">
        <v>34</v>
      </c>
      <c r="C961" t="s">
        <v>3831</v>
      </c>
      <c r="D961" t="s">
        <v>3832</v>
      </c>
      <c r="E961" t="s">
        <v>3833</v>
      </c>
      <c r="F961" t="s">
        <v>3834</v>
      </c>
      <c r="G961" t="s">
        <v>39</v>
      </c>
      <c r="H961" t="s">
        <v>40</v>
      </c>
      <c r="I961" t="s">
        <v>41</v>
      </c>
      <c r="J961" t="s">
        <v>37</v>
      </c>
      <c r="K961" t="s">
        <v>37</v>
      </c>
      <c r="L961" t="s">
        <v>42</v>
      </c>
      <c r="M961" s="6">
        <v>46109.937789351854</v>
      </c>
      <c r="N961" t="s">
        <v>4266</v>
      </c>
      <c r="O961" s="1">
        <v>46110.395833333336</v>
      </c>
      <c r="P961" s="1">
        <v>46109.937916666669</v>
      </c>
      <c r="Q961" t="s">
        <v>4266</v>
      </c>
      <c r="R961" s="6">
        <v>46110.701388888891</v>
      </c>
      <c r="S961" t="s">
        <v>43</v>
      </c>
      <c r="T961">
        <v>24.99</v>
      </c>
      <c r="U961">
        <v>0</v>
      </c>
      <c r="V961">
        <v>23.8</v>
      </c>
      <c r="W961">
        <v>1.19</v>
      </c>
      <c r="X961">
        <v>0</v>
      </c>
      <c r="Y961">
        <v>0</v>
      </c>
      <c r="Z961">
        <v>24.99</v>
      </c>
      <c r="AA961" t="s">
        <v>2704</v>
      </c>
      <c r="AB961" t="s">
        <v>45</v>
      </c>
      <c r="AC961" t="s">
        <v>46</v>
      </c>
      <c r="AD961" t="s">
        <v>2556</v>
      </c>
      <c r="AE961" t="s">
        <v>2557</v>
      </c>
      <c r="AF961" t="s">
        <v>3871</v>
      </c>
      <c r="AG961" t="s">
        <v>46</v>
      </c>
      <c r="AH961" t="s">
        <v>3831</v>
      </c>
      <c r="AI961" t="s">
        <v>37</v>
      </c>
    </row>
    <row r="962" spans="1:35" x14ac:dyDescent="0.25">
      <c r="A962" t="s">
        <v>3872</v>
      </c>
      <c r="B962" t="s">
        <v>34</v>
      </c>
      <c r="C962" t="s">
        <v>3873</v>
      </c>
      <c r="D962" t="s">
        <v>3874</v>
      </c>
      <c r="E962" t="s">
        <v>3875</v>
      </c>
      <c r="F962" t="s">
        <v>3876</v>
      </c>
      <c r="G962" t="s">
        <v>39</v>
      </c>
      <c r="H962" t="s">
        <v>40</v>
      </c>
      <c r="I962" t="s">
        <v>41</v>
      </c>
      <c r="J962" t="s">
        <v>37</v>
      </c>
      <c r="K962" t="s">
        <v>37</v>
      </c>
      <c r="L962" t="s">
        <v>42</v>
      </c>
      <c r="M962" s="6">
        <v>46110.317326388889</v>
      </c>
      <c r="N962" t="s">
        <v>4266</v>
      </c>
      <c r="O962" s="1">
        <v>46110.385416666664</v>
      </c>
      <c r="P962" s="1">
        <v>46110.317488425928</v>
      </c>
      <c r="Q962" t="s">
        <v>4266</v>
      </c>
      <c r="R962" s="6">
        <v>46110.690972222219</v>
      </c>
      <c r="S962" t="s">
        <v>43</v>
      </c>
      <c r="T962">
        <v>24.99</v>
      </c>
      <c r="U962">
        <v>0</v>
      </c>
      <c r="V962">
        <v>23.8</v>
      </c>
      <c r="W962">
        <v>1.19</v>
      </c>
      <c r="X962">
        <v>0</v>
      </c>
      <c r="Y962">
        <v>0</v>
      </c>
      <c r="Z962">
        <v>24.99</v>
      </c>
      <c r="AA962" t="s">
        <v>2704</v>
      </c>
      <c r="AB962" t="s">
        <v>45</v>
      </c>
      <c r="AC962" t="s">
        <v>46</v>
      </c>
      <c r="AD962" t="s">
        <v>2556</v>
      </c>
      <c r="AE962" t="s">
        <v>2557</v>
      </c>
      <c r="AF962" t="s">
        <v>3877</v>
      </c>
      <c r="AG962" t="s">
        <v>46</v>
      </c>
      <c r="AH962" t="s">
        <v>3873</v>
      </c>
      <c r="AI962" t="s">
        <v>37</v>
      </c>
    </row>
    <row r="963" spans="1:35" x14ac:dyDescent="0.25">
      <c r="A963" t="s">
        <v>3878</v>
      </c>
      <c r="B963" t="s">
        <v>34</v>
      </c>
      <c r="C963" t="s">
        <v>3845</v>
      </c>
      <c r="D963" t="s">
        <v>3846</v>
      </c>
      <c r="E963" t="s">
        <v>3847</v>
      </c>
      <c r="F963" t="s">
        <v>3848</v>
      </c>
      <c r="G963" t="s">
        <v>39</v>
      </c>
      <c r="H963" t="s">
        <v>40</v>
      </c>
      <c r="I963" t="s">
        <v>41</v>
      </c>
      <c r="J963" t="s">
        <v>37</v>
      </c>
      <c r="K963" t="s">
        <v>37</v>
      </c>
      <c r="L963" t="s">
        <v>42</v>
      </c>
      <c r="M963" s="6">
        <v>46110.339108796295</v>
      </c>
      <c r="N963" t="s">
        <v>4266</v>
      </c>
      <c r="O963" s="1">
        <v>46110.395833333336</v>
      </c>
      <c r="P963" s="1">
        <v>46110.339108796295</v>
      </c>
      <c r="Q963" t="s">
        <v>4266</v>
      </c>
      <c r="R963" s="6">
        <v>46110.753472222219</v>
      </c>
      <c r="S963" t="s">
        <v>43</v>
      </c>
      <c r="T963">
        <v>24.99</v>
      </c>
      <c r="U963">
        <v>0</v>
      </c>
      <c r="V963">
        <v>23.8</v>
      </c>
      <c r="W963">
        <v>1.19</v>
      </c>
      <c r="X963">
        <v>0</v>
      </c>
      <c r="Y963">
        <v>0</v>
      </c>
      <c r="Z963">
        <v>24.99</v>
      </c>
      <c r="AA963" t="s">
        <v>2704</v>
      </c>
      <c r="AB963" t="s">
        <v>45</v>
      </c>
      <c r="AC963" t="s">
        <v>46</v>
      </c>
      <c r="AD963" t="s">
        <v>2556</v>
      </c>
      <c r="AE963" t="s">
        <v>2557</v>
      </c>
      <c r="AF963" t="s">
        <v>3879</v>
      </c>
      <c r="AG963" t="s">
        <v>46</v>
      </c>
      <c r="AH963" t="s">
        <v>3845</v>
      </c>
      <c r="AI963" t="s">
        <v>37</v>
      </c>
    </row>
    <row r="964" spans="1:35" x14ac:dyDescent="0.25">
      <c r="A964" t="s">
        <v>3880</v>
      </c>
      <c r="B964" t="s">
        <v>34</v>
      </c>
      <c r="C964" t="s">
        <v>3881</v>
      </c>
      <c r="D964" t="s">
        <v>3882</v>
      </c>
      <c r="E964" t="s">
        <v>3883</v>
      </c>
      <c r="F964" t="s">
        <v>3884</v>
      </c>
      <c r="G964" t="s">
        <v>39</v>
      </c>
      <c r="H964" t="s">
        <v>40</v>
      </c>
      <c r="I964" t="s">
        <v>41</v>
      </c>
      <c r="J964" t="s">
        <v>37</v>
      </c>
      <c r="K964" t="s">
        <v>37</v>
      </c>
      <c r="L964" t="s">
        <v>42</v>
      </c>
      <c r="M964" s="6">
        <v>46110.352442129632</v>
      </c>
      <c r="N964" t="s">
        <v>4262</v>
      </c>
      <c r="O964" s="1">
        <v>46111.4375</v>
      </c>
      <c r="P964" s="1">
        <v>46110.352442129632</v>
      </c>
      <c r="Q964" t="s">
        <v>4262</v>
      </c>
      <c r="R964" s="6">
        <v>46111.482638888891</v>
      </c>
      <c r="S964" t="s">
        <v>43</v>
      </c>
      <c r="T964">
        <v>24.99</v>
      </c>
      <c r="U964">
        <v>0</v>
      </c>
      <c r="V964">
        <v>23.8</v>
      </c>
      <c r="W964">
        <v>1.19</v>
      </c>
      <c r="X964">
        <v>0</v>
      </c>
      <c r="Y964">
        <v>0</v>
      </c>
      <c r="Z964">
        <v>24.99</v>
      </c>
      <c r="AA964" t="s">
        <v>2704</v>
      </c>
      <c r="AB964" t="s">
        <v>45</v>
      </c>
      <c r="AC964" t="s">
        <v>46</v>
      </c>
      <c r="AD964" t="s">
        <v>2556</v>
      </c>
      <c r="AE964" t="s">
        <v>2557</v>
      </c>
      <c r="AF964" t="s">
        <v>3885</v>
      </c>
      <c r="AG964" t="s">
        <v>46</v>
      </c>
      <c r="AH964" t="s">
        <v>3881</v>
      </c>
      <c r="AI964" t="s">
        <v>37</v>
      </c>
    </row>
    <row r="965" spans="1:35" x14ac:dyDescent="0.25">
      <c r="A965" t="s">
        <v>3886</v>
      </c>
      <c r="B965" t="s">
        <v>34</v>
      </c>
      <c r="C965" t="s">
        <v>3887</v>
      </c>
      <c r="D965" t="s">
        <v>3888</v>
      </c>
      <c r="E965" t="s">
        <v>3889</v>
      </c>
      <c r="F965" t="s">
        <v>3890</v>
      </c>
      <c r="G965" t="s">
        <v>39</v>
      </c>
      <c r="H965" t="s">
        <v>40</v>
      </c>
      <c r="I965" t="s">
        <v>41</v>
      </c>
      <c r="J965" t="s">
        <v>37</v>
      </c>
      <c r="K965" t="s">
        <v>37</v>
      </c>
      <c r="L965" t="s">
        <v>42</v>
      </c>
      <c r="M965" s="6">
        <v>46110.367986111109</v>
      </c>
      <c r="N965" t="s">
        <v>4266</v>
      </c>
      <c r="O965" s="1">
        <v>46110.375</v>
      </c>
      <c r="P965" s="1">
        <v>46110.367997685185</v>
      </c>
      <c r="Q965" t="s">
        <v>4266</v>
      </c>
      <c r="R965" s="6">
        <v>46110.649305555555</v>
      </c>
      <c r="S965" t="s">
        <v>43</v>
      </c>
      <c r="T965">
        <v>24.99</v>
      </c>
      <c r="U965">
        <v>0</v>
      </c>
      <c r="V965">
        <v>23.8</v>
      </c>
      <c r="W965">
        <v>1.19</v>
      </c>
      <c r="X965">
        <v>0</v>
      </c>
      <c r="Y965">
        <v>0</v>
      </c>
      <c r="Z965">
        <v>24.99</v>
      </c>
      <c r="AA965" t="s">
        <v>2704</v>
      </c>
      <c r="AB965" t="s">
        <v>45</v>
      </c>
      <c r="AC965" t="s">
        <v>46</v>
      </c>
      <c r="AD965" t="s">
        <v>2556</v>
      </c>
      <c r="AE965" t="s">
        <v>2557</v>
      </c>
      <c r="AF965" t="s">
        <v>3891</v>
      </c>
      <c r="AG965" t="s">
        <v>46</v>
      </c>
      <c r="AH965" t="s">
        <v>3887</v>
      </c>
      <c r="AI965" t="s">
        <v>37</v>
      </c>
    </row>
    <row r="966" spans="1:35" x14ac:dyDescent="0.25">
      <c r="A966" t="s">
        <v>3892</v>
      </c>
      <c r="B966" t="s">
        <v>34</v>
      </c>
      <c r="C966" t="s">
        <v>3893</v>
      </c>
      <c r="D966" t="s">
        <v>3894</v>
      </c>
      <c r="E966" t="s">
        <v>3895</v>
      </c>
      <c r="F966" t="s">
        <v>1765</v>
      </c>
      <c r="G966" t="s">
        <v>2601</v>
      </c>
      <c r="H966" t="s">
        <v>40</v>
      </c>
      <c r="I966" t="s">
        <v>41</v>
      </c>
      <c r="J966" t="s">
        <v>37</v>
      </c>
      <c r="K966" t="s">
        <v>37</v>
      </c>
      <c r="L966" t="s">
        <v>42</v>
      </c>
      <c r="M966" s="6">
        <v>46110.373715277776</v>
      </c>
      <c r="N966" t="s">
        <v>4266</v>
      </c>
      <c r="O966" s="1">
        <v>46110.416666666664</v>
      </c>
      <c r="P966" s="1">
        <v>46110.374097222222</v>
      </c>
      <c r="Q966" t="s">
        <v>4266</v>
      </c>
      <c r="R966" s="6">
        <v>46110.461805555555</v>
      </c>
      <c r="S966" t="s">
        <v>43</v>
      </c>
      <c r="T966">
        <v>24.99</v>
      </c>
      <c r="U966">
        <v>0</v>
      </c>
      <c r="V966">
        <v>23.8</v>
      </c>
      <c r="W966">
        <v>1.19</v>
      </c>
      <c r="X966">
        <v>0</v>
      </c>
      <c r="Y966">
        <v>0</v>
      </c>
      <c r="Z966">
        <v>24.99</v>
      </c>
      <c r="AA966" t="s">
        <v>2704</v>
      </c>
      <c r="AB966" t="s">
        <v>45</v>
      </c>
      <c r="AC966" t="s">
        <v>46</v>
      </c>
      <c r="AD966" t="s">
        <v>2556</v>
      </c>
      <c r="AE966" t="s">
        <v>2557</v>
      </c>
      <c r="AF966" t="s">
        <v>3896</v>
      </c>
      <c r="AG966" t="s">
        <v>46</v>
      </c>
      <c r="AH966" t="s">
        <v>3893</v>
      </c>
      <c r="AI966" t="s">
        <v>37</v>
      </c>
    </row>
    <row r="967" spans="1:35" x14ac:dyDescent="0.25">
      <c r="A967" t="s">
        <v>3897</v>
      </c>
      <c r="B967" t="s">
        <v>34</v>
      </c>
      <c r="C967" t="s">
        <v>3158</v>
      </c>
      <c r="D967" t="s">
        <v>3159</v>
      </c>
      <c r="E967" t="s">
        <v>3160</v>
      </c>
      <c r="F967" t="s">
        <v>3161</v>
      </c>
      <c r="G967" t="s">
        <v>39</v>
      </c>
      <c r="H967" t="s">
        <v>40</v>
      </c>
      <c r="I967" t="s">
        <v>41</v>
      </c>
      <c r="J967" t="s">
        <v>37</v>
      </c>
      <c r="K967" t="s">
        <v>37</v>
      </c>
      <c r="L967" t="s">
        <v>42</v>
      </c>
      <c r="M967" s="6">
        <v>46110.409756944442</v>
      </c>
      <c r="N967" t="s">
        <v>4266</v>
      </c>
      <c r="O967" s="1">
        <v>46110.416666666664</v>
      </c>
      <c r="P967" s="1">
        <v>46110.409953703704</v>
      </c>
      <c r="Q967" t="s">
        <v>4266</v>
      </c>
      <c r="R967" s="6">
        <v>46110.711805555555</v>
      </c>
      <c r="S967" t="s">
        <v>43</v>
      </c>
      <c r="T967">
        <v>24.99</v>
      </c>
      <c r="U967">
        <v>0</v>
      </c>
      <c r="V967">
        <v>23.8</v>
      </c>
      <c r="W967">
        <v>1.19</v>
      </c>
      <c r="X967">
        <v>0</v>
      </c>
      <c r="Y967">
        <v>0</v>
      </c>
      <c r="Z967">
        <v>24.99</v>
      </c>
      <c r="AA967" t="s">
        <v>2704</v>
      </c>
      <c r="AB967" t="s">
        <v>45</v>
      </c>
      <c r="AC967" t="s">
        <v>46</v>
      </c>
      <c r="AD967" t="s">
        <v>2556</v>
      </c>
      <c r="AE967" t="s">
        <v>2557</v>
      </c>
      <c r="AF967" t="s">
        <v>3898</v>
      </c>
      <c r="AG967" t="s">
        <v>46</v>
      </c>
      <c r="AH967" t="s">
        <v>3158</v>
      </c>
      <c r="AI967" t="s">
        <v>37</v>
      </c>
    </row>
    <row r="968" spans="1:35" x14ac:dyDescent="0.25">
      <c r="A968" t="s">
        <v>3899</v>
      </c>
      <c r="B968" t="s">
        <v>34</v>
      </c>
      <c r="C968" t="s">
        <v>3900</v>
      </c>
      <c r="D968" t="s">
        <v>3901</v>
      </c>
      <c r="E968" t="s">
        <v>3902</v>
      </c>
      <c r="F968" t="s">
        <v>3903</v>
      </c>
      <c r="G968" t="s">
        <v>39</v>
      </c>
      <c r="H968" t="s">
        <v>40</v>
      </c>
      <c r="I968" t="s">
        <v>41</v>
      </c>
      <c r="J968" t="s">
        <v>37</v>
      </c>
      <c r="K968" t="s">
        <v>37</v>
      </c>
      <c r="L968" t="s">
        <v>42</v>
      </c>
      <c r="M968" s="6">
        <v>46110.410624999997</v>
      </c>
      <c r="N968" t="s">
        <v>4266</v>
      </c>
      <c r="O968" s="1">
        <v>46110.416666666664</v>
      </c>
      <c r="P968" s="1">
        <v>46110.411041666666</v>
      </c>
      <c r="Q968" t="s">
        <v>4266</v>
      </c>
      <c r="R968" s="6">
        <v>46110.743055555555</v>
      </c>
      <c r="S968" t="s">
        <v>43</v>
      </c>
      <c r="T968">
        <v>24.99</v>
      </c>
      <c r="U968">
        <v>0</v>
      </c>
      <c r="V968">
        <v>23.8</v>
      </c>
      <c r="W968">
        <v>1.19</v>
      </c>
      <c r="X968">
        <v>0</v>
      </c>
      <c r="Y968">
        <v>0</v>
      </c>
      <c r="Z968">
        <v>24.99</v>
      </c>
      <c r="AA968" t="s">
        <v>2704</v>
      </c>
      <c r="AB968" t="s">
        <v>45</v>
      </c>
      <c r="AC968" t="s">
        <v>46</v>
      </c>
      <c r="AD968" t="s">
        <v>2556</v>
      </c>
      <c r="AE968" t="s">
        <v>2557</v>
      </c>
      <c r="AF968" t="s">
        <v>3904</v>
      </c>
      <c r="AG968" t="s">
        <v>46</v>
      </c>
      <c r="AH968" t="s">
        <v>3900</v>
      </c>
      <c r="AI968" t="s">
        <v>37</v>
      </c>
    </row>
    <row r="969" spans="1:35" x14ac:dyDescent="0.25">
      <c r="A969" t="s">
        <v>3905</v>
      </c>
      <c r="B969" t="s">
        <v>34</v>
      </c>
      <c r="C969" t="s">
        <v>3906</v>
      </c>
      <c r="D969" t="s">
        <v>3907</v>
      </c>
      <c r="E969" t="s">
        <v>3908</v>
      </c>
      <c r="F969" t="s">
        <v>3909</v>
      </c>
      <c r="G969" t="s">
        <v>39</v>
      </c>
      <c r="H969" t="s">
        <v>40</v>
      </c>
      <c r="I969" t="s">
        <v>41</v>
      </c>
      <c r="J969" t="s">
        <v>37</v>
      </c>
      <c r="K969" t="s">
        <v>37</v>
      </c>
      <c r="L969" t="s">
        <v>42</v>
      </c>
      <c r="M969" s="6">
        <v>46110.614131944443</v>
      </c>
      <c r="N969" t="s">
        <v>4265</v>
      </c>
      <c r="O969" s="1">
        <v>46123.395833333336</v>
      </c>
      <c r="P969" s="1">
        <v>46110.614953703705</v>
      </c>
      <c r="Q969" t="s">
        <v>4265</v>
      </c>
      <c r="R969" s="6">
        <v>46123.690972222219</v>
      </c>
      <c r="S969" t="s">
        <v>43</v>
      </c>
      <c r="T969">
        <v>24.99</v>
      </c>
      <c r="U969">
        <v>0</v>
      </c>
      <c r="V969">
        <v>23.8</v>
      </c>
      <c r="W969">
        <v>1.19</v>
      </c>
      <c r="X969">
        <v>0</v>
      </c>
      <c r="Y969">
        <v>0</v>
      </c>
      <c r="Z969">
        <v>24.99</v>
      </c>
      <c r="AA969" t="s">
        <v>2704</v>
      </c>
      <c r="AB969" t="s">
        <v>45</v>
      </c>
      <c r="AC969" t="s">
        <v>46</v>
      </c>
      <c r="AD969" t="s">
        <v>2556</v>
      </c>
      <c r="AE969" t="s">
        <v>2557</v>
      </c>
      <c r="AF969" t="s">
        <v>3910</v>
      </c>
      <c r="AG969" t="s">
        <v>46</v>
      </c>
      <c r="AH969" t="s">
        <v>3906</v>
      </c>
      <c r="AI969" t="s">
        <v>37</v>
      </c>
    </row>
    <row r="970" spans="1:35" x14ac:dyDescent="0.25">
      <c r="A970" t="s">
        <v>3911</v>
      </c>
      <c r="B970" t="s">
        <v>34</v>
      </c>
      <c r="C970" t="s">
        <v>3906</v>
      </c>
      <c r="D970" t="s">
        <v>3907</v>
      </c>
      <c r="E970" t="s">
        <v>3908</v>
      </c>
      <c r="F970" t="s">
        <v>3909</v>
      </c>
      <c r="G970" t="s">
        <v>39</v>
      </c>
      <c r="H970" t="s">
        <v>40</v>
      </c>
      <c r="I970" t="s">
        <v>41</v>
      </c>
      <c r="J970" t="s">
        <v>37</v>
      </c>
      <c r="K970" t="s">
        <v>37</v>
      </c>
      <c r="L970" t="s">
        <v>42</v>
      </c>
      <c r="M970" s="6">
        <v>46110.69222222222</v>
      </c>
      <c r="N970" t="s">
        <v>4268</v>
      </c>
      <c r="O970" s="1">
        <v>46122.395833333336</v>
      </c>
      <c r="P970" s="1">
        <v>46110.692233796297</v>
      </c>
      <c r="Q970" t="s">
        <v>4268</v>
      </c>
      <c r="R970" s="6">
        <v>46122.440972222219</v>
      </c>
      <c r="S970" t="s">
        <v>43</v>
      </c>
      <c r="T970">
        <v>24.99</v>
      </c>
      <c r="U970">
        <v>0</v>
      </c>
      <c r="V970">
        <v>23.8</v>
      </c>
      <c r="W970">
        <v>1.19</v>
      </c>
      <c r="X970">
        <v>0</v>
      </c>
      <c r="Y970">
        <v>0</v>
      </c>
      <c r="Z970">
        <v>24.99</v>
      </c>
      <c r="AA970" t="s">
        <v>2704</v>
      </c>
      <c r="AB970" t="s">
        <v>45</v>
      </c>
      <c r="AC970" t="s">
        <v>46</v>
      </c>
      <c r="AD970" t="s">
        <v>2556</v>
      </c>
      <c r="AE970" t="s">
        <v>2557</v>
      </c>
      <c r="AF970" t="s">
        <v>3912</v>
      </c>
      <c r="AG970" t="s">
        <v>46</v>
      </c>
      <c r="AH970" t="s">
        <v>3906</v>
      </c>
      <c r="AI970" t="s">
        <v>37</v>
      </c>
    </row>
    <row r="971" spans="1:35" x14ac:dyDescent="0.25">
      <c r="A971" t="s">
        <v>3913</v>
      </c>
      <c r="B971" t="s">
        <v>34</v>
      </c>
      <c r="C971" t="s">
        <v>3845</v>
      </c>
      <c r="D971" t="s">
        <v>3846</v>
      </c>
      <c r="E971" t="s">
        <v>3847</v>
      </c>
      <c r="F971" t="s">
        <v>3848</v>
      </c>
      <c r="G971" t="s">
        <v>39</v>
      </c>
      <c r="H971" t="s">
        <v>40</v>
      </c>
      <c r="I971" t="s">
        <v>41</v>
      </c>
      <c r="J971" t="s">
        <v>37</v>
      </c>
      <c r="K971" t="s">
        <v>37</v>
      </c>
      <c r="L971" t="s">
        <v>42</v>
      </c>
      <c r="M971" s="6">
        <v>46110.825335648151</v>
      </c>
      <c r="N971" t="s">
        <v>4262</v>
      </c>
      <c r="O971" s="1">
        <v>46111.375</v>
      </c>
      <c r="P971" s="1">
        <v>46110.825335648151</v>
      </c>
      <c r="Q971" t="s">
        <v>4262</v>
      </c>
      <c r="R971" s="6">
        <v>46111.753472222219</v>
      </c>
      <c r="S971" t="s">
        <v>43</v>
      </c>
      <c r="T971">
        <v>24.99</v>
      </c>
      <c r="U971">
        <v>0</v>
      </c>
      <c r="V971">
        <v>23.8</v>
      </c>
      <c r="W971">
        <v>1.19</v>
      </c>
      <c r="X971">
        <v>0</v>
      </c>
      <c r="Y971">
        <v>0</v>
      </c>
      <c r="Z971">
        <v>24.99</v>
      </c>
      <c r="AA971" t="s">
        <v>2704</v>
      </c>
      <c r="AB971" t="s">
        <v>45</v>
      </c>
      <c r="AC971" t="s">
        <v>46</v>
      </c>
      <c r="AD971" t="s">
        <v>2556</v>
      </c>
      <c r="AE971" t="s">
        <v>2557</v>
      </c>
      <c r="AF971" t="s">
        <v>3914</v>
      </c>
      <c r="AG971" t="s">
        <v>46</v>
      </c>
      <c r="AH971" t="s">
        <v>3845</v>
      </c>
      <c r="AI971" t="s">
        <v>37</v>
      </c>
    </row>
    <row r="972" spans="1:35" x14ac:dyDescent="0.25">
      <c r="A972" t="s">
        <v>3915</v>
      </c>
      <c r="B972" t="s">
        <v>34</v>
      </c>
      <c r="C972" t="s">
        <v>500</v>
      </c>
      <c r="D972" t="s">
        <v>501</v>
      </c>
      <c r="E972" t="s">
        <v>37</v>
      </c>
      <c r="F972" t="s">
        <v>502</v>
      </c>
      <c r="G972" t="s">
        <v>39</v>
      </c>
      <c r="H972" t="s">
        <v>40</v>
      </c>
      <c r="I972" t="s">
        <v>41</v>
      </c>
      <c r="J972" t="s">
        <v>37</v>
      </c>
      <c r="K972" t="s">
        <v>37</v>
      </c>
      <c r="L972" t="s">
        <v>42</v>
      </c>
      <c r="M972" s="6">
        <v>46111.402256944442</v>
      </c>
      <c r="N972" t="s">
        <v>4262</v>
      </c>
      <c r="O972" s="1">
        <v>46111.40625</v>
      </c>
      <c r="P972" s="1">
        <v>46111.40253472222</v>
      </c>
      <c r="Q972" t="s">
        <v>4262</v>
      </c>
      <c r="R972" s="6">
        <v>46111.711805555555</v>
      </c>
      <c r="S972" t="s">
        <v>43</v>
      </c>
      <c r="T972">
        <v>24.99</v>
      </c>
      <c r="U972">
        <v>0</v>
      </c>
      <c r="V972">
        <v>23.8</v>
      </c>
      <c r="W972">
        <v>1.19</v>
      </c>
      <c r="X972">
        <v>0</v>
      </c>
      <c r="Y972">
        <v>0</v>
      </c>
      <c r="Z972">
        <v>24.99</v>
      </c>
      <c r="AA972" t="s">
        <v>2704</v>
      </c>
      <c r="AB972" t="s">
        <v>45</v>
      </c>
      <c r="AC972" t="s">
        <v>46</v>
      </c>
      <c r="AD972" t="s">
        <v>2556</v>
      </c>
      <c r="AE972" t="s">
        <v>2557</v>
      </c>
      <c r="AF972" t="s">
        <v>3916</v>
      </c>
      <c r="AG972" t="s">
        <v>46</v>
      </c>
      <c r="AH972" t="s">
        <v>504</v>
      </c>
      <c r="AI972" t="s">
        <v>37</v>
      </c>
    </row>
    <row r="973" spans="1:35" x14ac:dyDescent="0.25">
      <c r="A973" t="s">
        <v>3917</v>
      </c>
      <c r="B973" t="s">
        <v>34</v>
      </c>
      <c r="C973" t="s">
        <v>3918</v>
      </c>
      <c r="D973" t="s">
        <v>3919</v>
      </c>
      <c r="E973" t="s">
        <v>3920</v>
      </c>
      <c r="F973" t="s">
        <v>3921</v>
      </c>
      <c r="G973" t="s">
        <v>39</v>
      </c>
      <c r="H973" t="s">
        <v>40</v>
      </c>
      <c r="I973" t="s">
        <v>41</v>
      </c>
      <c r="J973" t="s">
        <v>37</v>
      </c>
      <c r="K973" t="s">
        <v>37</v>
      </c>
      <c r="L973" t="s">
        <v>42</v>
      </c>
      <c r="M973" s="6">
        <v>46111.412060185183</v>
      </c>
      <c r="N973" t="s">
        <v>4262</v>
      </c>
      <c r="O973" s="1">
        <v>46111.416666666664</v>
      </c>
      <c r="P973" s="1">
        <v>46111.412256944444</v>
      </c>
      <c r="Q973" t="s">
        <v>4262</v>
      </c>
      <c r="R973" s="6">
        <v>46111.628472222219</v>
      </c>
      <c r="S973" t="s">
        <v>43</v>
      </c>
      <c r="T973">
        <v>24.99</v>
      </c>
      <c r="U973">
        <v>0</v>
      </c>
      <c r="V973">
        <v>23.8</v>
      </c>
      <c r="W973">
        <v>1.19</v>
      </c>
      <c r="X973">
        <v>0</v>
      </c>
      <c r="Y973">
        <v>0</v>
      </c>
      <c r="Z973">
        <v>24.99</v>
      </c>
      <c r="AA973" t="s">
        <v>2704</v>
      </c>
      <c r="AB973" t="s">
        <v>45</v>
      </c>
      <c r="AC973" t="s">
        <v>46</v>
      </c>
      <c r="AD973" t="s">
        <v>2556</v>
      </c>
      <c r="AE973" t="s">
        <v>2557</v>
      </c>
      <c r="AF973" t="s">
        <v>3922</v>
      </c>
      <c r="AG973" t="s">
        <v>46</v>
      </c>
      <c r="AH973" t="s">
        <v>3918</v>
      </c>
      <c r="AI973" t="s">
        <v>37</v>
      </c>
    </row>
    <row r="974" spans="1:35" x14ac:dyDescent="0.25">
      <c r="A974" t="s">
        <v>3923</v>
      </c>
      <c r="B974" t="s">
        <v>34</v>
      </c>
      <c r="C974" t="s">
        <v>3158</v>
      </c>
      <c r="D974" t="s">
        <v>3159</v>
      </c>
      <c r="E974" t="s">
        <v>3160</v>
      </c>
      <c r="F974" t="s">
        <v>3161</v>
      </c>
      <c r="G974" t="s">
        <v>39</v>
      </c>
      <c r="H974" t="s">
        <v>40</v>
      </c>
      <c r="I974" t="s">
        <v>41</v>
      </c>
      <c r="J974" t="s">
        <v>37</v>
      </c>
      <c r="K974" t="s">
        <v>37</v>
      </c>
      <c r="L974" t="s">
        <v>42</v>
      </c>
      <c r="M974" s="6">
        <v>46111.419953703706</v>
      </c>
      <c r="N974" t="s">
        <v>4262</v>
      </c>
      <c r="O974" s="1">
        <v>46111.427083333336</v>
      </c>
      <c r="P974" s="1">
        <v>46111.420104166667</v>
      </c>
      <c r="Q974" t="s">
        <v>4262</v>
      </c>
      <c r="R974" s="6">
        <v>46111.711805555555</v>
      </c>
      <c r="S974" t="s">
        <v>43</v>
      </c>
      <c r="T974">
        <v>24.99</v>
      </c>
      <c r="U974">
        <v>0</v>
      </c>
      <c r="V974">
        <v>23.8</v>
      </c>
      <c r="W974">
        <v>1.19</v>
      </c>
      <c r="X974">
        <v>0</v>
      </c>
      <c r="Y974">
        <v>0</v>
      </c>
      <c r="Z974">
        <v>24.99</v>
      </c>
      <c r="AA974" t="s">
        <v>2704</v>
      </c>
      <c r="AB974" t="s">
        <v>45</v>
      </c>
      <c r="AC974" t="s">
        <v>46</v>
      </c>
      <c r="AD974" t="s">
        <v>2556</v>
      </c>
      <c r="AE974" t="s">
        <v>2557</v>
      </c>
      <c r="AF974" t="s">
        <v>3924</v>
      </c>
      <c r="AG974" t="s">
        <v>46</v>
      </c>
      <c r="AH974" t="s">
        <v>3158</v>
      </c>
      <c r="AI974" t="s">
        <v>37</v>
      </c>
    </row>
    <row r="975" spans="1:35" x14ac:dyDescent="0.25">
      <c r="A975" t="s">
        <v>3925</v>
      </c>
      <c r="B975" t="s">
        <v>34</v>
      </c>
      <c r="C975" t="s">
        <v>3926</v>
      </c>
      <c r="D975" t="s">
        <v>3927</v>
      </c>
      <c r="E975" t="s">
        <v>3928</v>
      </c>
      <c r="F975" t="s">
        <v>3929</v>
      </c>
      <c r="G975" t="s">
        <v>39</v>
      </c>
      <c r="H975" t="s">
        <v>40</v>
      </c>
      <c r="I975" t="s">
        <v>41</v>
      </c>
      <c r="J975" t="s">
        <v>37</v>
      </c>
      <c r="K975" t="s">
        <v>37</v>
      </c>
      <c r="L975" t="s">
        <v>42</v>
      </c>
      <c r="M975" s="6">
        <v>46111.507465277777</v>
      </c>
      <c r="N975" t="s">
        <v>4262</v>
      </c>
      <c r="O975" s="1">
        <v>46111.59375</v>
      </c>
      <c r="P975" s="1">
        <v>46111.507893518516</v>
      </c>
      <c r="Q975" t="s">
        <v>4262</v>
      </c>
      <c r="R975" s="6">
        <v>46111.638888888891</v>
      </c>
      <c r="S975" t="s">
        <v>43</v>
      </c>
      <c r="T975">
        <v>24.99</v>
      </c>
      <c r="U975">
        <v>0</v>
      </c>
      <c r="V975">
        <v>23.8</v>
      </c>
      <c r="W975">
        <v>1.19</v>
      </c>
      <c r="X975">
        <v>0</v>
      </c>
      <c r="Y975">
        <v>0</v>
      </c>
      <c r="Z975">
        <v>24.99</v>
      </c>
      <c r="AA975" t="s">
        <v>2704</v>
      </c>
      <c r="AB975" t="s">
        <v>45</v>
      </c>
      <c r="AC975" t="s">
        <v>46</v>
      </c>
      <c r="AD975" t="s">
        <v>2556</v>
      </c>
      <c r="AE975" t="s">
        <v>2557</v>
      </c>
      <c r="AF975" t="s">
        <v>3930</v>
      </c>
      <c r="AG975" t="s">
        <v>46</v>
      </c>
      <c r="AH975" t="s">
        <v>3926</v>
      </c>
      <c r="AI975" t="s">
        <v>37</v>
      </c>
    </row>
    <row r="976" spans="1:35" x14ac:dyDescent="0.25">
      <c r="A976" t="s">
        <v>3931</v>
      </c>
      <c r="B976" t="s">
        <v>34</v>
      </c>
      <c r="C976" t="s">
        <v>3932</v>
      </c>
      <c r="D976" t="s">
        <v>3933</v>
      </c>
      <c r="E976" t="s">
        <v>3934</v>
      </c>
      <c r="F976" t="s">
        <v>3935</v>
      </c>
      <c r="G976" t="s">
        <v>39</v>
      </c>
      <c r="H976" t="s">
        <v>40</v>
      </c>
      <c r="I976" t="s">
        <v>41</v>
      </c>
      <c r="J976" t="s">
        <v>37</v>
      </c>
      <c r="K976" t="s">
        <v>37</v>
      </c>
      <c r="L976" t="s">
        <v>42</v>
      </c>
      <c r="M976" s="6">
        <v>46111.795138888891</v>
      </c>
      <c r="N976" t="s">
        <v>4267</v>
      </c>
      <c r="O976" s="1">
        <v>46112.375</v>
      </c>
      <c r="P976" s="1">
        <v>46111.795532407406</v>
      </c>
      <c r="Q976" t="s">
        <v>4267</v>
      </c>
      <c r="R976" s="6">
        <v>46112.711805555555</v>
      </c>
      <c r="S976" t="s">
        <v>43</v>
      </c>
      <c r="T976">
        <v>24.99</v>
      </c>
      <c r="U976">
        <v>0</v>
      </c>
      <c r="V976">
        <v>23.8</v>
      </c>
      <c r="W976">
        <v>1.19</v>
      </c>
      <c r="X976">
        <v>0</v>
      </c>
      <c r="Y976">
        <v>0</v>
      </c>
      <c r="Z976">
        <v>24.99</v>
      </c>
      <c r="AA976" t="s">
        <v>2704</v>
      </c>
      <c r="AB976" t="s">
        <v>45</v>
      </c>
      <c r="AC976" t="s">
        <v>46</v>
      </c>
      <c r="AD976" t="s">
        <v>2556</v>
      </c>
      <c r="AE976" t="s">
        <v>2557</v>
      </c>
      <c r="AF976" t="s">
        <v>3936</v>
      </c>
      <c r="AG976" t="s">
        <v>46</v>
      </c>
      <c r="AH976" t="s">
        <v>3932</v>
      </c>
      <c r="AI976" t="s">
        <v>37</v>
      </c>
    </row>
    <row r="977" spans="1:35" x14ac:dyDescent="0.25">
      <c r="A977" t="s">
        <v>3937</v>
      </c>
      <c r="B977" t="s">
        <v>34</v>
      </c>
      <c r="C977" t="s">
        <v>3938</v>
      </c>
      <c r="D977" t="s">
        <v>3939</v>
      </c>
      <c r="E977" t="s">
        <v>3940</v>
      </c>
      <c r="F977" t="s">
        <v>3941</v>
      </c>
      <c r="G977" t="s">
        <v>39</v>
      </c>
      <c r="H977" t="s">
        <v>40</v>
      </c>
      <c r="I977" t="s">
        <v>41</v>
      </c>
      <c r="J977" t="s">
        <v>37</v>
      </c>
      <c r="K977" t="s">
        <v>37</v>
      </c>
      <c r="L977" t="s">
        <v>42</v>
      </c>
      <c r="M977" s="6">
        <v>46111.800173611111</v>
      </c>
      <c r="N977" t="s">
        <v>4267</v>
      </c>
      <c r="O977" s="1">
        <v>46112.354166666664</v>
      </c>
      <c r="P977" s="1">
        <v>46111.800671296296</v>
      </c>
      <c r="Q977" t="s">
        <v>4267</v>
      </c>
      <c r="R977" s="6">
        <v>46112.701388888891</v>
      </c>
      <c r="S977" t="s">
        <v>43</v>
      </c>
      <c r="T977">
        <v>24.99</v>
      </c>
      <c r="U977">
        <v>0</v>
      </c>
      <c r="V977">
        <v>23.8</v>
      </c>
      <c r="W977">
        <v>1.19</v>
      </c>
      <c r="X977">
        <v>0</v>
      </c>
      <c r="Y977">
        <v>0</v>
      </c>
      <c r="Z977">
        <v>24.99</v>
      </c>
      <c r="AA977" t="s">
        <v>2704</v>
      </c>
      <c r="AB977" t="s">
        <v>45</v>
      </c>
      <c r="AC977" t="s">
        <v>46</v>
      </c>
      <c r="AD977" t="s">
        <v>2556</v>
      </c>
      <c r="AE977" t="s">
        <v>2557</v>
      </c>
      <c r="AF977" t="s">
        <v>3942</v>
      </c>
      <c r="AG977" t="s">
        <v>46</v>
      </c>
      <c r="AH977" t="s">
        <v>3938</v>
      </c>
      <c r="AI977" t="s">
        <v>37</v>
      </c>
    </row>
    <row r="978" spans="1:35" x14ac:dyDescent="0.25">
      <c r="A978" t="s">
        <v>3943</v>
      </c>
      <c r="B978" t="s">
        <v>34</v>
      </c>
      <c r="C978" t="s">
        <v>3944</v>
      </c>
      <c r="D978" t="s">
        <v>3945</v>
      </c>
      <c r="E978" t="s">
        <v>3946</v>
      </c>
      <c r="F978" t="s">
        <v>3947</v>
      </c>
      <c r="G978" t="s">
        <v>39</v>
      </c>
      <c r="H978" t="s">
        <v>40</v>
      </c>
      <c r="I978" t="s">
        <v>41</v>
      </c>
      <c r="J978" t="s">
        <v>37</v>
      </c>
      <c r="K978" t="s">
        <v>37</v>
      </c>
      <c r="L978" t="s">
        <v>42</v>
      </c>
      <c r="M978" s="6">
        <v>46111.861504629633</v>
      </c>
      <c r="N978" t="s">
        <v>4268</v>
      </c>
      <c r="O978" s="1">
        <v>46115.333333333336</v>
      </c>
      <c r="P978" s="1">
        <v>46111.863217592596</v>
      </c>
      <c r="Q978" t="s">
        <v>4268</v>
      </c>
      <c r="R978" s="6">
        <v>46115.711805555555</v>
      </c>
      <c r="S978" t="s">
        <v>43</v>
      </c>
      <c r="T978">
        <v>24.99</v>
      </c>
      <c r="U978">
        <v>0</v>
      </c>
      <c r="V978">
        <v>23.8</v>
      </c>
      <c r="W978">
        <v>1.19</v>
      </c>
      <c r="X978">
        <v>0</v>
      </c>
      <c r="Y978">
        <v>0</v>
      </c>
      <c r="Z978">
        <v>24.99</v>
      </c>
      <c r="AA978" t="s">
        <v>2704</v>
      </c>
      <c r="AB978" t="s">
        <v>45</v>
      </c>
      <c r="AC978" t="s">
        <v>46</v>
      </c>
      <c r="AD978" t="s">
        <v>2556</v>
      </c>
      <c r="AE978" t="s">
        <v>2557</v>
      </c>
      <c r="AF978" t="s">
        <v>3948</v>
      </c>
      <c r="AG978" t="s">
        <v>46</v>
      </c>
      <c r="AH978" t="s">
        <v>3944</v>
      </c>
      <c r="AI978" t="s">
        <v>37</v>
      </c>
    </row>
    <row r="979" spans="1:35" x14ac:dyDescent="0.25">
      <c r="A979" t="s">
        <v>3949</v>
      </c>
      <c r="B979" t="s">
        <v>34</v>
      </c>
      <c r="C979" t="s">
        <v>3950</v>
      </c>
      <c r="D979" t="s">
        <v>3951</v>
      </c>
      <c r="E979" t="s">
        <v>3952</v>
      </c>
      <c r="F979" t="s">
        <v>3953</v>
      </c>
      <c r="G979" t="s">
        <v>39</v>
      </c>
      <c r="H979" t="s">
        <v>40</v>
      </c>
      <c r="I979" t="s">
        <v>41</v>
      </c>
      <c r="J979" t="s">
        <v>37</v>
      </c>
      <c r="K979" t="s">
        <v>37</v>
      </c>
      <c r="L979" t="s">
        <v>42</v>
      </c>
      <c r="M979" s="6">
        <v>46111.909189814818</v>
      </c>
      <c r="N979" t="s">
        <v>4264</v>
      </c>
      <c r="O979" s="1">
        <v>46114.375</v>
      </c>
      <c r="P979" s="1">
        <v>46111.909513888888</v>
      </c>
      <c r="Q979" t="s">
        <v>4264</v>
      </c>
      <c r="R979" s="6">
        <v>46114.711805555555</v>
      </c>
      <c r="S979" t="s">
        <v>43</v>
      </c>
      <c r="T979">
        <v>24.99</v>
      </c>
      <c r="U979">
        <v>0</v>
      </c>
      <c r="V979">
        <v>23.8</v>
      </c>
      <c r="W979">
        <v>1.19</v>
      </c>
      <c r="X979">
        <v>0</v>
      </c>
      <c r="Y979">
        <v>0</v>
      </c>
      <c r="Z979">
        <v>24.99</v>
      </c>
      <c r="AA979" t="s">
        <v>2704</v>
      </c>
      <c r="AB979" t="s">
        <v>45</v>
      </c>
      <c r="AC979" t="s">
        <v>46</v>
      </c>
      <c r="AD979" t="s">
        <v>2556</v>
      </c>
      <c r="AE979" t="s">
        <v>2557</v>
      </c>
      <c r="AF979" t="s">
        <v>3954</v>
      </c>
      <c r="AG979" t="s">
        <v>46</v>
      </c>
      <c r="AH979" t="s">
        <v>3950</v>
      </c>
      <c r="AI979" t="s">
        <v>37</v>
      </c>
    </row>
    <row r="980" spans="1:35" x14ac:dyDescent="0.25">
      <c r="A980" t="s">
        <v>3955</v>
      </c>
      <c r="B980" t="s">
        <v>34</v>
      </c>
      <c r="C980" t="s">
        <v>1568</v>
      </c>
      <c r="D980" t="s">
        <v>1569</v>
      </c>
      <c r="E980" t="s">
        <v>37</v>
      </c>
      <c r="F980" t="s">
        <v>1570</v>
      </c>
      <c r="G980" t="s">
        <v>39</v>
      </c>
      <c r="H980" t="s">
        <v>40</v>
      </c>
      <c r="I980" t="s">
        <v>41</v>
      </c>
      <c r="J980" t="s">
        <v>37</v>
      </c>
      <c r="K980" t="s">
        <v>37</v>
      </c>
      <c r="L980" t="s">
        <v>42</v>
      </c>
      <c r="M980" s="6">
        <v>46112.277372685188</v>
      </c>
      <c r="N980" t="s">
        <v>4267</v>
      </c>
      <c r="O980" s="1">
        <v>46112.364583333336</v>
      </c>
      <c r="P980" s="1">
        <v>46112.278437499997</v>
      </c>
      <c r="Q980" t="s">
        <v>4267</v>
      </c>
      <c r="R980" s="6">
        <v>46112.753472222219</v>
      </c>
      <c r="S980" t="s">
        <v>43</v>
      </c>
      <c r="T980">
        <v>24.99</v>
      </c>
      <c r="U980">
        <v>0</v>
      </c>
      <c r="V980">
        <v>23.8</v>
      </c>
      <c r="W980">
        <v>1.19</v>
      </c>
      <c r="X980">
        <v>0</v>
      </c>
      <c r="Y980">
        <v>0</v>
      </c>
      <c r="Z980">
        <v>24.99</v>
      </c>
      <c r="AA980" t="s">
        <v>2704</v>
      </c>
      <c r="AB980" t="s">
        <v>45</v>
      </c>
      <c r="AC980" t="s">
        <v>46</v>
      </c>
      <c r="AD980" t="s">
        <v>2556</v>
      </c>
      <c r="AE980" t="s">
        <v>2557</v>
      </c>
      <c r="AF980" t="s">
        <v>3956</v>
      </c>
      <c r="AG980" t="s">
        <v>46</v>
      </c>
      <c r="AH980" t="s">
        <v>1568</v>
      </c>
      <c r="AI980" t="s">
        <v>37</v>
      </c>
    </row>
    <row r="981" spans="1:35" x14ac:dyDescent="0.25">
      <c r="A981" t="s">
        <v>3957</v>
      </c>
      <c r="B981" t="s">
        <v>34</v>
      </c>
      <c r="C981" t="s">
        <v>3845</v>
      </c>
      <c r="D981" t="s">
        <v>3846</v>
      </c>
      <c r="E981" t="s">
        <v>3847</v>
      </c>
      <c r="F981" t="s">
        <v>3848</v>
      </c>
      <c r="G981" t="s">
        <v>39</v>
      </c>
      <c r="H981" t="s">
        <v>40</v>
      </c>
      <c r="I981" t="s">
        <v>41</v>
      </c>
      <c r="J981" t="s">
        <v>37</v>
      </c>
      <c r="K981" t="s">
        <v>37</v>
      </c>
      <c r="L981" t="s">
        <v>42</v>
      </c>
      <c r="M981" s="6">
        <v>46112.379814814813</v>
      </c>
      <c r="N981" t="s">
        <v>4267</v>
      </c>
      <c r="O981" s="1">
        <v>46112.4375</v>
      </c>
      <c r="P981" s="1">
        <v>46112.379814814813</v>
      </c>
      <c r="Q981" t="s">
        <v>4267</v>
      </c>
      <c r="R981" s="6">
        <v>46112.753472222219</v>
      </c>
      <c r="S981" t="s">
        <v>43</v>
      </c>
      <c r="T981">
        <v>24.99</v>
      </c>
      <c r="U981">
        <v>0</v>
      </c>
      <c r="V981">
        <v>23.8</v>
      </c>
      <c r="W981">
        <v>1.19</v>
      </c>
      <c r="X981">
        <v>0</v>
      </c>
      <c r="Y981">
        <v>0</v>
      </c>
      <c r="Z981">
        <v>24.99</v>
      </c>
      <c r="AA981" t="s">
        <v>2704</v>
      </c>
      <c r="AB981" t="s">
        <v>45</v>
      </c>
      <c r="AC981" t="s">
        <v>46</v>
      </c>
      <c r="AD981" t="s">
        <v>2556</v>
      </c>
      <c r="AE981" t="s">
        <v>2557</v>
      </c>
      <c r="AF981" t="s">
        <v>3958</v>
      </c>
      <c r="AG981" t="s">
        <v>46</v>
      </c>
      <c r="AH981" t="s">
        <v>3845</v>
      </c>
      <c r="AI981" t="s">
        <v>37</v>
      </c>
    </row>
    <row r="982" spans="1:35" x14ac:dyDescent="0.25">
      <c r="A982" t="s">
        <v>3959</v>
      </c>
      <c r="B982" t="s">
        <v>34</v>
      </c>
      <c r="C982" t="s">
        <v>3960</v>
      </c>
      <c r="D982" t="s">
        <v>3961</v>
      </c>
      <c r="E982" t="s">
        <v>3962</v>
      </c>
      <c r="F982" t="s">
        <v>3963</v>
      </c>
      <c r="G982" t="s">
        <v>39</v>
      </c>
      <c r="H982" t="s">
        <v>40</v>
      </c>
      <c r="I982" t="s">
        <v>41</v>
      </c>
      <c r="J982" t="s">
        <v>37</v>
      </c>
      <c r="K982" t="s">
        <v>37</v>
      </c>
      <c r="L982" t="s">
        <v>42</v>
      </c>
      <c r="M982" s="6">
        <v>46112.380474537036</v>
      </c>
      <c r="N982" t="s">
        <v>4267</v>
      </c>
      <c r="O982" s="1">
        <v>46112.40625</v>
      </c>
      <c r="P982" s="1">
        <v>46112.380902777775</v>
      </c>
      <c r="Q982" t="s">
        <v>4267</v>
      </c>
      <c r="R982" s="6">
        <v>46112.690972222219</v>
      </c>
      <c r="S982" t="s">
        <v>43</v>
      </c>
      <c r="T982">
        <v>24.99</v>
      </c>
      <c r="U982">
        <v>0</v>
      </c>
      <c r="V982">
        <v>23.8</v>
      </c>
      <c r="W982">
        <v>1.19</v>
      </c>
      <c r="X982">
        <v>0</v>
      </c>
      <c r="Y982">
        <v>0</v>
      </c>
      <c r="Z982">
        <v>24.99</v>
      </c>
      <c r="AA982" t="s">
        <v>2704</v>
      </c>
      <c r="AB982" t="s">
        <v>45</v>
      </c>
      <c r="AC982" t="s">
        <v>46</v>
      </c>
      <c r="AD982" t="s">
        <v>2556</v>
      </c>
      <c r="AE982" t="s">
        <v>2557</v>
      </c>
      <c r="AF982" t="s">
        <v>3964</v>
      </c>
      <c r="AG982" t="s">
        <v>46</v>
      </c>
      <c r="AH982" t="s">
        <v>3960</v>
      </c>
      <c r="AI982" t="s">
        <v>37</v>
      </c>
    </row>
    <row r="983" spans="1:35" x14ac:dyDescent="0.25">
      <c r="A983" t="s">
        <v>3965</v>
      </c>
      <c r="B983" t="s">
        <v>34</v>
      </c>
      <c r="C983" t="s">
        <v>3966</v>
      </c>
      <c r="D983" t="s">
        <v>3967</v>
      </c>
      <c r="E983" t="s">
        <v>3968</v>
      </c>
      <c r="F983" t="s">
        <v>3969</v>
      </c>
      <c r="G983" t="s">
        <v>39</v>
      </c>
      <c r="H983" t="s">
        <v>40</v>
      </c>
      <c r="I983" t="s">
        <v>41</v>
      </c>
      <c r="J983" t="s">
        <v>37</v>
      </c>
      <c r="K983" t="s">
        <v>37</v>
      </c>
      <c r="L983" t="s">
        <v>42</v>
      </c>
      <c r="M983" s="6">
        <v>46112.580590277779</v>
      </c>
      <c r="N983" t="s">
        <v>4264</v>
      </c>
      <c r="O983" s="1">
        <v>46114.416666666664</v>
      </c>
      <c r="P983" s="1">
        <v>46112.581307870372</v>
      </c>
      <c r="Q983" t="s">
        <v>4264</v>
      </c>
      <c r="R983" s="6">
        <v>46114.711805555555</v>
      </c>
      <c r="S983" t="s">
        <v>43</v>
      </c>
      <c r="T983">
        <v>24.99</v>
      </c>
      <c r="U983">
        <v>0</v>
      </c>
      <c r="V983">
        <v>23.8</v>
      </c>
      <c r="W983">
        <v>1.19</v>
      </c>
      <c r="X983">
        <v>0</v>
      </c>
      <c r="Y983">
        <v>0</v>
      </c>
      <c r="Z983">
        <v>24.99</v>
      </c>
      <c r="AA983" t="s">
        <v>2704</v>
      </c>
      <c r="AB983" t="s">
        <v>45</v>
      </c>
      <c r="AC983" t="s">
        <v>46</v>
      </c>
      <c r="AD983" t="s">
        <v>2556</v>
      </c>
      <c r="AE983" t="s">
        <v>2557</v>
      </c>
      <c r="AF983" t="s">
        <v>3970</v>
      </c>
      <c r="AG983" t="s">
        <v>46</v>
      </c>
      <c r="AH983" t="s">
        <v>3966</v>
      </c>
      <c r="AI983" t="s">
        <v>37</v>
      </c>
    </row>
    <row r="984" spans="1:35" x14ac:dyDescent="0.25">
      <c r="A984" t="s">
        <v>3971</v>
      </c>
      <c r="B984" t="s">
        <v>34</v>
      </c>
      <c r="C984" t="s">
        <v>3972</v>
      </c>
      <c r="D984" t="s">
        <v>3973</v>
      </c>
      <c r="E984" t="s">
        <v>3974</v>
      </c>
      <c r="F984" t="s">
        <v>3975</v>
      </c>
      <c r="G984" t="s">
        <v>39</v>
      </c>
      <c r="H984" t="s">
        <v>40</v>
      </c>
      <c r="I984" t="s">
        <v>41</v>
      </c>
      <c r="J984" t="s">
        <v>37</v>
      </c>
      <c r="K984" t="s">
        <v>37</v>
      </c>
      <c r="L984" t="s">
        <v>42</v>
      </c>
      <c r="M984" s="6">
        <v>46112.647673611114</v>
      </c>
      <c r="N984" t="s">
        <v>4263</v>
      </c>
      <c r="O984" s="1">
        <v>46113.375</v>
      </c>
      <c r="P984" s="1">
        <v>46112.650173611109</v>
      </c>
      <c r="Q984" t="s">
        <v>4263</v>
      </c>
      <c r="R984" s="6">
        <v>46113.711805555555</v>
      </c>
      <c r="S984" t="s">
        <v>43</v>
      </c>
      <c r="T984">
        <v>24.99</v>
      </c>
      <c r="U984">
        <v>0</v>
      </c>
      <c r="V984">
        <v>23.8</v>
      </c>
      <c r="W984">
        <v>1.19</v>
      </c>
      <c r="X984">
        <v>0</v>
      </c>
      <c r="Y984">
        <v>0</v>
      </c>
      <c r="Z984">
        <v>24.99</v>
      </c>
      <c r="AA984" t="s">
        <v>2704</v>
      </c>
      <c r="AB984" t="s">
        <v>45</v>
      </c>
      <c r="AC984" t="s">
        <v>46</v>
      </c>
      <c r="AD984" t="s">
        <v>2556</v>
      </c>
      <c r="AE984" t="s">
        <v>2557</v>
      </c>
      <c r="AF984" t="s">
        <v>3976</v>
      </c>
      <c r="AG984" t="s">
        <v>46</v>
      </c>
      <c r="AH984" t="s">
        <v>3972</v>
      </c>
      <c r="AI984" t="s">
        <v>37</v>
      </c>
    </row>
    <row r="985" spans="1:35" x14ac:dyDescent="0.25">
      <c r="A985" t="s">
        <v>3977</v>
      </c>
      <c r="B985" t="s">
        <v>34</v>
      </c>
      <c r="C985" t="s">
        <v>260</v>
      </c>
      <c r="D985" t="s">
        <v>261</v>
      </c>
      <c r="E985" t="s">
        <v>37</v>
      </c>
      <c r="F985" t="s">
        <v>3978</v>
      </c>
      <c r="G985" t="s">
        <v>39</v>
      </c>
      <c r="H985" t="s">
        <v>40</v>
      </c>
      <c r="I985" t="s">
        <v>41</v>
      </c>
      <c r="J985" t="s">
        <v>37</v>
      </c>
      <c r="K985" t="s">
        <v>37</v>
      </c>
      <c r="L985" t="s">
        <v>42</v>
      </c>
      <c r="M985" s="6">
        <v>46112.726006944446</v>
      </c>
      <c r="N985" t="s">
        <v>4263</v>
      </c>
      <c r="O985" s="1">
        <v>46113.375</v>
      </c>
      <c r="P985" s="1">
        <v>46112.726006944446</v>
      </c>
      <c r="Q985" t="s">
        <v>4263</v>
      </c>
      <c r="R985" s="6">
        <v>46113.670138888891</v>
      </c>
      <c r="S985" t="s">
        <v>43</v>
      </c>
      <c r="T985">
        <v>24.99</v>
      </c>
      <c r="U985">
        <v>0</v>
      </c>
      <c r="V985">
        <v>23.8</v>
      </c>
      <c r="W985">
        <v>1.19</v>
      </c>
      <c r="X985">
        <v>0</v>
      </c>
      <c r="Y985">
        <v>0</v>
      </c>
      <c r="Z985">
        <v>24.99</v>
      </c>
      <c r="AA985" t="s">
        <v>2704</v>
      </c>
      <c r="AB985" t="s">
        <v>45</v>
      </c>
      <c r="AC985" t="s">
        <v>46</v>
      </c>
      <c r="AD985" t="s">
        <v>2556</v>
      </c>
      <c r="AE985" t="s">
        <v>2557</v>
      </c>
      <c r="AF985" t="s">
        <v>3979</v>
      </c>
      <c r="AG985" t="s">
        <v>46</v>
      </c>
      <c r="AH985" t="s">
        <v>263</v>
      </c>
      <c r="AI985" t="s">
        <v>37</v>
      </c>
    </row>
    <row r="986" spans="1:35" x14ac:dyDescent="0.25">
      <c r="A986" t="s">
        <v>3980</v>
      </c>
      <c r="B986" t="s">
        <v>34</v>
      </c>
      <c r="C986" t="s">
        <v>260</v>
      </c>
      <c r="D986" t="s">
        <v>261</v>
      </c>
      <c r="E986" t="s">
        <v>37</v>
      </c>
      <c r="F986" t="s">
        <v>3978</v>
      </c>
      <c r="G986" t="s">
        <v>39</v>
      </c>
      <c r="H986" t="s">
        <v>40</v>
      </c>
      <c r="I986" t="s">
        <v>41</v>
      </c>
      <c r="J986" t="s">
        <v>37</v>
      </c>
      <c r="K986" t="s">
        <v>37</v>
      </c>
      <c r="L986" t="s">
        <v>42</v>
      </c>
      <c r="M986" s="6">
        <v>46112.726585648146</v>
      </c>
      <c r="N986" t="s">
        <v>4264</v>
      </c>
      <c r="O986" s="1">
        <v>46114.375</v>
      </c>
      <c r="P986" s="1">
        <v>46112.726585648146</v>
      </c>
      <c r="Q986" t="s">
        <v>4264</v>
      </c>
      <c r="R986" s="6">
        <v>46114.670138888891</v>
      </c>
      <c r="S986" t="s">
        <v>43</v>
      </c>
      <c r="T986">
        <v>24.99</v>
      </c>
      <c r="U986">
        <v>0</v>
      </c>
      <c r="V986">
        <v>23.8</v>
      </c>
      <c r="W986">
        <v>1.19</v>
      </c>
      <c r="X986">
        <v>0</v>
      </c>
      <c r="Y986">
        <v>0</v>
      </c>
      <c r="Z986">
        <v>24.99</v>
      </c>
      <c r="AA986" t="s">
        <v>2704</v>
      </c>
      <c r="AB986" t="s">
        <v>45</v>
      </c>
      <c r="AC986" t="s">
        <v>46</v>
      </c>
      <c r="AD986" t="s">
        <v>2556</v>
      </c>
      <c r="AE986" t="s">
        <v>2557</v>
      </c>
      <c r="AF986" t="s">
        <v>3981</v>
      </c>
      <c r="AG986" t="s">
        <v>46</v>
      </c>
      <c r="AH986" t="s">
        <v>263</v>
      </c>
      <c r="AI986" t="s">
        <v>37</v>
      </c>
    </row>
    <row r="987" spans="1:35" x14ac:dyDescent="0.25">
      <c r="A987" t="s">
        <v>3982</v>
      </c>
      <c r="B987" t="s">
        <v>34</v>
      </c>
      <c r="C987" t="s">
        <v>3983</v>
      </c>
      <c r="D987" t="s">
        <v>3984</v>
      </c>
      <c r="E987" t="s">
        <v>3985</v>
      </c>
      <c r="F987" t="s">
        <v>3986</v>
      </c>
      <c r="G987" t="s">
        <v>39</v>
      </c>
      <c r="H987" t="s">
        <v>40</v>
      </c>
      <c r="I987" t="s">
        <v>41</v>
      </c>
      <c r="J987" t="s">
        <v>37</v>
      </c>
      <c r="K987" t="s">
        <v>37</v>
      </c>
      <c r="L987" t="s">
        <v>42</v>
      </c>
      <c r="M987" s="6">
        <v>46112.836736111109</v>
      </c>
      <c r="N987" t="s">
        <v>4263</v>
      </c>
      <c r="O987" s="1">
        <v>46113.375</v>
      </c>
      <c r="P987" s="1">
        <v>46112.83697916667</v>
      </c>
      <c r="Q987" t="s">
        <v>4263</v>
      </c>
      <c r="R987" s="6">
        <v>46113.690972222219</v>
      </c>
      <c r="S987" t="s">
        <v>43</v>
      </c>
      <c r="T987">
        <v>24.99</v>
      </c>
      <c r="U987">
        <v>0</v>
      </c>
      <c r="V987">
        <v>23.8</v>
      </c>
      <c r="W987">
        <v>1.19</v>
      </c>
      <c r="X987">
        <v>0</v>
      </c>
      <c r="Y987">
        <v>0</v>
      </c>
      <c r="Z987">
        <v>24.99</v>
      </c>
      <c r="AA987" t="s">
        <v>2704</v>
      </c>
      <c r="AB987" t="s">
        <v>45</v>
      </c>
      <c r="AC987" t="s">
        <v>46</v>
      </c>
      <c r="AD987" t="s">
        <v>2556</v>
      </c>
      <c r="AE987" t="s">
        <v>2557</v>
      </c>
      <c r="AF987" t="s">
        <v>3987</v>
      </c>
      <c r="AG987" t="s">
        <v>46</v>
      </c>
      <c r="AH987" t="s">
        <v>3983</v>
      </c>
      <c r="AI987" t="s">
        <v>37</v>
      </c>
    </row>
    <row r="988" spans="1:35" x14ac:dyDescent="0.25">
      <c r="A988" t="s">
        <v>3988</v>
      </c>
      <c r="B988" t="s">
        <v>34</v>
      </c>
      <c r="C988" t="s">
        <v>3220</v>
      </c>
      <c r="D988" t="s">
        <v>3221</v>
      </c>
      <c r="E988" t="s">
        <v>3222</v>
      </c>
      <c r="F988" t="s">
        <v>3223</v>
      </c>
      <c r="G988" t="s">
        <v>39</v>
      </c>
      <c r="H988" t="s">
        <v>40</v>
      </c>
      <c r="I988" t="s">
        <v>41</v>
      </c>
      <c r="J988" t="s">
        <v>37</v>
      </c>
      <c r="K988" t="s">
        <v>37</v>
      </c>
      <c r="L988" t="s">
        <v>42</v>
      </c>
      <c r="M988" s="6">
        <v>46113.392731481479</v>
      </c>
      <c r="N988" t="s">
        <v>4263</v>
      </c>
      <c r="O988" s="1">
        <v>46113.395833333336</v>
      </c>
      <c r="P988" s="1">
        <v>46113.393020833333</v>
      </c>
      <c r="Q988" t="s">
        <v>4263</v>
      </c>
      <c r="R988" s="6">
        <v>46113.670138888891</v>
      </c>
      <c r="S988" t="s">
        <v>43</v>
      </c>
      <c r="T988">
        <v>24.99</v>
      </c>
      <c r="U988">
        <v>0</v>
      </c>
      <c r="V988">
        <v>23.8</v>
      </c>
      <c r="W988">
        <v>1.19</v>
      </c>
      <c r="X988">
        <v>0</v>
      </c>
      <c r="Y988">
        <v>0</v>
      </c>
      <c r="Z988">
        <v>24.99</v>
      </c>
      <c r="AA988" t="s">
        <v>2704</v>
      </c>
      <c r="AB988" t="s">
        <v>45</v>
      </c>
      <c r="AC988" t="s">
        <v>46</v>
      </c>
      <c r="AD988" t="s">
        <v>2556</v>
      </c>
      <c r="AE988" t="s">
        <v>2557</v>
      </c>
      <c r="AF988" t="s">
        <v>3989</v>
      </c>
      <c r="AG988" t="s">
        <v>46</v>
      </c>
      <c r="AH988" t="s">
        <v>3220</v>
      </c>
      <c r="AI988" t="s">
        <v>37</v>
      </c>
    </row>
    <row r="989" spans="1:35" x14ac:dyDescent="0.25">
      <c r="A989" t="s">
        <v>3990</v>
      </c>
      <c r="B989" t="s">
        <v>34</v>
      </c>
      <c r="C989" t="s">
        <v>3845</v>
      </c>
      <c r="D989" t="s">
        <v>3846</v>
      </c>
      <c r="E989" t="s">
        <v>3847</v>
      </c>
      <c r="F989" t="s">
        <v>3848</v>
      </c>
      <c r="G989" t="s">
        <v>39</v>
      </c>
      <c r="H989" t="s">
        <v>40</v>
      </c>
      <c r="I989" t="s">
        <v>41</v>
      </c>
      <c r="J989" t="s">
        <v>37</v>
      </c>
      <c r="K989" t="s">
        <v>37</v>
      </c>
      <c r="L989" t="s">
        <v>42</v>
      </c>
      <c r="M989" s="6">
        <v>46113.44699074074</v>
      </c>
      <c r="N989" t="s">
        <v>4263</v>
      </c>
      <c r="O989" s="1">
        <v>46113.53125</v>
      </c>
      <c r="P989" s="1">
        <v>46113.44699074074</v>
      </c>
      <c r="Q989" t="s">
        <v>4263</v>
      </c>
      <c r="R989" s="6">
        <v>46113.576388888891</v>
      </c>
      <c r="S989" t="s">
        <v>43</v>
      </c>
      <c r="T989">
        <v>24.99</v>
      </c>
      <c r="U989">
        <v>0</v>
      </c>
      <c r="V989">
        <v>23.8</v>
      </c>
      <c r="W989">
        <v>1.19</v>
      </c>
      <c r="X989">
        <v>0</v>
      </c>
      <c r="Y989">
        <v>0</v>
      </c>
      <c r="Z989">
        <v>24.99</v>
      </c>
      <c r="AA989" t="s">
        <v>2704</v>
      </c>
      <c r="AB989" t="s">
        <v>45</v>
      </c>
      <c r="AC989" t="s">
        <v>46</v>
      </c>
      <c r="AD989" t="s">
        <v>2556</v>
      </c>
      <c r="AE989" t="s">
        <v>2557</v>
      </c>
      <c r="AF989" t="s">
        <v>3991</v>
      </c>
      <c r="AG989" t="s">
        <v>46</v>
      </c>
      <c r="AH989" t="s">
        <v>3845</v>
      </c>
      <c r="AI989" t="s">
        <v>37</v>
      </c>
    </row>
    <row r="990" spans="1:35" x14ac:dyDescent="0.25">
      <c r="A990" t="s">
        <v>3992</v>
      </c>
      <c r="B990" t="s">
        <v>34</v>
      </c>
      <c r="C990" t="s">
        <v>3993</v>
      </c>
      <c r="D990" t="s">
        <v>3994</v>
      </c>
      <c r="E990" t="s">
        <v>3995</v>
      </c>
      <c r="F990" t="s">
        <v>3996</v>
      </c>
      <c r="G990" t="s">
        <v>39</v>
      </c>
      <c r="H990" t="s">
        <v>40</v>
      </c>
      <c r="I990" t="s">
        <v>41</v>
      </c>
      <c r="J990" t="s">
        <v>37</v>
      </c>
      <c r="K990" t="s">
        <v>37</v>
      </c>
      <c r="L990" t="s">
        <v>42</v>
      </c>
      <c r="M990" s="6">
        <v>46113.482071759259</v>
      </c>
      <c r="N990" t="s">
        <v>4263</v>
      </c>
      <c r="O990" s="1">
        <v>46113.486111111109</v>
      </c>
      <c r="P990" s="1">
        <v>46113.48269675926</v>
      </c>
      <c r="Q990" t="s">
        <v>4263</v>
      </c>
      <c r="R990" s="6">
        <v>46113.690972222219</v>
      </c>
      <c r="S990" t="s">
        <v>43</v>
      </c>
      <c r="T990">
        <v>24.99</v>
      </c>
      <c r="U990">
        <v>0</v>
      </c>
      <c r="V990">
        <v>23.8</v>
      </c>
      <c r="W990">
        <v>1.19</v>
      </c>
      <c r="X990">
        <v>0</v>
      </c>
      <c r="Y990">
        <v>0</v>
      </c>
      <c r="Z990">
        <v>24.99</v>
      </c>
      <c r="AA990" t="s">
        <v>2704</v>
      </c>
      <c r="AB990" t="s">
        <v>45</v>
      </c>
      <c r="AC990" t="s">
        <v>46</v>
      </c>
      <c r="AD990" t="s">
        <v>2556</v>
      </c>
      <c r="AE990" t="s">
        <v>2557</v>
      </c>
      <c r="AF990" t="s">
        <v>3997</v>
      </c>
      <c r="AG990" t="s">
        <v>46</v>
      </c>
      <c r="AH990" t="s">
        <v>3993</v>
      </c>
      <c r="AI990" t="s">
        <v>37</v>
      </c>
    </row>
    <row r="991" spans="1:35" x14ac:dyDescent="0.25">
      <c r="A991" t="s">
        <v>3998</v>
      </c>
      <c r="B991" t="s">
        <v>34</v>
      </c>
      <c r="C991" t="s">
        <v>3999</v>
      </c>
      <c r="D991" t="s">
        <v>4000</v>
      </c>
      <c r="E991" t="s">
        <v>4001</v>
      </c>
      <c r="F991" t="s">
        <v>4002</v>
      </c>
      <c r="G991" t="s">
        <v>2601</v>
      </c>
      <c r="H991" t="s">
        <v>40</v>
      </c>
      <c r="I991" t="s">
        <v>41</v>
      </c>
      <c r="J991" t="s">
        <v>37</v>
      </c>
      <c r="K991" t="s">
        <v>37</v>
      </c>
      <c r="L991" t="s">
        <v>42</v>
      </c>
      <c r="M991" s="6">
        <v>46113.668298611112</v>
      </c>
      <c r="N991" t="s">
        <v>4268</v>
      </c>
      <c r="O991" s="1">
        <v>46115.34375</v>
      </c>
      <c r="P991" s="1">
        <v>46113.668402777781</v>
      </c>
      <c r="Q991" t="s">
        <v>4268</v>
      </c>
      <c r="R991" s="6">
        <v>46115.711805555555</v>
      </c>
      <c r="S991" t="s">
        <v>43</v>
      </c>
      <c r="T991">
        <v>24.99</v>
      </c>
      <c r="U991">
        <v>0</v>
      </c>
      <c r="V991">
        <v>23.8</v>
      </c>
      <c r="W991">
        <v>1.19</v>
      </c>
      <c r="X991">
        <v>0</v>
      </c>
      <c r="Y991">
        <v>0</v>
      </c>
      <c r="Z991">
        <v>24.99</v>
      </c>
      <c r="AA991" t="s">
        <v>2704</v>
      </c>
      <c r="AB991" t="s">
        <v>45</v>
      </c>
      <c r="AC991" t="s">
        <v>46</v>
      </c>
      <c r="AD991" t="s">
        <v>2556</v>
      </c>
      <c r="AE991" t="s">
        <v>2557</v>
      </c>
      <c r="AF991" t="s">
        <v>4003</v>
      </c>
      <c r="AG991" t="s">
        <v>46</v>
      </c>
      <c r="AH991" t="s">
        <v>3999</v>
      </c>
      <c r="AI991" t="s">
        <v>37</v>
      </c>
    </row>
    <row r="992" spans="1:35" x14ac:dyDescent="0.25">
      <c r="A992" t="s">
        <v>4004</v>
      </c>
      <c r="B992" t="s">
        <v>34</v>
      </c>
      <c r="C992" t="s">
        <v>1525</v>
      </c>
      <c r="D992" t="s">
        <v>1526</v>
      </c>
      <c r="E992" t="s">
        <v>37</v>
      </c>
      <c r="F992" t="s">
        <v>2549</v>
      </c>
      <c r="G992" t="s">
        <v>39</v>
      </c>
      <c r="H992" t="s">
        <v>40</v>
      </c>
      <c r="I992" t="s">
        <v>41</v>
      </c>
      <c r="J992" t="s">
        <v>37</v>
      </c>
      <c r="K992" t="s">
        <v>37</v>
      </c>
      <c r="L992" t="s">
        <v>42</v>
      </c>
      <c r="M992" s="6">
        <v>46113.847974537035</v>
      </c>
      <c r="N992" t="s">
        <v>4264</v>
      </c>
      <c r="O992" s="1">
        <v>46114.416666666664</v>
      </c>
      <c r="P992" s="1">
        <v>46113.84820601852</v>
      </c>
      <c r="Q992" t="s">
        <v>4264</v>
      </c>
      <c r="R992" s="6">
        <v>46114.711805555555</v>
      </c>
      <c r="S992" t="s">
        <v>43</v>
      </c>
      <c r="T992">
        <v>24.99</v>
      </c>
      <c r="U992">
        <v>0</v>
      </c>
      <c r="V992">
        <v>23.8</v>
      </c>
      <c r="W992">
        <v>1.19</v>
      </c>
      <c r="X992">
        <v>0</v>
      </c>
      <c r="Y992">
        <v>0</v>
      </c>
      <c r="Z992">
        <v>24.99</v>
      </c>
      <c r="AA992" t="s">
        <v>2704</v>
      </c>
      <c r="AB992" t="s">
        <v>45</v>
      </c>
      <c r="AC992" t="s">
        <v>46</v>
      </c>
      <c r="AD992" t="s">
        <v>2556</v>
      </c>
      <c r="AE992" t="s">
        <v>2557</v>
      </c>
      <c r="AF992" t="s">
        <v>4005</v>
      </c>
      <c r="AG992" t="s">
        <v>46</v>
      </c>
      <c r="AH992" t="s">
        <v>1525</v>
      </c>
      <c r="AI992" t="s">
        <v>37</v>
      </c>
    </row>
    <row r="993" spans="1:35" x14ac:dyDescent="0.25">
      <c r="A993" t="s">
        <v>4006</v>
      </c>
      <c r="B993" t="s">
        <v>34</v>
      </c>
      <c r="C993" t="s">
        <v>1525</v>
      </c>
      <c r="D993" t="s">
        <v>1526</v>
      </c>
      <c r="E993" t="s">
        <v>37</v>
      </c>
      <c r="F993" t="s">
        <v>2549</v>
      </c>
      <c r="G993" t="s">
        <v>39</v>
      </c>
      <c r="H993" t="s">
        <v>40</v>
      </c>
      <c r="I993" t="s">
        <v>41</v>
      </c>
      <c r="J993" t="s">
        <v>37</v>
      </c>
      <c r="K993" t="s">
        <v>37</v>
      </c>
      <c r="L993" t="s">
        <v>42</v>
      </c>
      <c r="M993" s="6">
        <v>46113.849826388891</v>
      </c>
      <c r="N993" t="s">
        <v>4268</v>
      </c>
      <c r="O993" s="1">
        <v>46115.354166666664</v>
      </c>
      <c r="P993" s="1">
        <v>46113.849895833337</v>
      </c>
      <c r="Q993" t="s">
        <v>4268</v>
      </c>
      <c r="R993" s="6">
        <v>46115.711805555555</v>
      </c>
      <c r="S993" t="s">
        <v>43</v>
      </c>
      <c r="T993">
        <v>24.99</v>
      </c>
      <c r="U993">
        <v>0</v>
      </c>
      <c r="V993">
        <v>23.8</v>
      </c>
      <c r="W993">
        <v>1.19</v>
      </c>
      <c r="X993">
        <v>0</v>
      </c>
      <c r="Y993">
        <v>0</v>
      </c>
      <c r="Z993">
        <v>24.99</v>
      </c>
      <c r="AA993" t="s">
        <v>2704</v>
      </c>
      <c r="AB993" t="s">
        <v>45</v>
      </c>
      <c r="AC993" t="s">
        <v>46</v>
      </c>
      <c r="AD993" t="s">
        <v>2556</v>
      </c>
      <c r="AE993" t="s">
        <v>2557</v>
      </c>
      <c r="AF993" t="s">
        <v>4007</v>
      </c>
      <c r="AG993" t="s">
        <v>46</v>
      </c>
      <c r="AH993" t="s">
        <v>1525</v>
      </c>
      <c r="AI993" t="s">
        <v>37</v>
      </c>
    </row>
    <row r="994" spans="1:35" x14ac:dyDescent="0.25">
      <c r="A994" t="s">
        <v>4008</v>
      </c>
      <c r="B994" t="s">
        <v>34</v>
      </c>
      <c r="C994" t="s">
        <v>4009</v>
      </c>
      <c r="D994" t="s">
        <v>4010</v>
      </c>
      <c r="E994" t="s">
        <v>4011</v>
      </c>
      <c r="F994" t="s">
        <v>4012</v>
      </c>
      <c r="G994" t="s">
        <v>39</v>
      </c>
      <c r="H994" t="s">
        <v>40</v>
      </c>
      <c r="I994" t="s">
        <v>41</v>
      </c>
      <c r="J994" t="s">
        <v>37</v>
      </c>
      <c r="K994" t="s">
        <v>37</v>
      </c>
      <c r="L994" t="s">
        <v>42</v>
      </c>
      <c r="M994" s="6">
        <v>46114.544571759259</v>
      </c>
      <c r="N994" t="s">
        <v>4268</v>
      </c>
      <c r="O994" s="1">
        <v>46115.354166666664</v>
      </c>
      <c r="P994" s="1">
        <v>46114.544571759259</v>
      </c>
      <c r="Q994" t="s">
        <v>4268</v>
      </c>
      <c r="R994" s="6">
        <v>46115.399305555555</v>
      </c>
      <c r="S994" t="s">
        <v>43</v>
      </c>
      <c r="T994">
        <v>24.99</v>
      </c>
      <c r="U994">
        <v>0</v>
      </c>
      <c r="V994">
        <v>23.8</v>
      </c>
      <c r="W994">
        <v>1.19</v>
      </c>
      <c r="X994">
        <v>0</v>
      </c>
      <c r="Y994">
        <v>0</v>
      </c>
      <c r="Z994">
        <v>24.99</v>
      </c>
      <c r="AA994" t="s">
        <v>2704</v>
      </c>
      <c r="AB994" t="s">
        <v>45</v>
      </c>
      <c r="AC994" t="s">
        <v>46</v>
      </c>
      <c r="AD994" t="s">
        <v>2556</v>
      </c>
      <c r="AE994" t="s">
        <v>2557</v>
      </c>
      <c r="AF994" t="s">
        <v>4013</v>
      </c>
      <c r="AG994" t="s">
        <v>46</v>
      </c>
      <c r="AH994" t="s">
        <v>4009</v>
      </c>
      <c r="AI994" t="s">
        <v>37</v>
      </c>
    </row>
    <row r="995" spans="1:35" x14ac:dyDescent="0.25">
      <c r="A995" t="s">
        <v>4014</v>
      </c>
      <c r="B995" t="s">
        <v>34</v>
      </c>
      <c r="C995" t="s">
        <v>4015</v>
      </c>
      <c r="D995" t="s">
        <v>4016</v>
      </c>
      <c r="E995" t="s">
        <v>4017</v>
      </c>
      <c r="F995" t="s">
        <v>4018</v>
      </c>
      <c r="G995" t="s">
        <v>39</v>
      </c>
      <c r="H995" t="s">
        <v>40</v>
      </c>
      <c r="I995" t="s">
        <v>41</v>
      </c>
      <c r="J995" t="s">
        <v>37</v>
      </c>
      <c r="K995" t="s">
        <v>37</v>
      </c>
      <c r="L995" t="s">
        <v>42</v>
      </c>
      <c r="M995" s="6">
        <v>46114.552604166667</v>
      </c>
      <c r="N995" t="s">
        <v>4265</v>
      </c>
      <c r="O995" s="1">
        <v>46116.354166666664</v>
      </c>
      <c r="P995" s="1">
        <v>46114.553449074076</v>
      </c>
      <c r="Q995" t="s">
        <v>4265</v>
      </c>
      <c r="R995" s="6">
        <v>46116.690972222219</v>
      </c>
      <c r="S995" t="s">
        <v>43</v>
      </c>
      <c r="T995">
        <v>24.99</v>
      </c>
      <c r="U995">
        <v>0</v>
      </c>
      <c r="V995">
        <v>23.8</v>
      </c>
      <c r="W995">
        <v>1.19</v>
      </c>
      <c r="X995">
        <v>0</v>
      </c>
      <c r="Y995">
        <v>0</v>
      </c>
      <c r="Z995">
        <v>24.99</v>
      </c>
      <c r="AA995" t="s">
        <v>2704</v>
      </c>
      <c r="AB995" t="s">
        <v>45</v>
      </c>
      <c r="AC995" t="s">
        <v>46</v>
      </c>
      <c r="AD995" t="s">
        <v>2556</v>
      </c>
      <c r="AE995" t="s">
        <v>2557</v>
      </c>
      <c r="AF995" t="s">
        <v>4019</v>
      </c>
      <c r="AG995" t="s">
        <v>46</v>
      </c>
      <c r="AH995" t="s">
        <v>4015</v>
      </c>
      <c r="AI995" t="s">
        <v>37</v>
      </c>
    </row>
    <row r="996" spans="1:35" x14ac:dyDescent="0.25">
      <c r="A996" t="s">
        <v>4020</v>
      </c>
      <c r="B996" t="s">
        <v>34</v>
      </c>
      <c r="C996" t="s">
        <v>4021</v>
      </c>
      <c r="D996" t="s">
        <v>4022</v>
      </c>
      <c r="E996" t="s">
        <v>4023</v>
      </c>
      <c r="F996" t="s">
        <v>4024</v>
      </c>
      <c r="G996" t="s">
        <v>39</v>
      </c>
      <c r="H996" t="s">
        <v>40</v>
      </c>
      <c r="I996" t="s">
        <v>41</v>
      </c>
      <c r="J996" t="s">
        <v>37</v>
      </c>
      <c r="K996" t="s">
        <v>37</v>
      </c>
      <c r="L996" t="s">
        <v>42</v>
      </c>
      <c r="M996" s="6">
        <v>46114.673472222225</v>
      </c>
      <c r="N996" t="s">
        <v>4265</v>
      </c>
      <c r="O996" s="1">
        <v>46116.333333333336</v>
      </c>
      <c r="P996" s="1">
        <v>46114.674004629633</v>
      </c>
      <c r="Q996" t="s">
        <v>4265</v>
      </c>
      <c r="R996" s="6">
        <v>46116.732638888891</v>
      </c>
      <c r="S996" t="s">
        <v>43</v>
      </c>
      <c r="T996">
        <v>24.99</v>
      </c>
      <c r="U996">
        <v>0</v>
      </c>
      <c r="V996">
        <v>23.8</v>
      </c>
      <c r="W996">
        <v>1.19</v>
      </c>
      <c r="X996">
        <v>0</v>
      </c>
      <c r="Y996">
        <v>0</v>
      </c>
      <c r="Z996">
        <v>24.99</v>
      </c>
      <c r="AA996" t="s">
        <v>2704</v>
      </c>
      <c r="AB996" t="s">
        <v>45</v>
      </c>
      <c r="AC996" t="s">
        <v>46</v>
      </c>
      <c r="AD996" t="s">
        <v>2556</v>
      </c>
      <c r="AE996" t="s">
        <v>2557</v>
      </c>
      <c r="AF996" t="s">
        <v>4025</v>
      </c>
      <c r="AG996" t="s">
        <v>46</v>
      </c>
      <c r="AH996" t="s">
        <v>4021</v>
      </c>
      <c r="AI996" t="s">
        <v>37</v>
      </c>
    </row>
    <row r="997" spans="1:35" x14ac:dyDescent="0.25">
      <c r="A997" t="s">
        <v>4026</v>
      </c>
      <c r="B997" t="s">
        <v>34</v>
      </c>
      <c r="C997" t="s">
        <v>4015</v>
      </c>
      <c r="D997" t="s">
        <v>4016</v>
      </c>
      <c r="E997" t="s">
        <v>4017</v>
      </c>
      <c r="F997" t="s">
        <v>4018</v>
      </c>
      <c r="G997" t="s">
        <v>39</v>
      </c>
      <c r="H997" t="s">
        <v>40</v>
      </c>
      <c r="I997" t="s">
        <v>41</v>
      </c>
      <c r="J997" t="s">
        <v>37</v>
      </c>
      <c r="K997" t="s">
        <v>37</v>
      </c>
      <c r="L997" t="s">
        <v>42</v>
      </c>
      <c r="M997" s="6">
        <v>46114.691643518519</v>
      </c>
      <c r="N997" t="s">
        <v>4268</v>
      </c>
      <c r="O997" s="1">
        <v>46115.354166666664</v>
      </c>
      <c r="P997" s="1">
        <v>46114.691643518519</v>
      </c>
      <c r="Q997" t="s">
        <v>4268</v>
      </c>
      <c r="R997" s="6">
        <v>46115.399305555555</v>
      </c>
      <c r="S997" t="s">
        <v>43</v>
      </c>
      <c r="T997">
        <v>24.99</v>
      </c>
      <c r="U997">
        <v>0</v>
      </c>
      <c r="V997">
        <v>23.8</v>
      </c>
      <c r="W997">
        <v>1.19</v>
      </c>
      <c r="X997">
        <v>0</v>
      </c>
      <c r="Y997">
        <v>0</v>
      </c>
      <c r="Z997">
        <v>24.99</v>
      </c>
      <c r="AA997" t="s">
        <v>2704</v>
      </c>
      <c r="AB997" t="s">
        <v>45</v>
      </c>
      <c r="AC997" t="s">
        <v>46</v>
      </c>
      <c r="AD997" t="s">
        <v>2556</v>
      </c>
      <c r="AE997" t="s">
        <v>2557</v>
      </c>
      <c r="AF997" t="s">
        <v>4027</v>
      </c>
      <c r="AG997" t="s">
        <v>46</v>
      </c>
      <c r="AH997" t="s">
        <v>4015</v>
      </c>
      <c r="AI997" t="s">
        <v>37</v>
      </c>
    </row>
    <row r="998" spans="1:35" x14ac:dyDescent="0.25">
      <c r="A998" t="s">
        <v>4028</v>
      </c>
      <c r="B998" t="s">
        <v>34</v>
      </c>
      <c r="C998" t="s">
        <v>3503</v>
      </c>
      <c r="D998" t="s">
        <v>3504</v>
      </c>
      <c r="E998" t="s">
        <v>3505</v>
      </c>
      <c r="F998" t="s">
        <v>3506</v>
      </c>
      <c r="G998" t="s">
        <v>39</v>
      </c>
      <c r="H998" t="s">
        <v>40</v>
      </c>
      <c r="I998" t="s">
        <v>41</v>
      </c>
      <c r="J998" t="s">
        <v>37</v>
      </c>
      <c r="K998" t="s">
        <v>37</v>
      </c>
      <c r="L998" t="s">
        <v>42</v>
      </c>
      <c r="M998" s="6">
        <v>46114.827222222222</v>
      </c>
      <c r="N998" t="s">
        <v>4268</v>
      </c>
      <c r="O998" s="1">
        <v>46115.416666666664</v>
      </c>
      <c r="P998" s="1">
        <v>46114.827233796299</v>
      </c>
      <c r="Q998" t="s">
        <v>4268</v>
      </c>
      <c r="R998" s="6">
        <v>46115.461805555555</v>
      </c>
      <c r="S998" t="s">
        <v>43</v>
      </c>
      <c r="T998">
        <v>24.99</v>
      </c>
      <c r="U998">
        <v>0</v>
      </c>
      <c r="V998">
        <v>23.8</v>
      </c>
      <c r="W998">
        <v>1.19</v>
      </c>
      <c r="X998">
        <v>0</v>
      </c>
      <c r="Y998">
        <v>0</v>
      </c>
      <c r="Z998">
        <v>24.99</v>
      </c>
      <c r="AA998" t="s">
        <v>2704</v>
      </c>
      <c r="AB998" t="s">
        <v>45</v>
      </c>
      <c r="AC998" t="s">
        <v>46</v>
      </c>
      <c r="AD998" t="s">
        <v>2556</v>
      </c>
      <c r="AE998" t="s">
        <v>2557</v>
      </c>
      <c r="AF998" t="s">
        <v>4029</v>
      </c>
      <c r="AG998" t="s">
        <v>46</v>
      </c>
      <c r="AH998" t="s">
        <v>3503</v>
      </c>
      <c r="AI998" t="s">
        <v>37</v>
      </c>
    </row>
    <row r="999" spans="1:35" x14ac:dyDescent="0.25">
      <c r="A999" t="s">
        <v>4030</v>
      </c>
      <c r="B999" t="s">
        <v>34</v>
      </c>
      <c r="C999" t="s">
        <v>3503</v>
      </c>
      <c r="D999" t="s">
        <v>3504</v>
      </c>
      <c r="E999" t="s">
        <v>3505</v>
      </c>
      <c r="F999" t="s">
        <v>4031</v>
      </c>
      <c r="G999" t="s">
        <v>39</v>
      </c>
      <c r="H999" t="s">
        <v>40</v>
      </c>
      <c r="I999" t="s">
        <v>41</v>
      </c>
      <c r="J999" t="s">
        <v>37</v>
      </c>
      <c r="K999" t="s">
        <v>37</v>
      </c>
      <c r="L999" t="s">
        <v>42</v>
      </c>
      <c r="M999" s="6">
        <v>46114.831296296295</v>
      </c>
      <c r="N999" t="s">
        <v>4268</v>
      </c>
      <c r="O999" s="1">
        <v>46115.416666666664</v>
      </c>
      <c r="P999" s="1">
        <v>46114.831296296295</v>
      </c>
      <c r="Q999" t="s">
        <v>4268</v>
      </c>
      <c r="R999" s="6">
        <v>46115.690972222219</v>
      </c>
      <c r="S999" t="s">
        <v>43</v>
      </c>
      <c r="T999">
        <v>24.99</v>
      </c>
      <c r="U999">
        <v>0</v>
      </c>
      <c r="V999">
        <v>23.8</v>
      </c>
      <c r="W999">
        <v>1.19</v>
      </c>
      <c r="X999">
        <v>0</v>
      </c>
      <c r="Y999">
        <v>0</v>
      </c>
      <c r="Z999">
        <v>24.99</v>
      </c>
      <c r="AA999" t="s">
        <v>2704</v>
      </c>
      <c r="AB999" t="s">
        <v>45</v>
      </c>
      <c r="AC999" t="s">
        <v>46</v>
      </c>
      <c r="AD999" t="s">
        <v>2556</v>
      </c>
      <c r="AE999" t="s">
        <v>2557</v>
      </c>
      <c r="AF999" t="s">
        <v>4032</v>
      </c>
      <c r="AG999" t="s">
        <v>46</v>
      </c>
      <c r="AH999" t="s">
        <v>3503</v>
      </c>
      <c r="AI999" t="s">
        <v>37</v>
      </c>
    </row>
    <row r="1000" spans="1:35" x14ac:dyDescent="0.25">
      <c r="A1000" t="s">
        <v>4033</v>
      </c>
      <c r="B1000" t="s">
        <v>34</v>
      </c>
      <c r="C1000" t="s">
        <v>4034</v>
      </c>
      <c r="D1000" t="s">
        <v>4035</v>
      </c>
      <c r="E1000" t="s">
        <v>4036</v>
      </c>
      <c r="F1000" t="s">
        <v>4037</v>
      </c>
      <c r="G1000" t="s">
        <v>39</v>
      </c>
      <c r="H1000" t="s">
        <v>40</v>
      </c>
      <c r="I1000" t="s">
        <v>41</v>
      </c>
      <c r="J1000" t="s">
        <v>37</v>
      </c>
      <c r="K1000" t="s">
        <v>37</v>
      </c>
      <c r="L1000" t="s">
        <v>42</v>
      </c>
      <c r="M1000" s="6">
        <v>46114.870752314811</v>
      </c>
      <c r="N1000" t="s">
        <v>4268</v>
      </c>
      <c r="O1000" s="1">
        <v>46115.354166666664</v>
      </c>
      <c r="P1000" s="1">
        <v>46114.87127314815</v>
      </c>
      <c r="Q1000" t="s">
        <v>4268</v>
      </c>
      <c r="R1000" s="6">
        <v>46115.545138888891</v>
      </c>
      <c r="S1000" t="s">
        <v>43</v>
      </c>
      <c r="T1000">
        <v>24.99</v>
      </c>
      <c r="U1000">
        <v>0</v>
      </c>
      <c r="V1000">
        <v>23.8</v>
      </c>
      <c r="W1000">
        <v>1.19</v>
      </c>
      <c r="X1000">
        <v>0</v>
      </c>
      <c r="Y1000">
        <v>0</v>
      </c>
      <c r="Z1000">
        <v>24.99</v>
      </c>
      <c r="AA1000" t="s">
        <v>2704</v>
      </c>
      <c r="AB1000" t="s">
        <v>45</v>
      </c>
      <c r="AC1000" t="s">
        <v>46</v>
      </c>
      <c r="AD1000" t="s">
        <v>2556</v>
      </c>
      <c r="AE1000" t="s">
        <v>2557</v>
      </c>
      <c r="AF1000" t="s">
        <v>4038</v>
      </c>
      <c r="AG1000" t="s">
        <v>46</v>
      </c>
      <c r="AH1000" t="s">
        <v>4034</v>
      </c>
      <c r="AI1000" t="s">
        <v>37</v>
      </c>
    </row>
    <row r="1001" spans="1:35" x14ac:dyDescent="0.25">
      <c r="A1001" t="s">
        <v>4039</v>
      </c>
      <c r="B1001" t="s">
        <v>34</v>
      </c>
      <c r="C1001" t="s">
        <v>4040</v>
      </c>
      <c r="D1001" t="s">
        <v>4041</v>
      </c>
      <c r="E1001" t="s">
        <v>4042</v>
      </c>
      <c r="F1001" t="s">
        <v>4043</v>
      </c>
      <c r="G1001" t="s">
        <v>39</v>
      </c>
      <c r="H1001" t="s">
        <v>40</v>
      </c>
      <c r="I1001" t="s">
        <v>41</v>
      </c>
      <c r="J1001" t="s">
        <v>37</v>
      </c>
      <c r="K1001" t="s">
        <v>37</v>
      </c>
      <c r="L1001" t="s">
        <v>42</v>
      </c>
      <c r="M1001" s="6">
        <v>46115.367986111109</v>
      </c>
      <c r="N1001" t="s">
        <v>4268</v>
      </c>
      <c r="O1001" s="1">
        <v>46115.447916666664</v>
      </c>
      <c r="P1001" s="1">
        <v>46115.368587962963</v>
      </c>
      <c r="Q1001" t="s">
        <v>4268</v>
      </c>
      <c r="R1001" s="6">
        <v>46115.753472222219</v>
      </c>
      <c r="S1001" t="s">
        <v>43</v>
      </c>
      <c r="T1001">
        <v>24.99</v>
      </c>
      <c r="U1001">
        <v>0</v>
      </c>
      <c r="V1001">
        <v>23.8</v>
      </c>
      <c r="W1001">
        <v>1.19</v>
      </c>
      <c r="X1001">
        <v>0</v>
      </c>
      <c r="Y1001">
        <v>0</v>
      </c>
      <c r="Z1001">
        <v>24.99</v>
      </c>
      <c r="AA1001" t="s">
        <v>2704</v>
      </c>
      <c r="AB1001" t="s">
        <v>45</v>
      </c>
      <c r="AC1001" t="s">
        <v>46</v>
      </c>
      <c r="AD1001" t="s">
        <v>2556</v>
      </c>
      <c r="AE1001" t="s">
        <v>2557</v>
      </c>
      <c r="AF1001" t="s">
        <v>4044</v>
      </c>
      <c r="AG1001" t="s">
        <v>46</v>
      </c>
      <c r="AH1001" t="s">
        <v>4040</v>
      </c>
      <c r="AI1001" t="s">
        <v>37</v>
      </c>
    </row>
    <row r="1002" spans="1:35" x14ac:dyDescent="0.25">
      <c r="A1002" t="s">
        <v>4045</v>
      </c>
      <c r="B1002" t="s">
        <v>34</v>
      </c>
      <c r="C1002" t="s">
        <v>4040</v>
      </c>
      <c r="D1002" t="s">
        <v>4041</v>
      </c>
      <c r="E1002" t="s">
        <v>4042</v>
      </c>
      <c r="F1002" t="s">
        <v>4043</v>
      </c>
      <c r="G1002" t="s">
        <v>39</v>
      </c>
      <c r="H1002" t="s">
        <v>40</v>
      </c>
      <c r="I1002" t="s">
        <v>41</v>
      </c>
      <c r="J1002" t="s">
        <v>37</v>
      </c>
      <c r="K1002" t="s">
        <v>37</v>
      </c>
      <c r="L1002" t="s">
        <v>42</v>
      </c>
      <c r="M1002" s="6">
        <v>46115.370671296296</v>
      </c>
      <c r="N1002" t="s">
        <v>4268</v>
      </c>
      <c r="O1002" s="1">
        <v>46115.447916666664</v>
      </c>
      <c r="P1002" s="1">
        <v>46115.370671296296</v>
      </c>
      <c r="Q1002" t="s">
        <v>4268</v>
      </c>
      <c r="R1002" s="6">
        <v>46115.753472222219</v>
      </c>
      <c r="S1002" t="s">
        <v>43</v>
      </c>
      <c r="T1002">
        <v>24.99</v>
      </c>
      <c r="U1002">
        <v>0</v>
      </c>
      <c r="V1002">
        <v>23.8</v>
      </c>
      <c r="W1002">
        <v>1.19</v>
      </c>
      <c r="X1002">
        <v>0</v>
      </c>
      <c r="Y1002">
        <v>0</v>
      </c>
      <c r="Z1002">
        <v>24.99</v>
      </c>
      <c r="AA1002" t="s">
        <v>2704</v>
      </c>
      <c r="AB1002" t="s">
        <v>45</v>
      </c>
      <c r="AC1002" t="s">
        <v>46</v>
      </c>
      <c r="AD1002" t="s">
        <v>2556</v>
      </c>
      <c r="AE1002" t="s">
        <v>2557</v>
      </c>
      <c r="AF1002" t="s">
        <v>4046</v>
      </c>
      <c r="AG1002" t="s">
        <v>46</v>
      </c>
      <c r="AH1002" t="s">
        <v>4040</v>
      </c>
      <c r="AI1002" t="s">
        <v>37</v>
      </c>
    </row>
    <row r="1003" spans="1:35" x14ac:dyDescent="0.25">
      <c r="A1003" t="s">
        <v>4047</v>
      </c>
      <c r="B1003" t="s">
        <v>34</v>
      </c>
      <c r="C1003" t="s">
        <v>4048</v>
      </c>
      <c r="D1003" t="s">
        <v>4049</v>
      </c>
      <c r="E1003" t="s">
        <v>4050</v>
      </c>
      <c r="F1003" t="s">
        <v>4051</v>
      </c>
      <c r="G1003" t="s">
        <v>39</v>
      </c>
      <c r="H1003" t="s">
        <v>40</v>
      </c>
      <c r="I1003" t="s">
        <v>41</v>
      </c>
      <c r="J1003" t="s">
        <v>37</v>
      </c>
      <c r="K1003" t="s">
        <v>37</v>
      </c>
      <c r="L1003" t="s">
        <v>42</v>
      </c>
      <c r="M1003" s="6">
        <v>46115.434710648151</v>
      </c>
      <c r="N1003" t="s">
        <v>4268</v>
      </c>
      <c r="O1003" s="1">
        <v>46115.520833333336</v>
      </c>
      <c r="P1003" s="1">
        <v>46115.434710648151</v>
      </c>
      <c r="Q1003" t="s">
        <v>4268</v>
      </c>
      <c r="R1003" s="6">
        <v>46115.753472222219</v>
      </c>
      <c r="S1003" t="s">
        <v>43</v>
      </c>
      <c r="T1003">
        <v>24.99</v>
      </c>
      <c r="U1003">
        <v>0</v>
      </c>
      <c r="V1003">
        <v>23.8</v>
      </c>
      <c r="W1003">
        <v>1.19</v>
      </c>
      <c r="X1003">
        <v>0</v>
      </c>
      <c r="Y1003">
        <v>0</v>
      </c>
      <c r="Z1003">
        <v>24.99</v>
      </c>
      <c r="AA1003" t="s">
        <v>2704</v>
      </c>
      <c r="AB1003" t="s">
        <v>45</v>
      </c>
      <c r="AC1003" t="s">
        <v>46</v>
      </c>
      <c r="AD1003" t="s">
        <v>2556</v>
      </c>
      <c r="AE1003" t="s">
        <v>2557</v>
      </c>
      <c r="AF1003" t="s">
        <v>4052</v>
      </c>
      <c r="AG1003" t="s">
        <v>46</v>
      </c>
      <c r="AH1003" t="s">
        <v>4048</v>
      </c>
      <c r="AI1003" t="s">
        <v>37</v>
      </c>
    </row>
    <row r="1004" spans="1:35" x14ac:dyDescent="0.25">
      <c r="A1004" t="s">
        <v>4053</v>
      </c>
      <c r="B1004" t="s">
        <v>34</v>
      </c>
      <c r="C1004" t="s">
        <v>4054</v>
      </c>
      <c r="D1004" t="s">
        <v>4055</v>
      </c>
      <c r="E1004" t="s">
        <v>4056</v>
      </c>
      <c r="F1004" t="s">
        <v>4057</v>
      </c>
      <c r="G1004" t="s">
        <v>39</v>
      </c>
      <c r="H1004" t="s">
        <v>40</v>
      </c>
      <c r="I1004" t="s">
        <v>41</v>
      </c>
      <c r="J1004" t="s">
        <v>37</v>
      </c>
      <c r="K1004" t="s">
        <v>37</v>
      </c>
      <c r="L1004" t="s">
        <v>42</v>
      </c>
      <c r="M1004" s="6">
        <v>46115.466122685182</v>
      </c>
      <c r="N1004" t="s">
        <v>4268</v>
      </c>
      <c r="O1004" s="1">
        <v>46115.46875</v>
      </c>
      <c r="P1004" s="1">
        <v>46115.466504629629</v>
      </c>
      <c r="Q1004" t="s">
        <v>4268</v>
      </c>
      <c r="R1004" s="6">
        <v>46115.711805555555</v>
      </c>
      <c r="S1004" t="s">
        <v>43</v>
      </c>
      <c r="T1004">
        <v>24.99</v>
      </c>
      <c r="U1004">
        <v>0</v>
      </c>
      <c r="V1004">
        <v>23.8</v>
      </c>
      <c r="W1004">
        <v>1.19</v>
      </c>
      <c r="X1004">
        <v>0</v>
      </c>
      <c r="Y1004">
        <v>0</v>
      </c>
      <c r="Z1004">
        <v>24.99</v>
      </c>
      <c r="AA1004" t="s">
        <v>2704</v>
      </c>
      <c r="AB1004" t="s">
        <v>45</v>
      </c>
      <c r="AC1004" t="s">
        <v>46</v>
      </c>
      <c r="AD1004" t="s">
        <v>2556</v>
      </c>
      <c r="AE1004" t="s">
        <v>2557</v>
      </c>
      <c r="AF1004" t="s">
        <v>4058</v>
      </c>
      <c r="AG1004" t="s">
        <v>46</v>
      </c>
      <c r="AH1004" t="s">
        <v>4054</v>
      </c>
      <c r="AI1004" t="s">
        <v>37</v>
      </c>
    </row>
    <row r="1005" spans="1:35" x14ac:dyDescent="0.25">
      <c r="A1005" t="s">
        <v>4059</v>
      </c>
      <c r="B1005" t="s">
        <v>34</v>
      </c>
      <c r="C1005" t="s">
        <v>4060</v>
      </c>
      <c r="D1005" t="s">
        <v>4061</v>
      </c>
      <c r="E1005" t="s">
        <v>4062</v>
      </c>
      <c r="F1005" t="s">
        <v>4063</v>
      </c>
      <c r="G1005" t="s">
        <v>2601</v>
      </c>
      <c r="H1005" t="s">
        <v>40</v>
      </c>
      <c r="I1005" t="s">
        <v>41</v>
      </c>
      <c r="J1005" t="s">
        <v>37</v>
      </c>
      <c r="K1005" t="s">
        <v>37</v>
      </c>
      <c r="L1005" t="s">
        <v>42</v>
      </c>
      <c r="M1005" s="6">
        <v>46115.501504629632</v>
      </c>
      <c r="N1005" t="s">
        <v>4265</v>
      </c>
      <c r="O1005" s="1">
        <v>46116.375</v>
      </c>
      <c r="P1005" s="1">
        <v>46115.502025462964</v>
      </c>
      <c r="Q1005" t="s">
        <v>4265</v>
      </c>
      <c r="R1005" s="6">
        <v>46116.670138888891</v>
      </c>
      <c r="S1005" t="s">
        <v>43</v>
      </c>
      <c r="T1005">
        <v>24.99</v>
      </c>
      <c r="U1005">
        <v>0</v>
      </c>
      <c r="V1005">
        <v>23.8</v>
      </c>
      <c r="W1005">
        <v>1.19</v>
      </c>
      <c r="X1005">
        <v>0</v>
      </c>
      <c r="Y1005">
        <v>0</v>
      </c>
      <c r="Z1005">
        <v>24.99</v>
      </c>
      <c r="AA1005" t="s">
        <v>2704</v>
      </c>
      <c r="AB1005" t="s">
        <v>45</v>
      </c>
      <c r="AC1005" t="s">
        <v>46</v>
      </c>
      <c r="AD1005" t="s">
        <v>2556</v>
      </c>
      <c r="AE1005" t="s">
        <v>2557</v>
      </c>
      <c r="AF1005" t="s">
        <v>4064</v>
      </c>
      <c r="AG1005" t="s">
        <v>46</v>
      </c>
      <c r="AH1005" t="s">
        <v>4060</v>
      </c>
      <c r="AI1005" t="s">
        <v>37</v>
      </c>
    </row>
    <row r="1006" spans="1:35" x14ac:dyDescent="0.25">
      <c r="A1006" t="s">
        <v>4065</v>
      </c>
      <c r="B1006" t="s">
        <v>34</v>
      </c>
      <c r="C1006" t="s">
        <v>4066</v>
      </c>
      <c r="D1006" t="s">
        <v>4067</v>
      </c>
      <c r="E1006" t="s">
        <v>4068</v>
      </c>
      <c r="F1006" t="s">
        <v>4069</v>
      </c>
      <c r="G1006" t="s">
        <v>39</v>
      </c>
      <c r="H1006" t="s">
        <v>40</v>
      </c>
      <c r="I1006" t="s">
        <v>41</v>
      </c>
      <c r="J1006" t="s">
        <v>37</v>
      </c>
      <c r="K1006" t="s">
        <v>37</v>
      </c>
      <c r="L1006" t="s">
        <v>42</v>
      </c>
      <c r="M1006" s="6">
        <v>46115.728020833332</v>
      </c>
      <c r="N1006" t="s">
        <v>4265</v>
      </c>
      <c r="O1006" s="1">
        <v>46116.34375</v>
      </c>
      <c r="P1006" s="1">
        <v>46115.728391203702</v>
      </c>
      <c r="Q1006" t="s">
        <v>4265</v>
      </c>
      <c r="R1006" s="6">
        <v>46116.670138888891</v>
      </c>
      <c r="S1006" t="s">
        <v>43</v>
      </c>
      <c r="T1006">
        <v>24.99</v>
      </c>
      <c r="U1006">
        <v>0</v>
      </c>
      <c r="V1006">
        <v>23.8</v>
      </c>
      <c r="W1006">
        <v>1.19</v>
      </c>
      <c r="X1006">
        <v>0</v>
      </c>
      <c r="Y1006">
        <v>0</v>
      </c>
      <c r="Z1006">
        <v>24.99</v>
      </c>
      <c r="AA1006" t="s">
        <v>2704</v>
      </c>
      <c r="AB1006" t="s">
        <v>45</v>
      </c>
      <c r="AC1006" t="s">
        <v>46</v>
      </c>
      <c r="AD1006" t="s">
        <v>2556</v>
      </c>
      <c r="AE1006" t="s">
        <v>2557</v>
      </c>
      <c r="AF1006" t="s">
        <v>4070</v>
      </c>
      <c r="AG1006" t="s">
        <v>46</v>
      </c>
      <c r="AH1006" t="s">
        <v>4066</v>
      </c>
      <c r="AI1006" t="s">
        <v>37</v>
      </c>
    </row>
    <row r="1007" spans="1:35" x14ac:dyDescent="0.25">
      <c r="A1007" t="s">
        <v>4071</v>
      </c>
      <c r="B1007" t="s">
        <v>34</v>
      </c>
      <c r="C1007" t="s">
        <v>4034</v>
      </c>
      <c r="D1007" t="s">
        <v>4035</v>
      </c>
      <c r="E1007" t="s">
        <v>4036</v>
      </c>
      <c r="F1007" t="s">
        <v>4037</v>
      </c>
      <c r="G1007" t="s">
        <v>39</v>
      </c>
      <c r="H1007" t="s">
        <v>40</v>
      </c>
      <c r="I1007" t="s">
        <v>41</v>
      </c>
      <c r="J1007" t="s">
        <v>37</v>
      </c>
      <c r="K1007" t="s">
        <v>37</v>
      </c>
      <c r="L1007" t="s">
        <v>42</v>
      </c>
      <c r="M1007" s="6">
        <v>46115.784490740742</v>
      </c>
      <c r="N1007" t="s">
        <v>4265</v>
      </c>
      <c r="O1007" s="1">
        <v>46116.364583333336</v>
      </c>
      <c r="P1007" s="1">
        <v>46115.784490740742</v>
      </c>
      <c r="Q1007" t="s">
        <v>4265</v>
      </c>
      <c r="R1007" s="6">
        <v>46116.524305555555</v>
      </c>
      <c r="S1007" t="s">
        <v>43</v>
      </c>
      <c r="T1007">
        <v>24.99</v>
      </c>
      <c r="U1007">
        <v>0</v>
      </c>
      <c r="V1007">
        <v>23.8</v>
      </c>
      <c r="W1007">
        <v>1.19</v>
      </c>
      <c r="X1007">
        <v>0</v>
      </c>
      <c r="Y1007">
        <v>0</v>
      </c>
      <c r="Z1007">
        <v>24.99</v>
      </c>
      <c r="AA1007" t="s">
        <v>2704</v>
      </c>
      <c r="AB1007" t="s">
        <v>45</v>
      </c>
      <c r="AC1007" t="s">
        <v>46</v>
      </c>
      <c r="AD1007" t="s">
        <v>2556</v>
      </c>
      <c r="AE1007" t="s">
        <v>2557</v>
      </c>
      <c r="AF1007" t="s">
        <v>4072</v>
      </c>
      <c r="AG1007" t="s">
        <v>46</v>
      </c>
      <c r="AH1007" t="s">
        <v>4034</v>
      </c>
      <c r="AI1007" t="s">
        <v>37</v>
      </c>
    </row>
    <row r="1008" spans="1:35" x14ac:dyDescent="0.25">
      <c r="A1008" t="s">
        <v>4073</v>
      </c>
      <c r="B1008" t="s">
        <v>34</v>
      </c>
      <c r="C1008" t="s">
        <v>4074</v>
      </c>
      <c r="D1008" t="s">
        <v>4075</v>
      </c>
      <c r="E1008" t="s">
        <v>4076</v>
      </c>
      <c r="F1008" t="s">
        <v>4077</v>
      </c>
      <c r="G1008" t="s">
        <v>39</v>
      </c>
      <c r="H1008" t="s">
        <v>40</v>
      </c>
      <c r="I1008" t="s">
        <v>41</v>
      </c>
      <c r="J1008" t="s">
        <v>37</v>
      </c>
      <c r="K1008" t="s">
        <v>37</v>
      </c>
      <c r="L1008" t="s">
        <v>42</v>
      </c>
      <c r="M1008" s="6">
        <v>46115.878993055558</v>
      </c>
      <c r="N1008" t="s">
        <v>4265</v>
      </c>
      <c r="O1008" s="1">
        <v>46116.375</v>
      </c>
      <c r="P1008" s="1">
        <v>46115.879756944443</v>
      </c>
      <c r="Q1008" t="s">
        <v>4265</v>
      </c>
      <c r="R1008" s="6">
        <v>46116.670138888891</v>
      </c>
      <c r="S1008" t="s">
        <v>43</v>
      </c>
      <c r="T1008">
        <v>24.99</v>
      </c>
      <c r="U1008">
        <v>0</v>
      </c>
      <c r="V1008">
        <v>23.8</v>
      </c>
      <c r="W1008">
        <v>1.19</v>
      </c>
      <c r="X1008">
        <v>0</v>
      </c>
      <c r="Y1008">
        <v>0</v>
      </c>
      <c r="Z1008">
        <v>24.99</v>
      </c>
      <c r="AA1008" t="s">
        <v>2704</v>
      </c>
      <c r="AB1008" t="s">
        <v>45</v>
      </c>
      <c r="AC1008" t="s">
        <v>46</v>
      </c>
      <c r="AD1008" t="s">
        <v>2556</v>
      </c>
      <c r="AE1008" t="s">
        <v>2557</v>
      </c>
      <c r="AF1008" t="s">
        <v>4078</v>
      </c>
      <c r="AG1008" t="s">
        <v>46</v>
      </c>
      <c r="AH1008" t="s">
        <v>4074</v>
      </c>
      <c r="AI1008" t="s">
        <v>37</v>
      </c>
    </row>
    <row r="1009" spans="1:35" x14ac:dyDescent="0.25">
      <c r="A1009" t="s">
        <v>4079</v>
      </c>
      <c r="B1009" t="s">
        <v>34</v>
      </c>
      <c r="C1009" t="s">
        <v>4080</v>
      </c>
      <c r="D1009" t="s">
        <v>4081</v>
      </c>
      <c r="E1009" t="s">
        <v>4082</v>
      </c>
      <c r="F1009" t="s">
        <v>4083</v>
      </c>
      <c r="G1009" t="s">
        <v>39</v>
      </c>
      <c r="H1009" t="s">
        <v>40</v>
      </c>
      <c r="I1009" t="s">
        <v>41</v>
      </c>
      <c r="J1009" t="s">
        <v>37</v>
      </c>
      <c r="K1009" t="s">
        <v>37</v>
      </c>
      <c r="L1009" t="s">
        <v>42</v>
      </c>
      <c r="M1009" s="6">
        <v>46115.890763888892</v>
      </c>
      <c r="N1009" t="s">
        <v>4265</v>
      </c>
      <c r="O1009" s="1">
        <v>46116.375</v>
      </c>
      <c r="P1009" s="1">
        <v>46115.89261574074</v>
      </c>
      <c r="Q1009" t="s">
        <v>4265</v>
      </c>
      <c r="R1009" s="6">
        <v>46116.670138888891</v>
      </c>
      <c r="S1009" t="s">
        <v>43</v>
      </c>
      <c r="T1009">
        <v>24.99</v>
      </c>
      <c r="U1009">
        <v>0</v>
      </c>
      <c r="V1009">
        <v>23.8</v>
      </c>
      <c r="W1009">
        <v>1.19</v>
      </c>
      <c r="X1009">
        <v>0</v>
      </c>
      <c r="Y1009">
        <v>0</v>
      </c>
      <c r="Z1009">
        <v>24.99</v>
      </c>
      <c r="AA1009" t="s">
        <v>2704</v>
      </c>
      <c r="AB1009" t="s">
        <v>45</v>
      </c>
      <c r="AC1009" t="s">
        <v>46</v>
      </c>
      <c r="AD1009" t="s">
        <v>2556</v>
      </c>
      <c r="AE1009" t="s">
        <v>2557</v>
      </c>
      <c r="AF1009" t="s">
        <v>4084</v>
      </c>
      <c r="AG1009" t="s">
        <v>46</v>
      </c>
      <c r="AH1009" t="s">
        <v>4080</v>
      </c>
      <c r="AI1009" t="s">
        <v>37</v>
      </c>
    </row>
    <row r="1010" spans="1:35" x14ac:dyDescent="0.25">
      <c r="A1010" t="s">
        <v>4085</v>
      </c>
      <c r="B1010" t="s">
        <v>34</v>
      </c>
      <c r="C1010" t="s">
        <v>4086</v>
      </c>
      <c r="D1010" t="s">
        <v>4087</v>
      </c>
      <c r="E1010" t="s">
        <v>4088</v>
      </c>
      <c r="F1010" t="s">
        <v>4089</v>
      </c>
      <c r="G1010" t="s">
        <v>2601</v>
      </c>
      <c r="H1010" t="s">
        <v>40</v>
      </c>
      <c r="I1010" t="s">
        <v>41</v>
      </c>
      <c r="J1010" t="s">
        <v>37</v>
      </c>
      <c r="K1010" t="s">
        <v>37</v>
      </c>
      <c r="L1010" t="s">
        <v>42</v>
      </c>
      <c r="M1010" s="6">
        <v>46115.919479166667</v>
      </c>
      <c r="N1010" t="s">
        <v>4265</v>
      </c>
      <c r="O1010" s="1">
        <v>46116.354166666664</v>
      </c>
      <c r="P1010" s="1">
        <v>46115.919479166667</v>
      </c>
      <c r="Q1010" t="s">
        <v>4265</v>
      </c>
      <c r="R1010" s="6">
        <v>46116.732638888891</v>
      </c>
      <c r="S1010" t="s">
        <v>43</v>
      </c>
      <c r="T1010">
        <v>24.99</v>
      </c>
      <c r="U1010">
        <v>0</v>
      </c>
      <c r="V1010">
        <v>23.8</v>
      </c>
      <c r="W1010">
        <v>1.19</v>
      </c>
      <c r="X1010">
        <v>0</v>
      </c>
      <c r="Y1010">
        <v>0</v>
      </c>
      <c r="Z1010">
        <v>24.99</v>
      </c>
      <c r="AA1010" t="s">
        <v>2704</v>
      </c>
      <c r="AB1010" t="s">
        <v>45</v>
      </c>
      <c r="AC1010" t="s">
        <v>46</v>
      </c>
      <c r="AD1010" t="s">
        <v>2556</v>
      </c>
      <c r="AE1010" t="s">
        <v>2557</v>
      </c>
      <c r="AF1010" t="s">
        <v>4090</v>
      </c>
      <c r="AG1010" t="s">
        <v>46</v>
      </c>
      <c r="AH1010" t="s">
        <v>4086</v>
      </c>
      <c r="AI1010" t="s">
        <v>37</v>
      </c>
    </row>
    <row r="1011" spans="1:35" x14ac:dyDescent="0.25">
      <c r="A1011" t="s">
        <v>4091</v>
      </c>
      <c r="B1011" t="s">
        <v>34</v>
      </c>
      <c r="C1011" t="s">
        <v>4092</v>
      </c>
      <c r="D1011" t="s">
        <v>4093</v>
      </c>
      <c r="E1011" t="s">
        <v>4094</v>
      </c>
      <c r="F1011" t="s">
        <v>4095</v>
      </c>
      <c r="G1011" t="s">
        <v>39</v>
      </c>
      <c r="H1011" t="s">
        <v>40</v>
      </c>
      <c r="I1011" t="s">
        <v>41</v>
      </c>
      <c r="J1011" t="s">
        <v>37</v>
      </c>
      <c r="K1011" t="s">
        <v>37</v>
      </c>
      <c r="L1011" t="s">
        <v>42</v>
      </c>
      <c r="M1011" s="6">
        <v>46116.353958333333</v>
      </c>
      <c r="N1011" t="s">
        <v>4265</v>
      </c>
      <c r="O1011" s="1">
        <v>46116.364583333336</v>
      </c>
      <c r="P1011" s="1">
        <v>46116.354467592595</v>
      </c>
      <c r="Q1011" t="s">
        <v>4265</v>
      </c>
      <c r="R1011" s="6">
        <v>46116.701388888891</v>
      </c>
      <c r="S1011" t="s">
        <v>43</v>
      </c>
      <c r="T1011">
        <v>24.99</v>
      </c>
      <c r="U1011">
        <v>0</v>
      </c>
      <c r="V1011">
        <v>23.8</v>
      </c>
      <c r="W1011">
        <v>1.19</v>
      </c>
      <c r="X1011">
        <v>0</v>
      </c>
      <c r="Y1011">
        <v>0</v>
      </c>
      <c r="Z1011">
        <v>24.99</v>
      </c>
      <c r="AA1011" t="s">
        <v>2704</v>
      </c>
      <c r="AB1011" t="s">
        <v>45</v>
      </c>
      <c r="AC1011" t="s">
        <v>46</v>
      </c>
      <c r="AD1011" t="s">
        <v>2556</v>
      </c>
      <c r="AE1011" t="s">
        <v>2557</v>
      </c>
      <c r="AF1011" t="s">
        <v>4096</v>
      </c>
      <c r="AG1011" t="s">
        <v>46</v>
      </c>
      <c r="AH1011" t="s">
        <v>4092</v>
      </c>
      <c r="AI1011" t="s">
        <v>37</v>
      </c>
    </row>
    <row r="1012" spans="1:35" x14ac:dyDescent="0.25">
      <c r="A1012" t="s">
        <v>4097</v>
      </c>
      <c r="B1012" t="s">
        <v>34</v>
      </c>
      <c r="C1012" t="s">
        <v>3757</v>
      </c>
      <c r="D1012" t="s">
        <v>3758</v>
      </c>
      <c r="E1012" t="s">
        <v>3759</v>
      </c>
      <c r="F1012" t="s">
        <v>3760</v>
      </c>
      <c r="G1012" t="s">
        <v>39</v>
      </c>
      <c r="H1012" t="s">
        <v>40</v>
      </c>
      <c r="I1012" t="s">
        <v>41</v>
      </c>
      <c r="J1012" t="s">
        <v>37</v>
      </c>
      <c r="K1012" t="s">
        <v>37</v>
      </c>
      <c r="L1012" t="s">
        <v>42</v>
      </c>
      <c r="M1012" s="6">
        <v>46116.398587962962</v>
      </c>
      <c r="N1012" t="s">
        <v>4265</v>
      </c>
      <c r="O1012" s="1">
        <v>46116.489583333336</v>
      </c>
      <c r="P1012" s="1">
        <v>46116.398587962962</v>
      </c>
      <c r="Q1012" t="s">
        <v>4265</v>
      </c>
      <c r="R1012" s="6">
        <v>46116.534722222219</v>
      </c>
      <c r="S1012" t="s">
        <v>43</v>
      </c>
      <c r="T1012">
        <v>24.99</v>
      </c>
      <c r="U1012">
        <v>0</v>
      </c>
      <c r="V1012">
        <v>23.8</v>
      </c>
      <c r="W1012">
        <v>1.19</v>
      </c>
      <c r="X1012">
        <v>0</v>
      </c>
      <c r="Y1012">
        <v>0</v>
      </c>
      <c r="Z1012">
        <v>24.99</v>
      </c>
      <c r="AA1012" t="s">
        <v>2704</v>
      </c>
      <c r="AB1012" t="s">
        <v>45</v>
      </c>
      <c r="AC1012" t="s">
        <v>46</v>
      </c>
      <c r="AD1012" t="s">
        <v>2556</v>
      </c>
      <c r="AE1012" t="s">
        <v>2557</v>
      </c>
      <c r="AF1012" t="s">
        <v>4098</v>
      </c>
      <c r="AG1012" t="s">
        <v>46</v>
      </c>
      <c r="AH1012" t="s">
        <v>3757</v>
      </c>
      <c r="AI1012" t="s">
        <v>37</v>
      </c>
    </row>
    <row r="1013" spans="1:35" x14ac:dyDescent="0.25">
      <c r="A1013" t="s">
        <v>4099</v>
      </c>
      <c r="B1013" t="s">
        <v>34</v>
      </c>
      <c r="C1013" t="s">
        <v>4054</v>
      </c>
      <c r="D1013" t="s">
        <v>4055</v>
      </c>
      <c r="E1013" t="s">
        <v>4056</v>
      </c>
      <c r="F1013" t="s">
        <v>4057</v>
      </c>
      <c r="G1013" t="s">
        <v>39</v>
      </c>
      <c r="H1013" t="s">
        <v>40</v>
      </c>
      <c r="I1013" t="s">
        <v>41</v>
      </c>
      <c r="J1013" t="s">
        <v>37</v>
      </c>
      <c r="K1013" t="s">
        <v>37</v>
      </c>
      <c r="L1013" t="s">
        <v>42</v>
      </c>
      <c r="M1013" s="6">
        <v>46116.408032407409</v>
      </c>
      <c r="N1013" t="s">
        <v>4265</v>
      </c>
      <c r="O1013" s="1">
        <v>46116.416666666664</v>
      </c>
      <c r="P1013" s="1">
        <v>46116.408032407409</v>
      </c>
      <c r="Q1013" t="s">
        <v>4265</v>
      </c>
      <c r="R1013" s="6">
        <v>46116.711805555555</v>
      </c>
      <c r="S1013" t="s">
        <v>43</v>
      </c>
      <c r="T1013">
        <v>24.99</v>
      </c>
      <c r="U1013">
        <v>0</v>
      </c>
      <c r="V1013">
        <v>23.8</v>
      </c>
      <c r="W1013">
        <v>1.19</v>
      </c>
      <c r="X1013">
        <v>0</v>
      </c>
      <c r="Y1013">
        <v>0</v>
      </c>
      <c r="Z1013">
        <v>24.99</v>
      </c>
      <c r="AA1013" t="s">
        <v>2704</v>
      </c>
      <c r="AB1013" t="s">
        <v>45</v>
      </c>
      <c r="AC1013" t="s">
        <v>46</v>
      </c>
      <c r="AD1013" t="s">
        <v>2556</v>
      </c>
      <c r="AE1013" t="s">
        <v>2557</v>
      </c>
      <c r="AF1013" t="s">
        <v>4100</v>
      </c>
      <c r="AG1013" t="s">
        <v>46</v>
      </c>
      <c r="AH1013" t="s">
        <v>4054</v>
      </c>
      <c r="AI1013" t="s">
        <v>37</v>
      </c>
    </row>
    <row r="1014" spans="1:35" x14ac:dyDescent="0.25">
      <c r="A1014" t="s">
        <v>4101</v>
      </c>
      <c r="B1014" t="s">
        <v>34</v>
      </c>
      <c r="C1014" t="s">
        <v>4102</v>
      </c>
      <c r="D1014" t="s">
        <v>4103</v>
      </c>
      <c r="E1014" t="s">
        <v>4104</v>
      </c>
      <c r="F1014" t="s">
        <v>4105</v>
      </c>
      <c r="G1014" t="s">
        <v>39</v>
      </c>
      <c r="H1014" t="s">
        <v>40</v>
      </c>
      <c r="I1014" t="s">
        <v>41</v>
      </c>
      <c r="J1014" t="s">
        <v>37</v>
      </c>
      <c r="K1014" t="s">
        <v>37</v>
      </c>
      <c r="L1014" t="s">
        <v>42</v>
      </c>
      <c r="M1014" s="6">
        <v>46116.414872685185</v>
      </c>
      <c r="N1014" t="s">
        <v>4265</v>
      </c>
      <c r="O1014" s="1">
        <v>46116.489583333336</v>
      </c>
      <c r="P1014" s="1">
        <v>46116.414872685185</v>
      </c>
      <c r="Q1014" t="s">
        <v>4265</v>
      </c>
      <c r="R1014" s="6">
        <v>46116.534722222219</v>
      </c>
      <c r="S1014" t="s">
        <v>43</v>
      </c>
      <c r="T1014">
        <v>24.99</v>
      </c>
      <c r="U1014">
        <v>0</v>
      </c>
      <c r="V1014">
        <v>23.8</v>
      </c>
      <c r="W1014">
        <v>1.19</v>
      </c>
      <c r="X1014">
        <v>0</v>
      </c>
      <c r="Y1014">
        <v>0</v>
      </c>
      <c r="Z1014">
        <v>24.99</v>
      </c>
      <c r="AA1014" t="s">
        <v>2704</v>
      </c>
      <c r="AB1014" t="s">
        <v>45</v>
      </c>
      <c r="AC1014" t="s">
        <v>46</v>
      </c>
      <c r="AD1014" t="s">
        <v>2556</v>
      </c>
      <c r="AE1014" t="s">
        <v>2557</v>
      </c>
      <c r="AF1014" t="s">
        <v>4106</v>
      </c>
      <c r="AG1014" t="s">
        <v>46</v>
      </c>
      <c r="AH1014" t="s">
        <v>4102</v>
      </c>
      <c r="AI1014" t="s">
        <v>37</v>
      </c>
    </row>
    <row r="1015" spans="1:35" x14ac:dyDescent="0.25">
      <c r="A1015" t="s">
        <v>4107</v>
      </c>
      <c r="B1015" t="s">
        <v>34</v>
      </c>
      <c r="C1015" t="s">
        <v>4108</v>
      </c>
      <c r="D1015" t="s">
        <v>4109</v>
      </c>
      <c r="E1015" t="s">
        <v>4110</v>
      </c>
      <c r="F1015" t="s">
        <v>4111</v>
      </c>
      <c r="G1015" t="s">
        <v>39</v>
      </c>
      <c r="H1015" t="s">
        <v>40</v>
      </c>
      <c r="I1015" t="s">
        <v>41</v>
      </c>
      <c r="J1015" t="s">
        <v>37</v>
      </c>
      <c r="K1015" t="s">
        <v>37</v>
      </c>
      <c r="L1015" t="s">
        <v>42</v>
      </c>
      <c r="M1015" s="6">
        <v>46116.416331018518</v>
      </c>
      <c r="N1015" t="s">
        <v>4265</v>
      </c>
      <c r="O1015" s="1">
        <v>46116.458333333336</v>
      </c>
      <c r="P1015" s="1">
        <v>46116.416828703703</v>
      </c>
      <c r="Q1015" t="s">
        <v>4265</v>
      </c>
      <c r="R1015" s="6">
        <v>46116.503472222219</v>
      </c>
      <c r="S1015" t="s">
        <v>43</v>
      </c>
      <c r="T1015">
        <v>24.99</v>
      </c>
      <c r="U1015">
        <v>0</v>
      </c>
      <c r="V1015">
        <v>23.8</v>
      </c>
      <c r="W1015">
        <v>1.19</v>
      </c>
      <c r="X1015">
        <v>0</v>
      </c>
      <c r="Y1015">
        <v>0</v>
      </c>
      <c r="Z1015">
        <v>24.99</v>
      </c>
      <c r="AA1015" t="s">
        <v>2704</v>
      </c>
      <c r="AB1015" t="s">
        <v>45</v>
      </c>
      <c r="AC1015" t="s">
        <v>46</v>
      </c>
      <c r="AD1015" t="s">
        <v>2556</v>
      </c>
      <c r="AE1015" t="s">
        <v>2557</v>
      </c>
      <c r="AF1015" t="s">
        <v>4112</v>
      </c>
      <c r="AG1015" t="s">
        <v>46</v>
      </c>
      <c r="AH1015" t="s">
        <v>4108</v>
      </c>
      <c r="AI1015" t="s">
        <v>37</v>
      </c>
    </row>
    <row r="1016" spans="1:35" x14ac:dyDescent="0.25">
      <c r="A1016" t="s">
        <v>4113</v>
      </c>
      <c r="B1016" t="s">
        <v>34</v>
      </c>
      <c r="C1016" t="s">
        <v>4092</v>
      </c>
      <c r="D1016" t="s">
        <v>4093</v>
      </c>
      <c r="E1016" t="s">
        <v>4094</v>
      </c>
      <c r="F1016" t="s">
        <v>4095</v>
      </c>
      <c r="G1016" t="s">
        <v>39</v>
      </c>
      <c r="H1016" t="s">
        <v>40</v>
      </c>
      <c r="I1016" t="s">
        <v>41</v>
      </c>
      <c r="J1016" t="s">
        <v>37</v>
      </c>
      <c r="K1016" t="s">
        <v>37</v>
      </c>
      <c r="L1016" t="s">
        <v>42</v>
      </c>
      <c r="M1016" s="6">
        <v>46116.976331018515</v>
      </c>
      <c r="N1016" t="s">
        <v>4266</v>
      </c>
      <c r="O1016" s="1">
        <v>46117.354166666664</v>
      </c>
      <c r="P1016" s="1">
        <v>46116.976331018515</v>
      </c>
      <c r="Q1016" t="s">
        <v>4266</v>
      </c>
      <c r="R1016" s="6">
        <v>46117.690972222219</v>
      </c>
      <c r="S1016" t="s">
        <v>43</v>
      </c>
      <c r="T1016">
        <v>24.99</v>
      </c>
      <c r="U1016">
        <v>0</v>
      </c>
      <c r="V1016">
        <v>23.8</v>
      </c>
      <c r="W1016">
        <v>1.19</v>
      </c>
      <c r="X1016">
        <v>0</v>
      </c>
      <c r="Y1016">
        <v>0</v>
      </c>
      <c r="Z1016">
        <v>24.99</v>
      </c>
      <c r="AA1016" t="s">
        <v>2704</v>
      </c>
      <c r="AB1016" t="s">
        <v>45</v>
      </c>
      <c r="AC1016" t="s">
        <v>46</v>
      </c>
      <c r="AD1016" t="s">
        <v>2556</v>
      </c>
      <c r="AE1016" t="s">
        <v>2557</v>
      </c>
      <c r="AF1016" t="s">
        <v>4114</v>
      </c>
      <c r="AG1016" t="s">
        <v>46</v>
      </c>
      <c r="AH1016" t="s">
        <v>4092</v>
      </c>
      <c r="AI1016" t="s">
        <v>37</v>
      </c>
    </row>
    <row r="1017" spans="1:35" x14ac:dyDescent="0.25">
      <c r="A1017" t="s">
        <v>4115</v>
      </c>
      <c r="B1017" t="s">
        <v>34</v>
      </c>
      <c r="C1017" t="s">
        <v>4116</v>
      </c>
      <c r="D1017" t="s">
        <v>4117</v>
      </c>
      <c r="E1017" t="s">
        <v>4118</v>
      </c>
      <c r="F1017" t="s">
        <v>4119</v>
      </c>
      <c r="G1017" t="s">
        <v>39</v>
      </c>
      <c r="H1017" t="s">
        <v>40</v>
      </c>
      <c r="I1017" t="s">
        <v>41</v>
      </c>
      <c r="J1017" t="s">
        <v>37</v>
      </c>
      <c r="K1017" t="s">
        <v>37</v>
      </c>
      <c r="L1017" t="s">
        <v>42</v>
      </c>
      <c r="M1017" s="6">
        <v>46117.287372685183</v>
      </c>
      <c r="N1017" t="s">
        <v>4266</v>
      </c>
      <c r="O1017" s="1">
        <v>46117.375</v>
      </c>
      <c r="P1017" s="1">
        <v>46117.287372685183</v>
      </c>
      <c r="Q1017" t="s">
        <v>4266</v>
      </c>
      <c r="R1017" s="6">
        <v>46117.732638888891</v>
      </c>
      <c r="S1017" t="s">
        <v>43</v>
      </c>
      <c r="T1017">
        <v>24.99</v>
      </c>
      <c r="U1017">
        <v>0</v>
      </c>
      <c r="V1017">
        <v>23.8</v>
      </c>
      <c r="W1017">
        <v>1.19</v>
      </c>
      <c r="X1017">
        <v>0</v>
      </c>
      <c r="Y1017">
        <v>0</v>
      </c>
      <c r="Z1017">
        <v>24.99</v>
      </c>
      <c r="AA1017" t="s">
        <v>2704</v>
      </c>
      <c r="AB1017" t="s">
        <v>45</v>
      </c>
      <c r="AC1017" t="s">
        <v>46</v>
      </c>
      <c r="AD1017" t="s">
        <v>2556</v>
      </c>
      <c r="AE1017" t="s">
        <v>2557</v>
      </c>
      <c r="AF1017" t="s">
        <v>4120</v>
      </c>
      <c r="AG1017" t="s">
        <v>46</v>
      </c>
      <c r="AH1017" t="s">
        <v>4116</v>
      </c>
      <c r="AI1017" t="s">
        <v>37</v>
      </c>
    </row>
    <row r="1018" spans="1:35" x14ac:dyDescent="0.25">
      <c r="A1018" t="s">
        <v>4121</v>
      </c>
      <c r="B1018" t="s">
        <v>34</v>
      </c>
      <c r="C1018" t="s">
        <v>4122</v>
      </c>
      <c r="D1018" t="s">
        <v>4123</v>
      </c>
      <c r="E1018" t="s">
        <v>4124</v>
      </c>
      <c r="F1018" t="s">
        <v>4125</v>
      </c>
      <c r="G1018" t="s">
        <v>2601</v>
      </c>
      <c r="H1018" t="s">
        <v>40</v>
      </c>
      <c r="I1018" t="s">
        <v>41</v>
      </c>
      <c r="J1018" t="s">
        <v>37</v>
      </c>
      <c r="K1018" t="s">
        <v>37</v>
      </c>
      <c r="L1018" t="s">
        <v>42</v>
      </c>
      <c r="M1018" s="6">
        <v>46117.293020833335</v>
      </c>
      <c r="N1018" t="s">
        <v>4266</v>
      </c>
      <c r="O1018" s="1">
        <v>46117.375</v>
      </c>
      <c r="P1018" s="1">
        <v>46117.293020833335</v>
      </c>
      <c r="Q1018" t="s">
        <v>4266</v>
      </c>
      <c r="R1018" s="6">
        <v>46117.711805555555</v>
      </c>
      <c r="S1018" t="s">
        <v>43</v>
      </c>
      <c r="T1018">
        <v>24.99</v>
      </c>
      <c r="U1018">
        <v>0</v>
      </c>
      <c r="V1018">
        <v>23.8</v>
      </c>
      <c r="W1018">
        <v>1.19</v>
      </c>
      <c r="X1018">
        <v>0</v>
      </c>
      <c r="Y1018">
        <v>0</v>
      </c>
      <c r="Z1018">
        <v>24.99</v>
      </c>
      <c r="AA1018" t="s">
        <v>2704</v>
      </c>
      <c r="AB1018" t="s">
        <v>45</v>
      </c>
      <c r="AC1018" t="s">
        <v>46</v>
      </c>
      <c r="AD1018" t="s">
        <v>2556</v>
      </c>
      <c r="AE1018" t="s">
        <v>2557</v>
      </c>
      <c r="AF1018" t="s">
        <v>4126</v>
      </c>
      <c r="AG1018" t="s">
        <v>46</v>
      </c>
      <c r="AH1018" t="s">
        <v>4122</v>
      </c>
      <c r="AI1018" t="s">
        <v>37</v>
      </c>
    </row>
    <row r="1019" spans="1:35" x14ac:dyDescent="0.25">
      <c r="A1019" t="s">
        <v>4127</v>
      </c>
      <c r="B1019" t="s">
        <v>34</v>
      </c>
      <c r="C1019" t="s">
        <v>4128</v>
      </c>
      <c r="D1019" t="s">
        <v>4129</v>
      </c>
      <c r="E1019" t="s">
        <v>4130</v>
      </c>
      <c r="F1019" t="s">
        <v>4131</v>
      </c>
      <c r="G1019" t="s">
        <v>39</v>
      </c>
      <c r="H1019" t="s">
        <v>40</v>
      </c>
      <c r="I1019" t="s">
        <v>41</v>
      </c>
      <c r="J1019" t="s">
        <v>37</v>
      </c>
      <c r="K1019" t="s">
        <v>37</v>
      </c>
      <c r="L1019" t="s">
        <v>42</v>
      </c>
      <c r="M1019" s="6">
        <v>46117.318854166668</v>
      </c>
      <c r="N1019" t="s">
        <v>4266</v>
      </c>
      <c r="O1019" s="1">
        <v>46117.40625</v>
      </c>
      <c r="P1019" s="1">
        <v>46117.319143518522</v>
      </c>
      <c r="Q1019" t="s">
        <v>4266</v>
      </c>
      <c r="R1019" s="6">
        <v>46117.690972222219</v>
      </c>
      <c r="S1019" t="s">
        <v>43</v>
      </c>
      <c r="T1019">
        <v>24.99</v>
      </c>
      <c r="U1019">
        <v>0</v>
      </c>
      <c r="V1019">
        <v>23.8</v>
      </c>
      <c r="W1019">
        <v>1.19</v>
      </c>
      <c r="X1019">
        <v>0</v>
      </c>
      <c r="Y1019">
        <v>0</v>
      </c>
      <c r="Z1019">
        <v>24.99</v>
      </c>
      <c r="AA1019" t="s">
        <v>2704</v>
      </c>
      <c r="AB1019" t="s">
        <v>45</v>
      </c>
      <c r="AC1019" t="s">
        <v>46</v>
      </c>
      <c r="AD1019" t="s">
        <v>2556</v>
      </c>
      <c r="AE1019" t="s">
        <v>2557</v>
      </c>
      <c r="AF1019" t="s">
        <v>4132</v>
      </c>
      <c r="AG1019" t="s">
        <v>46</v>
      </c>
      <c r="AH1019" t="s">
        <v>4128</v>
      </c>
      <c r="AI1019" t="s">
        <v>37</v>
      </c>
    </row>
    <row r="1020" spans="1:35" x14ac:dyDescent="0.25">
      <c r="A1020" t="s">
        <v>4133</v>
      </c>
      <c r="B1020" t="s">
        <v>34</v>
      </c>
      <c r="C1020" t="s">
        <v>4134</v>
      </c>
      <c r="D1020" t="s">
        <v>4135</v>
      </c>
      <c r="E1020" t="s">
        <v>4136</v>
      </c>
      <c r="F1020" t="s">
        <v>4137</v>
      </c>
      <c r="G1020" t="s">
        <v>39</v>
      </c>
      <c r="H1020" t="s">
        <v>40</v>
      </c>
      <c r="I1020" t="s">
        <v>41</v>
      </c>
      <c r="J1020" t="s">
        <v>37</v>
      </c>
      <c r="K1020" t="s">
        <v>37</v>
      </c>
      <c r="L1020" t="s">
        <v>42</v>
      </c>
      <c r="M1020" s="6">
        <v>46117.368796296294</v>
      </c>
      <c r="N1020" t="s">
        <v>4266</v>
      </c>
      <c r="O1020" s="1">
        <v>46117.40625</v>
      </c>
      <c r="P1020" s="1">
        <v>46117.369363425925</v>
      </c>
      <c r="Q1020" t="s">
        <v>4266</v>
      </c>
      <c r="R1020" s="6">
        <v>46117.670138888891</v>
      </c>
      <c r="S1020" t="s">
        <v>43</v>
      </c>
      <c r="T1020">
        <v>24.99</v>
      </c>
      <c r="U1020">
        <v>0</v>
      </c>
      <c r="V1020">
        <v>23.8</v>
      </c>
      <c r="W1020">
        <v>1.19</v>
      </c>
      <c r="X1020">
        <v>0</v>
      </c>
      <c r="Y1020">
        <v>0</v>
      </c>
      <c r="Z1020">
        <v>24.99</v>
      </c>
      <c r="AA1020" t="s">
        <v>2704</v>
      </c>
      <c r="AB1020" t="s">
        <v>45</v>
      </c>
      <c r="AC1020" t="s">
        <v>46</v>
      </c>
      <c r="AD1020" t="s">
        <v>2556</v>
      </c>
      <c r="AE1020" t="s">
        <v>2557</v>
      </c>
      <c r="AF1020" t="s">
        <v>4138</v>
      </c>
      <c r="AG1020" t="s">
        <v>46</v>
      </c>
      <c r="AH1020" t="s">
        <v>4134</v>
      </c>
      <c r="AI1020" t="s">
        <v>37</v>
      </c>
    </row>
    <row r="1021" spans="1:35" x14ac:dyDescent="0.25">
      <c r="A1021" t="s">
        <v>4139</v>
      </c>
      <c r="B1021" t="s">
        <v>34</v>
      </c>
      <c r="C1021" t="s">
        <v>4140</v>
      </c>
      <c r="D1021" t="s">
        <v>4141</v>
      </c>
      <c r="E1021" t="s">
        <v>4142</v>
      </c>
      <c r="F1021" t="s">
        <v>4143</v>
      </c>
      <c r="G1021" t="s">
        <v>39</v>
      </c>
      <c r="H1021" t="s">
        <v>40</v>
      </c>
      <c r="I1021" t="s">
        <v>41</v>
      </c>
      <c r="J1021" t="s">
        <v>37</v>
      </c>
      <c r="K1021" t="s">
        <v>37</v>
      </c>
      <c r="L1021" t="s">
        <v>42</v>
      </c>
      <c r="M1021" s="6">
        <v>46117.436215277776</v>
      </c>
      <c r="N1021" t="s">
        <v>4266</v>
      </c>
      <c r="O1021" s="1">
        <v>46117.4375</v>
      </c>
      <c r="P1021" s="1">
        <v>46117.436724537038</v>
      </c>
      <c r="Q1021" t="s">
        <v>4266</v>
      </c>
      <c r="R1021" s="6">
        <v>46117.482638888891</v>
      </c>
      <c r="S1021" t="s">
        <v>43</v>
      </c>
      <c r="T1021">
        <v>24.99</v>
      </c>
      <c r="U1021">
        <v>0</v>
      </c>
      <c r="V1021">
        <v>23.8</v>
      </c>
      <c r="W1021">
        <v>1.19</v>
      </c>
      <c r="X1021">
        <v>0</v>
      </c>
      <c r="Y1021">
        <v>0</v>
      </c>
      <c r="Z1021">
        <v>24.99</v>
      </c>
      <c r="AA1021" t="s">
        <v>2704</v>
      </c>
      <c r="AB1021" t="s">
        <v>45</v>
      </c>
      <c r="AC1021" t="s">
        <v>46</v>
      </c>
      <c r="AD1021" t="s">
        <v>2556</v>
      </c>
      <c r="AE1021" t="s">
        <v>2557</v>
      </c>
      <c r="AF1021" t="s">
        <v>4144</v>
      </c>
      <c r="AG1021" t="s">
        <v>46</v>
      </c>
      <c r="AH1021" t="s">
        <v>4140</v>
      </c>
      <c r="AI1021" t="s">
        <v>37</v>
      </c>
    </row>
    <row r="1022" spans="1:35" x14ac:dyDescent="0.25">
      <c r="A1022" t="s">
        <v>4145</v>
      </c>
      <c r="B1022" t="s">
        <v>34</v>
      </c>
      <c r="C1022" t="s">
        <v>4146</v>
      </c>
      <c r="D1022" t="s">
        <v>4147</v>
      </c>
      <c r="E1022" t="s">
        <v>4148</v>
      </c>
      <c r="F1022" t="s">
        <v>4149</v>
      </c>
      <c r="G1022" t="s">
        <v>39</v>
      </c>
      <c r="H1022" t="s">
        <v>40</v>
      </c>
      <c r="I1022" t="s">
        <v>41</v>
      </c>
      <c r="J1022" t="s">
        <v>37</v>
      </c>
      <c r="K1022" t="s">
        <v>37</v>
      </c>
      <c r="L1022" t="s">
        <v>42</v>
      </c>
      <c r="M1022" s="6">
        <v>46117.669733796298</v>
      </c>
      <c r="N1022" t="s">
        <v>4262</v>
      </c>
      <c r="O1022" s="1">
        <v>46118.375</v>
      </c>
      <c r="P1022" s="1">
        <v>46117.670868055553</v>
      </c>
      <c r="Q1022" t="s">
        <v>4262</v>
      </c>
      <c r="R1022" s="6">
        <v>46118.711805555555</v>
      </c>
      <c r="S1022" t="s">
        <v>43</v>
      </c>
      <c r="T1022">
        <v>24.99</v>
      </c>
      <c r="U1022">
        <v>0</v>
      </c>
      <c r="V1022">
        <v>23.8</v>
      </c>
      <c r="W1022">
        <v>1.19</v>
      </c>
      <c r="X1022">
        <v>0</v>
      </c>
      <c r="Y1022">
        <v>0</v>
      </c>
      <c r="Z1022">
        <v>24.99</v>
      </c>
      <c r="AA1022" t="s">
        <v>2704</v>
      </c>
      <c r="AB1022" t="s">
        <v>45</v>
      </c>
      <c r="AC1022" t="s">
        <v>46</v>
      </c>
      <c r="AD1022" t="s">
        <v>2556</v>
      </c>
      <c r="AE1022" t="s">
        <v>2557</v>
      </c>
      <c r="AF1022" t="s">
        <v>4150</v>
      </c>
      <c r="AG1022" t="s">
        <v>46</v>
      </c>
      <c r="AH1022" t="s">
        <v>4146</v>
      </c>
      <c r="AI1022" t="s">
        <v>37</v>
      </c>
    </row>
    <row r="1023" spans="1:35" x14ac:dyDescent="0.25">
      <c r="A1023" t="s">
        <v>4151</v>
      </c>
      <c r="B1023" t="s">
        <v>34</v>
      </c>
      <c r="C1023" t="s">
        <v>4092</v>
      </c>
      <c r="D1023" t="s">
        <v>4093</v>
      </c>
      <c r="E1023" t="s">
        <v>4094</v>
      </c>
      <c r="F1023" t="s">
        <v>4095</v>
      </c>
      <c r="G1023" t="s">
        <v>39</v>
      </c>
      <c r="H1023" t="s">
        <v>40</v>
      </c>
      <c r="I1023" t="s">
        <v>41</v>
      </c>
      <c r="J1023" t="s">
        <v>37</v>
      </c>
      <c r="K1023" t="s">
        <v>37</v>
      </c>
      <c r="L1023" t="s">
        <v>42</v>
      </c>
      <c r="M1023" s="6">
        <v>46118.356562499997</v>
      </c>
      <c r="N1023" t="s">
        <v>4262</v>
      </c>
      <c r="O1023" s="1">
        <v>46118.447916666664</v>
      </c>
      <c r="P1023" s="1">
        <v>46118.356574074074</v>
      </c>
      <c r="Q1023" t="s">
        <v>4262</v>
      </c>
      <c r="R1023" s="6">
        <v>46118.690972222219</v>
      </c>
      <c r="S1023" t="s">
        <v>43</v>
      </c>
      <c r="T1023">
        <v>24.99</v>
      </c>
      <c r="U1023">
        <v>0</v>
      </c>
      <c r="V1023">
        <v>23.8</v>
      </c>
      <c r="W1023">
        <v>1.19</v>
      </c>
      <c r="X1023">
        <v>0</v>
      </c>
      <c r="Y1023">
        <v>0</v>
      </c>
      <c r="Z1023">
        <v>24.99</v>
      </c>
      <c r="AA1023" t="s">
        <v>2704</v>
      </c>
      <c r="AB1023" t="s">
        <v>45</v>
      </c>
      <c r="AC1023" t="s">
        <v>46</v>
      </c>
      <c r="AD1023" t="s">
        <v>2556</v>
      </c>
      <c r="AE1023" t="s">
        <v>2557</v>
      </c>
      <c r="AF1023" t="s">
        <v>4152</v>
      </c>
      <c r="AG1023" t="s">
        <v>46</v>
      </c>
      <c r="AH1023" t="s">
        <v>4092</v>
      </c>
      <c r="AI1023" t="s">
        <v>37</v>
      </c>
    </row>
    <row r="1024" spans="1:35" x14ac:dyDescent="0.25">
      <c r="A1024" t="s">
        <v>4153</v>
      </c>
      <c r="B1024" t="s">
        <v>34</v>
      </c>
      <c r="C1024" t="s">
        <v>4154</v>
      </c>
      <c r="D1024" t="s">
        <v>4155</v>
      </c>
      <c r="E1024" t="s">
        <v>4156</v>
      </c>
      <c r="F1024" t="s">
        <v>4157</v>
      </c>
      <c r="G1024" t="s">
        <v>2601</v>
      </c>
      <c r="H1024" t="s">
        <v>40</v>
      </c>
      <c r="I1024" t="s">
        <v>41</v>
      </c>
      <c r="J1024" t="s">
        <v>37</v>
      </c>
      <c r="K1024" t="s">
        <v>37</v>
      </c>
      <c r="L1024" t="s">
        <v>42</v>
      </c>
      <c r="M1024" s="6">
        <v>46118.46565972222</v>
      </c>
      <c r="N1024" t="s">
        <v>4262</v>
      </c>
      <c r="O1024" s="1">
        <v>46118.552083333336</v>
      </c>
      <c r="P1024" s="1">
        <v>46118.46565972222</v>
      </c>
      <c r="Q1024" t="s">
        <v>4262</v>
      </c>
      <c r="R1024" s="6">
        <v>46118.597222222219</v>
      </c>
      <c r="S1024" t="s">
        <v>43</v>
      </c>
      <c r="T1024">
        <v>24.99</v>
      </c>
      <c r="U1024">
        <v>0</v>
      </c>
      <c r="V1024">
        <v>23.8</v>
      </c>
      <c r="W1024">
        <v>1.19</v>
      </c>
      <c r="X1024">
        <v>0</v>
      </c>
      <c r="Y1024">
        <v>0</v>
      </c>
      <c r="Z1024">
        <v>24.99</v>
      </c>
      <c r="AA1024" t="s">
        <v>2704</v>
      </c>
      <c r="AB1024" t="s">
        <v>45</v>
      </c>
      <c r="AC1024" t="s">
        <v>46</v>
      </c>
      <c r="AD1024" t="s">
        <v>2556</v>
      </c>
      <c r="AE1024" t="s">
        <v>2557</v>
      </c>
      <c r="AF1024" t="s">
        <v>4158</v>
      </c>
      <c r="AG1024" t="s">
        <v>46</v>
      </c>
      <c r="AH1024" t="s">
        <v>4154</v>
      </c>
      <c r="AI1024" t="s">
        <v>37</v>
      </c>
    </row>
    <row r="1025" spans="1:35" x14ac:dyDescent="0.25">
      <c r="A1025" t="s">
        <v>4159</v>
      </c>
      <c r="B1025" t="s">
        <v>34</v>
      </c>
      <c r="C1025" t="s">
        <v>4160</v>
      </c>
      <c r="D1025" t="s">
        <v>4161</v>
      </c>
      <c r="E1025" t="s">
        <v>4162</v>
      </c>
      <c r="F1025" t="s">
        <v>4163</v>
      </c>
      <c r="G1025" t="s">
        <v>39</v>
      </c>
      <c r="H1025" t="s">
        <v>40</v>
      </c>
      <c r="I1025" t="s">
        <v>41</v>
      </c>
      <c r="J1025" t="s">
        <v>37</v>
      </c>
      <c r="K1025" t="s">
        <v>37</v>
      </c>
      <c r="L1025" t="s">
        <v>42</v>
      </c>
      <c r="M1025" s="6">
        <v>46119.35224537037</v>
      </c>
      <c r="N1025" t="s">
        <v>4268</v>
      </c>
      <c r="O1025" s="1">
        <v>46122.354166666664</v>
      </c>
      <c r="P1025" s="1">
        <v>46119.35224537037</v>
      </c>
      <c r="Q1025" t="s">
        <v>4268</v>
      </c>
      <c r="R1025" s="6">
        <v>46122.711805555555</v>
      </c>
      <c r="S1025" t="s">
        <v>43</v>
      </c>
      <c r="T1025">
        <v>24.99</v>
      </c>
      <c r="U1025">
        <v>0</v>
      </c>
      <c r="V1025">
        <v>23.8</v>
      </c>
      <c r="W1025">
        <v>1.19</v>
      </c>
      <c r="X1025">
        <v>0</v>
      </c>
      <c r="Y1025">
        <v>0</v>
      </c>
      <c r="Z1025">
        <v>24.99</v>
      </c>
      <c r="AA1025" t="s">
        <v>2704</v>
      </c>
      <c r="AB1025" t="s">
        <v>45</v>
      </c>
      <c r="AC1025" t="s">
        <v>46</v>
      </c>
      <c r="AD1025" t="s">
        <v>2556</v>
      </c>
      <c r="AE1025" t="s">
        <v>2557</v>
      </c>
      <c r="AF1025" t="s">
        <v>4164</v>
      </c>
      <c r="AG1025" t="s">
        <v>46</v>
      </c>
      <c r="AH1025" t="s">
        <v>4160</v>
      </c>
      <c r="AI1025" t="s">
        <v>37</v>
      </c>
    </row>
    <row r="1026" spans="1:35" x14ac:dyDescent="0.25">
      <c r="A1026" t="s">
        <v>4165</v>
      </c>
      <c r="B1026" t="s">
        <v>34</v>
      </c>
      <c r="C1026" t="s">
        <v>4160</v>
      </c>
      <c r="D1026" t="s">
        <v>4161</v>
      </c>
      <c r="E1026" t="s">
        <v>4162</v>
      </c>
      <c r="F1026" t="s">
        <v>4163</v>
      </c>
      <c r="G1026" t="s">
        <v>39</v>
      </c>
      <c r="H1026" t="s">
        <v>40</v>
      </c>
      <c r="I1026" t="s">
        <v>41</v>
      </c>
      <c r="J1026" t="s">
        <v>37</v>
      </c>
      <c r="K1026" t="s">
        <v>37</v>
      </c>
      <c r="L1026" t="s">
        <v>42</v>
      </c>
      <c r="M1026" s="6">
        <v>46119.353275462963</v>
      </c>
      <c r="N1026" t="s">
        <v>4265</v>
      </c>
      <c r="O1026" s="1">
        <v>46123.354166666664</v>
      </c>
      <c r="P1026" s="1">
        <v>46119.353275462963</v>
      </c>
      <c r="Q1026" t="s">
        <v>4265</v>
      </c>
      <c r="R1026" s="6">
        <v>46123.711805555555</v>
      </c>
      <c r="S1026" t="s">
        <v>43</v>
      </c>
      <c r="T1026">
        <v>24.99</v>
      </c>
      <c r="U1026">
        <v>0</v>
      </c>
      <c r="V1026">
        <v>23.8</v>
      </c>
      <c r="W1026">
        <v>1.19</v>
      </c>
      <c r="X1026">
        <v>0</v>
      </c>
      <c r="Y1026">
        <v>0</v>
      </c>
      <c r="Z1026">
        <v>24.99</v>
      </c>
      <c r="AA1026" t="s">
        <v>2704</v>
      </c>
      <c r="AB1026" t="s">
        <v>45</v>
      </c>
      <c r="AC1026" t="s">
        <v>46</v>
      </c>
      <c r="AD1026" t="s">
        <v>2556</v>
      </c>
      <c r="AE1026" t="s">
        <v>2557</v>
      </c>
      <c r="AF1026" t="s">
        <v>4166</v>
      </c>
      <c r="AG1026" t="s">
        <v>46</v>
      </c>
      <c r="AH1026" t="s">
        <v>4160</v>
      </c>
      <c r="AI1026" t="s">
        <v>37</v>
      </c>
    </row>
    <row r="1027" spans="1:35" x14ac:dyDescent="0.25">
      <c r="A1027" t="s">
        <v>4167</v>
      </c>
      <c r="B1027" t="s">
        <v>34</v>
      </c>
      <c r="C1027" t="s">
        <v>4168</v>
      </c>
      <c r="D1027" t="s">
        <v>4169</v>
      </c>
      <c r="E1027" t="s">
        <v>4170</v>
      </c>
      <c r="F1027" t="s">
        <v>4171</v>
      </c>
      <c r="G1027" t="s">
        <v>2601</v>
      </c>
      <c r="H1027" t="s">
        <v>40</v>
      </c>
      <c r="I1027" t="s">
        <v>41</v>
      </c>
      <c r="J1027" t="s">
        <v>37</v>
      </c>
      <c r="K1027" t="s">
        <v>37</v>
      </c>
      <c r="L1027" t="s">
        <v>42</v>
      </c>
      <c r="M1027" s="6">
        <v>46122.900173611109</v>
      </c>
      <c r="N1027" t="s">
        <v>4265</v>
      </c>
      <c r="O1027" s="1">
        <v>46123.333333333336</v>
      </c>
      <c r="P1027" s="1">
        <v>46122.900173611109</v>
      </c>
      <c r="Q1027" t="s">
        <v>4266</v>
      </c>
      <c r="R1027" s="6">
        <v>46124.711805555555</v>
      </c>
      <c r="S1027" t="s">
        <v>43</v>
      </c>
      <c r="T1027">
        <v>49.98</v>
      </c>
      <c r="U1027">
        <v>0</v>
      </c>
      <c r="V1027">
        <v>47.6</v>
      </c>
      <c r="W1027">
        <v>2.38</v>
      </c>
      <c r="X1027">
        <v>0</v>
      </c>
      <c r="Y1027">
        <v>0</v>
      </c>
      <c r="Z1027">
        <v>49.98</v>
      </c>
      <c r="AA1027" t="s">
        <v>2704</v>
      </c>
      <c r="AB1027" t="s">
        <v>45</v>
      </c>
      <c r="AC1027" t="s">
        <v>46</v>
      </c>
      <c r="AD1027" t="s">
        <v>2556</v>
      </c>
      <c r="AE1027" t="s">
        <v>2557</v>
      </c>
      <c r="AF1027" t="s">
        <v>4172</v>
      </c>
      <c r="AG1027" t="s">
        <v>46</v>
      </c>
      <c r="AH1027" t="s">
        <v>4168</v>
      </c>
      <c r="AI1027" t="s">
        <v>37</v>
      </c>
    </row>
    <row r="1028" spans="1:35" x14ac:dyDescent="0.25">
      <c r="A1028" t="s">
        <v>4173</v>
      </c>
      <c r="B1028" t="s">
        <v>34</v>
      </c>
      <c r="C1028" t="s">
        <v>4174</v>
      </c>
      <c r="D1028" t="s">
        <v>4175</v>
      </c>
      <c r="E1028" t="s">
        <v>4176</v>
      </c>
      <c r="F1028" t="s">
        <v>4177</v>
      </c>
      <c r="G1028" t="s">
        <v>39</v>
      </c>
      <c r="H1028" t="s">
        <v>40</v>
      </c>
      <c r="I1028" t="s">
        <v>41</v>
      </c>
      <c r="J1028" t="s">
        <v>37</v>
      </c>
      <c r="K1028" t="s">
        <v>37</v>
      </c>
      <c r="L1028" t="s">
        <v>42</v>
      </c>
      <c r="M1028" s="6">
        <v>46123.308333333334</v>
      </c>
      <c r="N1028" t="s">
        <v>4265</v>
      </c>
      <c r="O1028" s="1">
        <v>46123.354166666664</v>
      </c>
      <c r="P1028" s="1">
        <v>46123.308599537035</v>
      </c>
      <c r="Q1028" t="s">
        <v>4265</v>
      </c>
      <c r="R1028" s="6">
        <v>46123.711805555555</v>
      </c>
      <c r="S1028" t="s">
        <v>43</v>
      </c>
      <c r="T1028">
        <v>24.99</v>
      </c>
      <c r="U1028">
        <v>0</v>
      </c>
      <c r="V1028">
        <v>23.8</v>
      </c>
      <c r="W1028">
        <v>1.19</v>
      </c>
      <c r="X1028">
        <v>0</v>
      </c>
      <c r="Y1028">
        <v>0</v>
      </c>
      <c r="Z1028">
        <v>24.99</v>
      </c>
      <c r="AA1028" t="s">
        <v>2704</v>
      </c>
      <c r="AB1028" t="s">
        <v>45</v>
      </c>
      <c r="AC1028" t="s">
        <v>46</v>
      </c>
      <c r="AD1028" t="s">
        <v>2556</v>
      </c>
      <c r="AE1028" t="s">
        <v>2557</v>
      </c>
      <c r="AF1028" t="s">
        <v>4178</v>
      </c>
      <c r="AG1028" t="s">
        <v>46</v>
      </c>
      <c r="AH1028" t="s">
        <v>4174</v>
      </c>
      <c r="AI1028" t="s">
        <v>37</v>
      </c>
    </row>
    <row r="1029" spans="1:35" x14ac:dyDescent="0.25">
      <c r="A1029" t="s">
        <v>4179</v>
      </c>
      <c r="B1029" t="s">
        <v>34</v>
      </c>
      <c r="C1029" t="s">
        <v>4180</v>
      </c>
      <c r="D1029" t="s">
        <v>4181</v>
      </c>
      <c r="E1029" t="s">
        <v>4182</v>
      </c>
      <c r="F1029" t="s">
        <v>4183</v>
      </c>
      <c r="G1029" t="s">
        <v>39</v>
      </c>
      <c r="H1029" t="s">
        <v>40</v>
      </c>
      <c r="I1029" t="s">
        <v>41</v>
      </c>
      <c r="J1029" t="s">
        <v>37</v>
      </c>
      <c r="K1029" t="s">
        <v>37</v>
      </c>
      <c r="L1029" t="s">
        <v>42</v>
      </c>
      <c r="M1029" s="6">
        <v>46124.329085648147</v>
      </c>
      <c r="N1029" t="s">
        <v>4266</v>
      </c>
      <c r="O1029" s="1">
        <v>46124.416666666664</v>
      </c>
      <c r="P1029" s="1">
        <v>46124.329328703701</v>
      </c>
      <c r="Q1029" t="s">
        <v>4266</v>
      </c>
      <c r="R1029" s="6">
        <v>46124.711805555555</v>
      </c>
      <c r="S1029" t="s">
        <v>43</v>
      </c>
      <c r="T1029">
        <v>24.99</v>
      </c>
      <c r="U1029">
        <v>0</v>
      </c>
      <c r="V1029">
        <v>23.8</v>
      </c>
      <c r="W1029">
        <v>1.19</v>
      </c>
      <c r="X1029">
        <v>0</v>
      </c>
      <c r="Y1029">
        <v>0</v>
      </c>
      <c r="Z1029">
        <v>24.99</v>
      </c>
      <c r="AA1029" t="s">
        <v>2704</v>
      </c>
      <c r="AB1029" t="s">
        <v>45</v>
      </c>
      <c r="AC1029" t="s">
        <v>46</v>
      </c>
      <c r="AD1029" t="s">
        <v>2556</v>
      </c>
      <c r="AE1029" t="s">
        <v>2557</v>
      </c>
      <c r="AF1029" t="s">
        <v>4184</v>
      </c>
      <c r="AG1029" t="s">
        <v>46</v>
      </c>
      <c r="AH1029" t="s">
        <v>4180</v>
      </c>
      <c r="AI1029" t="s">
        <v>37</v>
      </c>
    </row>
    <row r="1030" spans="1:35" x14ac:dyDescent="0.25">
      <c r="A1030" t="s">
        <v>4185</v>
      </c>
      <c r="B1030" t="s">
        <v>34</v>
      </c>
      <c r="C1030" t="s">
        <v>4186</v>
      </c>
      <c r="D1030" t="s">
        <v>4187</v>
      </c>
      <c r="E1030" t="s">
        <v>4188</v>
      </c>
      <c r="F1030" t="s">
        <v>4189</v>
      </c>
      <c r="G1030" t="s">
        <v>39</v>
      </c>
      <c r="H1030" t="s">
        <v>40</v>
      </c>
      <c r="I1030" t="s">
        <v>41</v>
      </c>
      <c r="J1030" t="s">
        <v>37</v>
      </c>
      <c r="K1030" t="s">
        <v>37</v>
      </c>
      <c r="L1030" t="s">
        <v>42</v>
      </c>
      <c r="M1030" s="6">
        <v>46124.478668981479</v>
      </c>
      <c r="N1030" t="s">
        <v>4266</v>
      </c>
      <c r="O1030" s="1">
        <v>46124.489583333336</v>
      </c>
      <c r="P1030" s="1">
        <v>46124.479108796295</v>
      </c>
      <c r="Q1030" t="s">
        <v>4266</v>
      </c>
      <c r="R1030" s="6">
        <v>46124.670138888891</v>
      </c>
      <c r="S1030" t="s">
        <v>43</v>
      </c>
      <c r="T1030">
        <v>24.99</v>
      </c>
      <c r="U1030">
        <v>0</v>
      </c>
      <c r="V1030">
        <v>23.8</v>
      </c>
      <c r="W1030">
        <v>1.19</v>
      </c>
      <c r="X1030">
        <v>0</v>
      </c>
      <c r="Y1030">
        <v>0</v>
      </c>
      <c r="Z1030">
        <v>24.99</v>
      </c>
      <c r="AA1030" t="s">
        <v>2704</v>
      </c>
      <c r="AB1030" t="s">
        <v>45</v>
      </c>
      <c r="AC1030" t="s">
        <v>46</v>
      </c>
      <c r="AD1030" t="s">
        <v>2556</v>
      </c>
      <c r="AE1030" t="s">
        <v>2557</v>
      </c>
      <c r="AF1030" t="s">
        <v>4190</v>
      </c>
      <c r="AG1030" t="s">
        <v>46</v>
      </c>
      <c r="AH1030" t="s">
        <v>4186</v>
      </c>
      <c r="AI1030" t="s">
        <v>37</v>
      </c>
    </row>
    <row r="1031" spans="1:35" x14ac:dyDescent="0.25">
      <c r="A1031" t="s">
        <v>4191</v>
      </c>
      <c r="B1031" t="s">
        <v>34</v>
      </c>
      <c r="C1031" t="s">
        <v>4192</v>
      </c>
      <c r="D1031" t="s">
        <v>4193</v>
      </c>
      <c r="E1031" t="s">
        <v>4194</v>
      </c>
      <c r="F1031" t="s">
        <v>4195</v>
      </c>
      <c r="G1031" t="s">
        <v>39</v>
      </c>
      <c r="H1031" t="s">
        <v>40</v>
      </c>
      <c r="I1031" t="s">
        <v>41</v>
      </c>
      <c r="J1031" t="s">
        <v>37</v>
      </c>
      <c r="K1031" t="s">
        <v>37</v>
      </c>
      <c r="L1031" t="s">
        <v>42</v>
      </c>
      <c r="M1031" s="6">
        <v>46126.698159722226</v>
      </c>
      <c r="N1031" t="s">
        <v>4265</v>
      </c>
      <c r="O1031" s="1">
        <v>46130.364583333336</v>
      </c>
      <c r="P1031" s="1">
        <v>46126.698159722226</v>
      </c>
      <c r="Q1031" t="s">
        <v>4265</v>
      </c>
      <c r="R1031" s="6">
        <v>46130.690972222219</v>
      </c>
      <c r="S1031" t="s">
        <v>43</v>
      </c>
      <c r="T1031">
        <v>24.99</v>
      </c>
      <c r="U1031">
        <v>0</v>
      </c>
      <c r="V1031">
        <v>23.8</v>
      </c>
      <c r="W1031">
        <v>1.19</v>
      </c>
      <c r="X1031">
        <v>0</v>
      </c>
      <c r="Y1031">
        <v>0</v>
      </c>
      <c r="Z1031">
        <v>24.99</v>
      </c>
      <c r="AA1031" t="s">
        <v>2704</v>
      </c>
      <c r="AB1031" t="s">
        <v>45</v>
      </c>
      <c r="AC1031" t="s">
        <v>46</v>
      </c>
      <c r="AD1031" t="s">
        <v>2556</v>
      </c>
      <c r="AE1031" t="s">
        <v>2557</v>
      </c>
      <c r="AF1031" t="s">
        <v>4196</v>
      </c>
      <c r="AG1031" t="s">
        <v>46</v>
      </c>
      <c r="AH1031" t="s">
        <v>4192</v>
      </c>
      <c r="AI1031" t="s">
        <v>37</v>
      </c>
    </row>
    <row r="1032" spans="1:35" x14ac:dyDescent="0.25">
      <c r="A1032" t="s">
        <v>4197</v>
      </c>
      <c r="B1032" t="s">
        <v>34</v>
      </c>
      <c r="C1032" t="s">
        <v>4198</v>
      </c>
      <c r="D1032" t="s">
        <v>4199</v>
      </c>
      <c r="E1032" t="s">
        <v>4200</v>
      </c>
      <c r="F1032" t="s">
        <v>4201</v>
      </c>
      <c r="G1032" t="s">
        <v>39</v>
      </c>
      <c r="H1032" t="s">
        <v>40</v>
      </c>
      <c r="I1032" t="s">
        <v>41</v>
      </c>
      <c r="J1032" t="s">
        <v>37</v>
      </c>
      <c r="K1032" t="s">
        <v>37</v>
      </c>
      <c r="L1032" t="s">
        <v>42</v>
      </c>
      <c r="M1032" s="6">
        <v>46129.340381944443</v>
      </c>
      <c r="N1032" t="s">
        <v>4265</v>
      </c>
      <c r="O1032" s="1">
        <v>46130.375</v>
      </c>
      <c r="P1032" s="1">
        <v>46129.340497685182</v>
      </c>
      <c r="Q1032" t="s">
        <v>4265</v>
      </c>
      <c r="R1032" s="6">
        <v>46130.420138888891</v>
      </c>
      <c r="S1032" t="s">
        <v>43</v>
      </c>
      <c r="T1032">
        <v>24.99</v>
      </c>
      <c r="U1032">
        <v>0</v>
      </c>
      <c r="V1032">
        <v>23.8</v>
      </c>
      <c r="W1032">
        <v>1.19</v>
      </c>
      <c r="X1032">
        <v>0</v>
      </c>
      <c r="Y1032">
        <v>0</v>
      </c>
      <c r="Z1032">
        <v>24.99</v>
      </c>
      <c r="AA1032" t="s">
        <v>2704</v>
      </c>
      <c r="AB1032" t="s">
        <v>45</v>
      </c>
      <c r="AC1032" t="s">
        <v>46</v>
      </c>
      <c r="AD1032" t="s">
        <v>2556</v>
      </c>
      <c r="AE1032" t="s">
        <v>2557</v>
      </c>
      <c r="AF1032" t="s">
        <v>4202</v>
      </c>
      <c r="AG1032" t="s">
        <v>46</v>
      </c>
      <c r="AH1032" t="s">
        <v>4198</v>
      </c>
      <c r="AI1032" t="s">
        <v>37</v>
      </c>
    </row>
    <row r="1033" spans="1:35" x14ac:dyDescent="0.25">
      <c r="A1033" t="s">
        <v>4203</v>
      </c>
      <c r="B1033" t="s">
        <v>34</v>
      </c>
      <c r="C1033" t="s">
        <v>1664</v>
      </c>
      <c r="D1033" t="s">
        <v>1665</v>
      </c>
      <c r="E1033" t="s">
        <v>37</v>
      </c>
      <c r="F1033" t="s">
        <v>1666</v>
      </c>
      <c r="G1033" t="s">
        <v>39</v>
      </c>
      <c r="H1033" t="s">
        <v>40</v>
      </c>
      <c r="I1033" t="s">
        <v>41</v>
      </c>
      <c r="J1033" t="s">
        <v>37</v>
      </c>
      <c r="K1033" t="s">
        <v>37</v>
      </c>
      <c r="L1033" t="s">
        <v>42</v>
      </c>
      <c r="M1033" s="6">
        <v>46130.314791666664</v>
      </c>
      <c r="N1033" t="s">
        <v>4265</v>
      </c>
      <c r="O1033" s="1">
        <v>46130.395833333336</v>
      </c>
      <c r="P1033" s="1">
        <v>46130.315636574072</v>
      </c>
      <c r="Q1033" t="s">
        <v>4265</v>
      </c>
      <c r="R1033" s="6">
        <v>46130.440972222219</v>
      </c>
      <c r="S1033" t="s">
        <v>43</v>
      </c>
      <c r="T1033">
        <v>24.99</v>
      </c>
      <c r="U1033">
        <v>0</v>
      </c>
      <c r="V1033">
        <v>23.8</v>
      </c>
      <c r="W1033">
        <v>1.19</v>
      </c>
      <c r="X1033">
        <v>0</v>
      </c>
      <c r="Y1033">
        <v>0</v>
      </c>
      <c r="Z1033">
        <v>24.99</v>
      </c>
      <c r="AA1033" t="s">
        <v>2704</v>
      </c>
      <c r="AB1033" t="s">
        <v>45</v>
      </c>
      <c r="AC1033" t="s">
        <v>46</v>
      </c>
      <c r="AD1033" t="s">
        <v>2556</v>
      </c>
      <c r="AE1033" t="s">
        <v>2557</v>
      </c>
      <c r="AF1033" t="s">
        <v>4204</v>
      </c>
      <c r="AG1033" t="s">
        <v>46</v>
      </c>
      <c r="AH1033" t="s">
        <v>1664</v>
      </c>
      <c r="AI1033" t="s">
        <v>37</v>
      </c>
    </row>
    <row r="1034" spans="1:35" x14ac:dyDescent="0.25">
      <c r="A1034" t="s">
        <v>4205</v>
      </c>
      <c r="B1034" t="s">
        <v>34</v>
      </c>
      <c r="C1034" t="s">
        <v>1664</v>
      </c>
      <c r="D1034" t="s">
        <v>1665</v>
      </c>
      <c r="E1034" t="s">
        <v>37</v>
      </c>
      <c r="F1034" t="s">
        <v>4206</v>
      </c>
      <c r="G1034" t="s">
        <v>39</v>
      </c>
      <c r="H1034" t="s">
        <v>40</v>
      </c>
      <c r="I1034" t="s">
        <v>41</v>
      </c>
      <c r="J1034" t="s">
        <v>37</v>
      </c>
      <c r="K1034" t="s">
        <v>37</v>
      </c>
      <c r="L1034" t="s">
        <v>42</v>
      </c>
      <c r="M1034" s="6">
        <v>46130.318912037037</v>
      </c>
      <c r="N1034" t="s">
        <v>4265</v>
      </c>
      <c r="O1034" s="1">
        <v>46130.395833333336</v>
      </c>
      <c r="P1034" s="1">
        <v>46130.319432870368</v>
      </c>
      <c r="Q1034" t="s">
        <v>4265</v>
      </c>
      <c r="R1034" s="6">
        <v>46130.420138888891</v>
      </c>
      <c r="S1034" t="s">
        <v>43</v>
      </c>
      <c r="T1034">
        <v>24.99</v>
      </c>
      <c r="U1034">
        <v>0</v>
      </c>
      <c r="V1034">
        <v>23.8</v>
      </c>
      <c r="W1034">
        <v>1.19</v>
      </c>
      <c r="X1034">
        <v>0</v>
      </c>
      <c r="Y1034">
        <v>0</v>
      </c>
      <c r="Z1034">
        <v>24.99</v>
      </c>
      <c r="AA1034" t="s">
        <v>2704</v>
      </c>
      <c r="AB1034" t="s">
        <v>45</v>
      </c>
      <c r="AC1034" t="s">
        <v>46</v>
      </c>
      <c r="AD1034" t="s">
        <v>2556</v>
      </c>
      <c r="AE1034" t="s">
        <v>2557</v>
      </c>
      <c r="AF1034" t="s">
        <v>4207</v>
      </c>
      <c r="AG1034" t="s">
        <v>46</v>
      </c>
      <c r="AH1034" t="s">
        <v>1664</v>
      </c>
      <c r="AI1034" t="s">
        <v>37</v>
      </c>
    </row>
    <row r="1035" spans="1:35" x14ac:dyDescent="0.25">
      <c r="A1035" t="s">
        <v>4208</v>
      </c>
      <c r="B1035" t="s">
        <v>34</v>
      </c>
      <c r="C1035" t="s">
        <v>2355</v>
      </c>
      <c r="D1035" t="s">
        <v>2356</v>
      </c>
      <c r="E1035" t="s">
        <v>37</v>
      </c>
      <c r="F1035" t="s">
        <v>3304</v>
      </c>
      <c r="G1035" t="s">
        <v>39</v>
      </c>
      <c r="H1035" t="s">
        <v>40</v>
      </c>
      <c r="I1035" t="s">
        <v>41</v>
      </c>
      <c r="J1035" t="s">
        <v>37</v>
      </c>
      <c r="K1035" t="s">
        <v>37</v>
      </c>
      <c r="L1035" t="s">
        <v>42</v>
      </c>
      <c r="M1035" s="6">
        <v>46130.391087962962</v>
      </c>
      <c r="N1035" t="s">
        <v>4265</v>
      </c>
      <c r="O1035" s="1">
        <v>46130.4375</v>
      </c>
      <c r="P1035" s="1">
        <v>46130.391087962962</v>
      </c>
      <c r="Q1035" t="s">
        <v>4265</v>
      </c>
      <c r="R1035" s="6">
        <v>46130.482638888891</v>
      </c>
      <c r="S1035" t="s">
        <v>43</v>
      </c>
      <c r="T1035">
        <v>24.99</v>
      </c>
      <c r="U1035">
        <v>0</v>
      </c>
      <c r="V1035">
        <v>23.8</v>
      </c>
      <c r="W1035">
        <v>1.19</v>
      </c>
      <c r="X1035">
        <v>0</v>
      </c>
      <c r="Y1035">
        <v>0</v>
      </c>
      <c r="Z1035">
        <v>24.99</v>
      </c>
      <c r="AA1035" t="s">
        <v>2704</v>
      </c>
      <c r="AB1035" t="s">
        <v>45</v>
      </c>
      <c r="AC1035" t="s">
        <v>46</v>
      </c>
      <c r="AD1035" t="s">
        <v>2556</v>
      </c>
      <c r="AE1035" t="s">
        <v>2557</v>
      </c>
      <c r="AF1035" t="s">
        <v>4209</v>
      </c>
      <c r="AG1035" t="s">
        <v>46</v>
      </c>
      <c r="AH1035" t="s">
        <v>2355</v>
      </c>
      <c r="AI1035" t="s">
        <v>37</v>
      </c>
    </row>
    <row r="1036" spans="1:35" x14ac:dyDescent="0.25">
      <c r="A1036" t="s">
        <v>4210</v>
      </c>
      <c r="B1036" t="s">
        <v>34</v>
      </c>
      <c r="C1036" t="s">
        <v>2355</v>
      </c>
      <c r="D1036" t="s">
        <v>2356</v>
      </c>
      <c r="E1036" t="s">
        <v>37</v>
      </c>
      <c r="F1036" t="s">
        <v>3307</v>
      </c>
      <c r="G1036" t="s">
        <v>39</v>
      </c>
      <c r="H1036" t="s">
        <v>40</v>
      </c>
      <c r="I1036" t="s">
        <v>41</v>
      </c>
      <c r="J1036" t="s">
        <v>37</v>
      </c>
      <c r="K1036" t="s">
        <v>37</v>
      </c>
      <c r="L1036" t="s">
        <v>42</v>
      </c>
      <c r="M1036" s="6">
        <v>46130.392974537041</v>
      </c>
      <c r="N1036" t="s">
        <v>4265</v>
      </c>
      <c r="O1036" s="1">
        <v>46130.4375</v>
      </c>
      <c r="P1036" s="1">
        <v>46130.392974537041</v>
      </c>
      <c r="Q1036" t="s">
        <v>4265</v>
      </c>
      <c r="R1036" s="6">
        <v>46130.711805555555</v>
      </c>
      <c r="S1036" t="s">
        <v>43</v>
      </c>
      <c r="T1036">
        <v>24.99</v>
      </c>
      <c r="U1036">
        <v>0</v>
      </c>
      <c r="V1036">
        <v>23.8</v>
      </c>
      <c r="W1036">
        <v>1.19</v>
      </c>
      <c r="X1036">
        <v>0</v>
      </c>
      <c r="Y1036">
        <v>0</v>
      </c>
      <c r="Z1036">
        <v>24.99</v>
      </c>
      <c r="AA1036" t="s">
        <v>2704</v>
      </c>
      <c r="AB1036" t="s">
        <v>45</v>
      </c>
      <c r="AC1036" t="s">
        <v>46</v>
      </c>
      <c r="AD1036" t="s">
        <v>2556</v>
      </c>
      <c r="AE1036" t="s">
        <v>2557</v>
      </c>
      <c r="AF1036" t="s">
        <v>4211</v>
      </c>
      <c r="AG1036" t="s">
        <v>46</v>
      </c>
      <c r="AH1036" t="s">
        <v>2355</v>
      </c>
      <c r="AI1036" t="s">
        <v>37</v>
      </c>
    </row>
    <row r="1037" spans="1:35" x14ac:dyDescent="0.25">
      <c r="A1037" t="s">
        <v>4212</v>
      </c>
      <c r="B1037" t="s">
        <v>34</v>
      </c>
      <c r="C1037" t="s">
        <v>2355</v>
      </c>
      <c r="D1037" t="s">
        <v>2356</v>
      </c>
      <c r="E1037" t="s">
        <v>37</v>
      </c>
      <c r="F1037" t="s">
        <v>3304</v>
      </c>
      <c r="G1037" t="s">
        <v>39</v>
      </c>
      <c r="H1037" t="s">
        <v>40</v>
      </c>
      <c r="I1037" t="s">
        <v>41</v>
      </c>
      <c r="J1037" t="s">
        <v>37</v>
      </c>
      <c r="K1037" t="s">
        <v>37</v>
      </c>
      <c r="L1037" t="s">
        <v>42</v>
      </c>
      <c r="M1037" s="6">
        <v>46131.399502314816</v>
      </c>
      <c r="N1037" t="s">
        <v>4266</v>
      </c>
      <c r="O1037" s="1">
        <v>46131.4375</v>
      </c>
      <c r="P1037" s="1">
        <v>46131.399502314816</v>
      </c>
      <c r="Q1037" t="s">
        <v>4266</v>
      </c>
      <c r="R1037" s="6">
        <v>46131.711805555555</v>
      </c>
      <c r="S1037" t="s">
        <v>43</v>
      </c>
      <c r="T1037">
        <v>24.99</v>
      </c>
      <c r="U1037">
        <v>0</v>
      </c>
      <c r="V1037">
        <v>23.8</v>
      </c>
      <c r="W1037">
        <v>1.19</v>
      </c>
      <c r="X1037">
        <v>0</v>
      </c>
      <c r="Y1037">
        <v>0</v>
      </c>
      <c r="Z1037">
        <v>24.99</v>
      </c>
      <c r="AA1037" t="s">
        <v>2704</v>
      </c>
      <c r="AB1037" t="s">
        <v>45</v>
      </c>
      <c r="AC1037" t="s">
        <v>46</v>
      </c>
      <c r="AD1037" t="s">
        <v>2556</v>
      </c>
      <c r="AE1037" t="s">
        <v>2557</v>
      </c>
      <c r="AF1037" t="s">
        <v>4213</v>
      </c>
      <c r="AG1037" t="s">
        <v>46</v>
      </c>
      <c r="AH1037" t="s">
        <v>2355</v>
      </c>
      <c r="AI1037" t="s">
        <v>37</v>
      </c>
    </row>
    <row r="1038" spans="1:35" x14ac:dyDescent="0.25">
      <c r="A1038" t="s">
        <v>4214</v>
      </c>
      <c r="B1038" t="s">
        <v>34</v>
      </c>
      <c r="C1038" t="s">
        <v>2355</v>
      </c>
      <c r="D1038" t="s">
        <v>2356</v>
      </c>
      <c r="E1038" t="s">
        <v>37</v>
      </c>
      <c r="F1038" t="s">
        <v>3307</v>
      </c>
      <c r="G1038" t="s">
        <v>39</v>
      </c>
      <c r="H1038" t="s">
        <v>40</v>
      </c>
      <c r="I1038" t="s">
        <v>41</v>
      </c>
      <c r="J1038" t="s">
        <v>37</v>
      </c>
      <c r="K1038" t="s">
        <v>37</v>
      </c>
      <c r="L1038" t="s">
        <v>42</v>
      </c>
      <c r="M1038" s="6">
        <v>46131.399976851855</v>
      </c>
      <c r="N1038" t="s">
        <v>4266</v>
      </c>
      <c r="O1038" s="1">
        <v>46131.4375</v>
      </c>
      <c r="P1038" s="1">
        <v>46131.399976851855</v>
      </c>
      <c r="Q1038" t="s">
        <v>4266</v>
      </c>
      <c r="R1038" s="6">
        <v>46131.711805555555</v>
      </c>
      <c r="S1038" t="s">
        <v>43</v>
      </c>
      <c r="T1038">
        <v>24.99</v>
      </c>
      <c r="U1038">
        <v>0</v>
      </c>
      <c r="V1038">
        <v>23.8</v>
      </c>
      <c r="W1038">
        <v>1.19</v>
      </c>
      <c r="X1038">
        <v>0</v>
      </c>
      <c r="Y1038">
        <v>0</v>
      </c>
      <c r="Z1038">
        <v>24.99</v>
      </c>
      <c r="AA1038" t="s">
        <v>2704</v>
      </c>
      <c r="AB1038" t="s">
        <v>45</v>
      </c>
      <c r="AC1038" t="s">
        <v>46</v>
      </c>
      <c r="AD1038" t="s">
        <v>2556</v>
      </c>
      <c r="AE1038" t="s">
        <v>2557</v>
      </c>
      <c r="AF1038" t="s">
        <v>4215</v>
      </c>
      <c r="AG1038" t="s">
        <v>46</v>
      </c>
      <c r="AH1038" t="s">
        <v>2355</v>
      </c>
      <c r="AI1038" t="s">
        <v>37</v>
      </c>
    </row>
    <row r="1039" spans="1:35" x14ac:dyDescent="0.25">
      <c r="A1039" t="s">
        <v>4216</v>
      </c>
      <c r="B1039" t="s">
        <v>34</v>
      </c>
      <c r="C1039" t="s">
        <v>4217</v>
      </c>
      <c r="D1039" t="s">
        <v>4218</v>
      </c>
      <c r="E1039" t="s">
        <v>4219</v>
      </c>
      <c r="F1039" t="s">
        <v>4220</v>
      </c>
      <c r="G1039" t="s">
        <v>39</v>
      </c>
      <c r="H1039" t="s">
        <v>40</v>
      </c>
      <c r="I1039" t="s">
        <v>41</v>
      </c>
      <c r="J1039" t="s">
        <v>37</v>
      </c>
      <c r="K1039" t="s">
        <v>37</v>
      </c>
      <c r="L1039" t="s">
        <v>42</v>
      </c>
      <c r="M1039" s="6">
        <v>46135.323807870373</v>
      </c>
      <c r="N1039" t="s">
        <v>4268</v>
      </c>
      <c r="O1039" s="1">
        <v>46136.375</v>
      </c>
      <c r="P1039" s="1">
        <v>46135.324120370373</v>
      </c>
      <c r="Q1039" t="s">
        <v>4268</v>
      </c>
      <c r="R1039" s="6">
        <v>46136.711805555555</v>
      </c>
      <c r="S1039" t="s">
        <v>43</v>
      </c>
      <c r="T1039">
        <v>24.99</v>
      </c>
      <c r="U1039">
        <v>0</v>
      </c>
      <c r="V1039">
        <v>23.8</v>
      </c>
      <c r="W1039">
        <v>1.19</v>
      </c>
      <c r="X1039">
        <v>0</v>
      </c>
      <c r="Y1039">
        <v>0</v>
      </c>
      <c r="Z1039">
        <v>24.99</v>
      </c>
      <c r="AA1039" t="s">
        <v>2704</v>
      </c>
      <c r="AB1039" t="s">
        <v>45</v>
      </c>
      <c r="AC1039" t="s">
        <v>46</v>
      </c>
      <c r="AD1039" t="s">
        <v>2556</v>
      </c>
      <c r="AE1039" t="s">
        <v>2557</v>
      </c>
      <c r="AF1039" t="s">
        <v>4221</v>
      </c>
      <c r="AG1039" t="s">
        <v>46</v>
      </c>
      <c r="AH1039" t="s">
        <v>4217</v>
      </c>
      <c r="AI1039" t="s">
        <v>37</v>
      </c>
    </row>
    <row r="1040" spans="1:35" x14ac:dyDescent="0.25">
      <c r="A1040" t="s">
        <v>4222</v>
      </c>
      <c r="B1040" t="s">
        <v>34</v>
      </c>
      <c r="C1040" t="s">
        <v>4217</v>
      </c>
      <c r="D1040" t="s">
        <v>4218</v>
      </c>
      <c r="E1040" t="s">
        <v>4219</v>
      </c>
      <c r="F1040" t="s">
        <v>4220</v>
      </c>
      <c r="G1040" t="s">
        <v>39</v>
      </c>
      <c r="H1040" t="s">
        <v>40</v>
      </c>
      <c r="I1040" t="s">
        <v>41</v>
      </c>
      <c r="J1040" t="s">
        <v>37</v>
      </c>
      <c r="K1040" t="s">
        <v>37</v>
      </c>
      <c r="L1040" t="s">
        <v>42</v>
      </c>
      <c r="M1040" s="6">
        <v>46135.325902777775</v>
      </c>
      <c r="N1040" t="s">
        <v>4265</v>
      </c>
      <c r="O1040" s="1">
        <v>46137.375</v>
      </c>
      <c r="P1040" s="1">
        <v>46135.326261574075</v>
      </c>
      <c r="Q1040" t="s">
        <v>4265</v>
      </c>
      <c r="R1040" s="6">
        <v>46137.711805555555</v>
      </c>
      <c r="S1040" t="s">
        <v>43</v>
      </c>
      <c r="T1040">
        <v>24.99</v>
      </c>
      <c r="U1040">
        <v>0</v>
      </c>
      <c r="V1040">
        <v>23.8</v>
      </c>
      <c r="W1040">
        <v>1.19</v>
      </c>
      <c r="X1040">
        <v>0</v>
      </c>
      <c r="Y1040">
        <v>0</v>
      </c>
      <c r="Z1040">
        <v>24.99</v>
      </c>
      <c r="AA1040" t="s">
        <v>2704</v>
      </c>
      <c r="AB1040" t="s">
        <v>45</v>
      </c>
      <c r="AC1040" t="s">
        <v>46</v>
      </c>
      <c r="AD1040" t="s">
        <v>2556</v>
      </c>
      <c r="AE1040" t="s">
        <v>2557</v>
      </c>
      <c r="AF1040" t="s">
        <v>4223</v>
      </c>
      <c r="AG1040" t="s">
        <v>46</v>
      </c>
      <c r="AH1040" t="s">
        <v>4217</v>
      </c>
      <c r="AI1040" t="s">
        <v>37</v>
      </c>
    </row>
    <row r="1041" spans="1:35" x14ac:dyDescent="0.25">
      <c r="A1041" t="s">
        <v>4224</v>
      </c>
      <c r="B1041" t="s">
        <v>34</v>
      </c>
      <c r="C1041" t="s">
        <v>4225</v>
      </c>
      <c r="D1041" t="s">
        <v>4226</v>
      </c>
      <c r="E1041" t="s">
        <v>4227</v>
      </c>
      <c r="F1041" t="s">
        <v>4228</v>
      </c>
      <c r="G1041" t="s">
        <v>39</v>
      </c>
      <c r="H1041" t="s">
        <v>40</v>
      </c>
      <c r="I1041" t="s">
        <v>41</v>
      </c>
      <c r="J1041" t="s">
        <v>37</v>
      </c>
      <c r="K1041" t="s">
        <v>37</v>
      </c>
      <c r="L1041" t="s">
        <v>42</v>
      </c>
      <c r="M1041" s="6">
        <v>46136.236898148149</v>
      </c>
      <c r="N1041" t="s">
        <v>4266</v>
      </c>
      <c r="O1041" s="1">
        <v>46138.375</v>
      </c>
      <c r="P1041" s="1">
        <v>46136.23778935185</v>
      </c>
      <c r="Q1041" t="s">
        <v>4266</v>
      </c>
      <c r="R1041" s="6">
        <v>46138.690972222219</v>
      </c>
      <c r="S1041" t="s">
        <v>43</v>
      </c>
      <c r="T1041">
        <v>24.99</v>
      </c>
      <c r="U1041">
        <v>0</v>
      </c>
      <c r="V1041">
        <v>23.8</v>
      </c>
      <c r="W1041">
        <v>1.19</v>
      </c>
      <c r="X1041">
        <v>0</v>
      </c>
      <c r="Y1041">
        <v>0</v>
      </c>
      <c r="Z1041">
        <v>24.99</v>
      </c>
      <c r="AA1041" t="s">
        <v>2704</v>
      </c>
      <c r="AB1041" t="s">
        <v>45</v>
      </c>
      <c r="AC1041" t="s">
        <v>46</v>
      </c>
      <c r="AD1041" t="s">
        <v>2556</v>
      </c>
      <c r="AE1041" t="s">
        <v>2557</v>
      </c>
      <c r="AF1041" t="s">
        <v>4229</v>
      </c>
      <c r="AG1041" t="s">
        <v>46</v>
      </c>
      <c r="AH1041" t="s">
        <v>4225</v>
      </c>
      <c r="AI1041" t="s">
        <v>37</v>
      </c>
    </row>
    <row r="1042" spans="1:35" x14ac:dyDescent="0.25">
      <c r="A1042" t="s">
        <v>4230</v>
      </c>
      <c r="B1042" t="s">
        <v>34</v>
      </c>
      <c r="C1042" t="s">
        <v>4231</v>
      </c>
      <c r="D1042" t="s">
        <v>4232</v>
      </c>
      <c r="E1042" t="s">
        <v>4233</v>
      </c>
      <c r="F1042" t="s">
        <v>4234</v>
      </c>
      <c r="G1042" t="s">
        <v>39</v>
      </c>
      <c r="H1042" t="s">
        <v>40</v>
      </c>
      <c r="I1042" t="s">
        <v>41</v>
      </c>
      <c r="J1042" t="s">
        <v>37</v>
      </c>
      <c r="K1042" t="s">
        <v>37</v>
      </c>
      <c r="L1042" t="s">
        <v>42</v>
      </c>
      <c r="M1042" s="6">
        <v>46136.329108796293</v>
      </c>
      <c r="N1042" t="s">
        <v>4268</v>
      </c>
      <c r="O1042" s="1">
        <v>46136.416666666664</v>
      </c>
      <c r="P1042" s="1">
        <v>46136.329108796293</v>
      </c>
      <c r="Q1042" t="s">
        <v>4268</v>
      </c>
      <c r="R1042" s="6">
        <v>46136.607638888891</v>
      </c>
      <c r="S1042" t="s">
        <v>43</v>
      </c>
      <c r="T1042">
        <v>24.99</v>
      </c>
      <c r="U1042">
        <v>0</v>
      </c>
      <c r="V1042">
        <v>23.8</v>
      </c>
      <c r="W1042">
        <v>1.19</v>
      </c>
      <c r="X1042">
        <v>0</v>
      </c>
      <c r="Y1042">
        <v>0</v>
      </c>
      <c r="Z1042">
        <v>24.99</v>
      </c>
      <c r="AA1042" t="s">
        <v>2704</v>
      </c>
      <c r="AB1042" t="s">
        <v>45</v>
      </c>
      <c r="AC1042" t="s">
        <v>46</v>
      </c>
      <c r="AD1042" t="s">
        <v>2556</v>
      </c>
      <c r="AE1042" t="s">
        <v>2557</v>
      </c>
      <c r="AF1042" t="s">
        <v>4235</v>
      </c>
      <c r="AG1042" t="s">
        <v>46</v>
      </c>
      <c r="AH1042" t="s">
        <v>4231</v>
      </c>
      <c r="AI1042" t="s">
        <v>37</v>
      </c>
    </row>
    <row r="1043" spans="1:35" x14ac:dyDescent="0.25">
      <c r="A1043" t="s">
        <v>4236</v>
      </c>
      <c r="B1043" t="s">
        <v>34</v>
      </c>
      <c r="C1043" t="s">
        <v>4237</v>
      </c>
      <c r="D1043" t="s">
        <v>4238</v>
      </c>
      <c r="E1043" t="s">
        <v>4239</v>
      </c>
      <c r="F1043" t="s">
        <v>4240</v>
      </c>
      <c r="G1043" t="s">
        <v>2601</v>
      </c>
      <c r="H1043" t="s">
        <v>40</v>
      </c>
      <c r="I1043" t="s">
        <v>41</v>
      </c>
      <c r="J1043" t="s">
        <v>37</v>
      </c>
      <c r="K1043" t="s">
        <v>37</v>
      </c>
      <c r="L1043" t="s">
        <v>42</v>
      </c>
      <c r="M1043" s="6">
        <v>46136.62903935185</v>
      </c>
      <c r="N1043" t="s">
        <v>4265</v>
      </c>
      <c r="O1043" s="1">
        <v>46137.416666666664</v>
      </c>
      <c r="P1043" s="1">
        <v>46136.62903935185</v>
      </c>
      <c r="Q1043" t="s">
        <v>4265</v>
      </c>
      <c r="R1043" s="6">
        <v>46137.670138888891</v>
      </c>
      <c r="S1043" t="s">
        <v>43</v>
      </c>
      <c r="T1043">
        <v>24.99</v>
      </c>
      <c r="U1043">
        <v>0</v>
      </c>
      <c r="V1043">
        <v>23.8</v>
      </c>
      <c r="W1043">
        <v>1.19</v>
      </c>
      <c r="X1043">
        <v>0</v>
      </c>
      <c r="Y1043">
        <v>0</v>
      </c>
      <c r="Z1043">
        <v>24.99</v>
      </c>
      <c r="AA1043" t="s">
        <v>2704</v>
      </c>
      <c r="AB1043" t="s">
        <v>45</v>
      </c>
      <c r="AC1043" t="s">
        <v>46</v>
      </c>
      <c r="AD1043" t="s">
        <v>2556</v>
      </c>
      <c r="AE1043" t="s">
        <v>2557</v>
      </c>
      <c r="AF1043" t="s">
        <v>4241</v>
      </c>
      <c r="AG1043" t="s">
        <v>46</v>
      </c>
      <c r="AH1043" t="s">
        <v>4237</v>
      </c>
      <c r="AI1043" t="s">
        <v>37</v>
      </c>
    </row>
    <row r="1044" spans="1:35" x14ac:dyDescent="0.25">
      <c r="A1044" t="s">
        <v>4242</v>
      </c>
      <c r="B1044" t="s">
        <v>34</v>
      </c>
      <c r="C1044" t="s">
        <v>4243</v>
      </c>
      <c r="D1044" t="s">
        <v>4244</v>
      </c>
      <c r="E1044" t="s">
        <v>4245</v>
      </c>
      <c r="F1044" t="s">
        <v>4246</v>
      </c>
      <c r="G1044" t="s">
        <v>2601</v>
      </c>
      <c r="H1044" t="s">
        <v>40</v>
      </c>
      <c r="I1044" t="s">
        <v>41</v>
      </c>
      <c r="J1044" t="s">
        <v>37</v>
      </c>
      <c r="K1044" t="s">
        <v>37</v>
      </c>
      <c r="L1044" t="s">
        <v>42</v>
      </c>
      <c r="M1044" s="6">
        <v>46143.976990740739</v>
      </c>
      <c r="N1044" t="s">
        <v>4265</v>
      </c>
      <c r="O1044" s="1">
        <v>46144.375</v>
      </c>
      <c r="P1044" s="1">
        <v>46143.977592592593</v>
      </c>
      <c r="Q1044" t="s">
        <v>4265</v>
      </c>
      <c r="R1044" s="6">
        <v>46144.607638888891</v>
      </c>
      <c r="S1044" t="s">
        <v>43</v>
      </c>
      <c r="T1044">
        <v>24.99</v>
      </c>
      <c r="U1044">
        <v>0</v>
      </c>
      <c r="V1044">
        <v>23.8</v>
      </c>
      <c r="W1044">
        <v>1.19</v>
      </c>
      <c r="X1044">
        <v>0</v>
      </c>
      <c r="Y1044">
        <v>0</v>
      </c>
      <c r="Z1044">
        <v>24.99</v>
      </c>
      <c r="AA1044" t="s">
        <v>2704</v>
      </c>
      <c r="AB1044" t="s">
        <v>45</v>
      </c>
      <c r="AC1044" t="s">
        <v>46</v>
      </c>
      <c r="AD1044" t="s">
        <v>2556</v>
      </c>
      <c r="AE1044" t="s">
        <v>2557</v>
      </c>
      <c r="AF1044" t="s">
        <v>4247</v>
      </c>
      <c r="AG1044" t="s">
        <v>46</v>
      </c>
      <c r="AH1044" t="s">
        <v>4243</v>
      </c>
      <c r="AI1044" t="s">
        <v>37</v>
      </c>
    </row>
    <row r="1045" spans="1:35" x14ac:dyDescent="0.25">
      <c r="A1045" t="s">
        <v>4248</v>
      </c>
      <c r="B1045" t="s">
        <v>34</v>
      </c>
      <c r="C1045" t="s">
        <v>4249</v>
      </c>
      <c r="D1045" t="s">
        <v>4250</v>
      </c>
      <c r="E1045" t="s">
        <v>4251</v>
      </c>
      <c r="F1045" t="s">
        <v>4252</v>
      </c>
      <c r="G1045" t="s">
        <v>39</v>
      </c>
      <c r="H1045" t="s">
        <v>40</v>
      </c>
      <c r="I1045" t="s">
        <v>41</v>
      </c>
      <c r="J1045" t="s">
        <v>37</v>
      </c>
      <c r="K1045" t="s">
        <v>37</v>
      </c>
      <c r="L1045" t="s">
        <v>42</v>
      </c>
      <c r="M1045" s="6">
        <v>46144.028506944444</v>
      </c>
      <c r="N1045" t="s">
        <v>4265</v>
      </c>
      <c r="O1045" s="1">
        <v>46144.333333333336</v>
      </c>
      <c r="P1045" s="1">
        <v>46144.029039351852</v>
      </c>
      <c r="Q1045" t="s">
        <v>4265</v>
      </c>
      <c r="R1045" s="6">
        <v>46144.670138888891</v>
      </c>
      <c r="S1045" t="s">
        <v>43</v>
      </c>
      <c r="T1045">
        <v>24.99</v>
      </c>
      <c r="U1045">
        <v>0</v>
      </c>
      <c r="V1045">
        <v>23.8</v>
      </c>
      <c r="W1045">
        <v>1.19</v>
      </c>
      <c r="X1045">
        <v>0</v>
      </c>
      <c r="Y1045">
        <v>0</v>
      </c>
      <c r="Z1045">
        <v>24.99</v>
      </c>
      <c r="AA1045" t="s">
        <v>2704</v>
      </c>
      <c r="AB1045" t="s">
        <v>45</v>
      </c>
      <c r="AC1045" t="s">
        <v>46</v>
      </c>
      <c r="AD1045" t="s">
        <v>2556</v>
      </c>
      <c r="AE1045" t="s">
        <v>2557</v>
      </c>
      <c r="AF1045" t="s">
        <v>4253</v>
      </c>
      <c r="AG1045" t="s">
        <v>46</v>
      </c>
      <c r="AH1045" t="s">
        <v>4249</v>
      </c>
      <c r="AI1045" t="s">
        <v>37</v>
      </c>
    </row>
    <row r="1046" spans="1:35" x14ac:dyDescent="0.25">
      <c r="A1046" t="s">
        <v>4254</v>
      </c>
      <c r="B1046" t="s">
        <v>34</v>
      </c>
      <c r="C1046" t="s">
        <v>4255</v>
      </c>
      <c r="D1046" t="s">
        <v>4256</v>
      </c>
      <c r="E1046" t="s">
        <v>4257</v>
      </c>
      <c r="F1046" t="s">
        <v>4258</v>
      </c>
      <c r="G1046" t="s">
        <v>39</v>
      </c>
      <c r="H1046" t="s">
        <v>40</v>
      </c>
      <c r="I1046" t="s">
        <v>41</v>
      </c>
      <c r="J1046" t="s">
        <v>37</v>
      </c>
      <c r="K1046" t="s">
        <v>37</v>
      </c>
      <c r="L1046" t="s">
        <v>42</v>
      </c>
      <c r="M1046" s="6">
        <v>46144.038483796299</v>
      </c>
      <c r="N1046" t="s">
        <v>4265</v>
      </c>
      <c r="O1046" s="1">
        <v>46144.333333333336</v>
      </c>
      <c r="P1046" s="1">
        <v>46144.038483796299</v>
      </c>
      <c r="Q1046" t="s">
        <v>4265</v>
      </c>
      <c r="R1046" s="6">
        <v>46144.670138888891</v>
      </c>
      <c r="S1046" t="s">
        <v>43</v>
      </c>
      <c r="T1046">
        <v>24.99</v>
      </c>
      <c r="U1046">
        <v>0</v>
      </c>
      <c r="V1046">
        <v>23.8</v>
      </c>
      <c r="W1046">
        <v>1.19</v>
      </c>
      <c r="X1046">
        <v>0</v>
      </c>
      <c r="Y1046">
        <v>0</v>
      </c>
      <c r="Z1046">
        <v>24.99</v>
      </c>
      <c r="AA1046" t="s">
        <v>2704</v>
      </c>
      <c r="AB1046" t="s">
        <v>45</v>
      </c>
      <c r="AC1046" t="s">
        <v>46</v>
      </c>
      <c r="AD1046" t="s">
        <v>2556</v>
      </c>
      <c r="AE1046" t="s">
        <v>2557</v>
      </c>
      <c r="AF1046" t="s">
        <v>4259</v>
      </c>
      <c r="AG1046" t="s">
        <v>46</v>
      </c>
      <c r="AH1046" t="s">
        <v>4255</v>
      </c>
      <c r="AI1046" t="s">
        <v>37</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A632-FA72-4245-9EF3-2D9BA3DC620D}">
  <sheetPr codeName="Sheet2"/>
  <dimension ref="A1:J1046"/>
  <sheetViews>
    <sheetView tabSelected="1" workbookViewId="0">
      <selection activeCell="C31" sqref="C31"/>
    </sheetView>
  </sheetViews>
  <sheetFormatPr defaultRowHeight="15" x14ac:dyDescent="0.25"/>
  <cols>
    <col min="1" max="1" width="24.85546875" customWidth="1"/>
    <col min="2" max="2" width="23.85546875" customWidth="1"/>
    <col min="3" max="3" width="28.5703125" style="6" customWidth="1"/>
    <col min="4" max="4" width="24" customWidth="1"/>
    <col min="5" max="5" width="30.5703125" customWidth="1"/>
    <col min="6" max="6" width="23.140625" customWidth="1"/>
    <col min="7" max="7" width="24.85546875" customWidth="1"/>
    <col min="8" max="8" width="18.7109375" customWidth="1"/>
    <col min="9" max="9" width="22.85546875" customWidth="1"/>
    <col min="10" max="10" width="22.28515625" bestFit="1" customWidth="1"/>
  </cols>
  <sheetData>
    <row r="1" spans="1:10" s="7" customFormat="1" x14ac:dyDescent="0.25">
      <c r="A1" s="7" t="s">
        <v>4285</v>
      </c>
      <c r="B1" s="7" t="s">
        <v>4282</v>
      </c>
      <c r="C1" s="8" t="s">
        <v>4290</v>
      </c>
      <c r="D1" s="7" t="s">
        <v>4293</v>
      </c>
      <c r="E1" s="7" t="s">
        <v>4291</v>
      </c>
      <c r="F1" s="7" t="s">
        <v>4294</v>
      </c>
      <c r="G1" s="7" t="s">
        <v>4283</v>
      </c>
      <c r="H1" s="7" t="s">
        <v>4284</v>
      </c>
      <c r="I1" s="7" t="s">
        <v>4289</v>
      </c>
      <c r="J1" s="7" t="s">
        <v>4292</v>
      </c>
    </row>
    <row r="2" spans="1:10" x14ac:dyDescent="0.25">
      <c r="A2" t="s">
        <v>33</v>
      </c>
      <c r="B2" t="str" cm="1">
        <f t="array" ref="B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 s="6">
        <v>45257.610451388886</v>
      </c>
      <c r="D2" t="str">
        <f t="shared" ref="D2:D65" si="0">_xlfn.TEXTBEFORE(TEXT(C2, "dddd, mmmm dd, yyyy"), ",")</f>
        <v>Monday</v>
      </c>
      <c r="E2" s="6">
        <v>45257.416666666664</v>
      </c>
      <c r="F2" s="6" t="str">
        <f>_xlfn.TEXTBEFORE(TEXT(E2,"dddd, mmmm dd, yyyy"), ",")</f>
        <v>Monday</v>
      </c>
      <c r="G2" t="str">
        <f>IF(COUNTIF(INDEX(SkiResort_ParkingRevenue_Raw[License Plate],1):SkiResort_ParkingRevenue_Raw[[#This Row],[License Plate]],SkiResort_ParkingRevenue_Raw[[#This Row],[License Plate]])=1,"New","Returning")</f>
        <v>New</v>
      </c>
      <c r="H2">
        <v>19.989999999999998</v>
      </c>
      <c r="I2">
        <v>1</v>
      </c>
      <c r="J2" t="str">
        <f>IF(C2&lt;DATE(2025,1,17), "All Season", "Weekends/Holiday Only")</f>
        <v>All Season</v>
      </c>
    </row>
    <row r="3" spans="1:10" x14ac:dyDescent="0.25">
      <c r="A3" t="s">
        <v>162</v>
      </c>
      <c r="B3" t="str" cm="1">
        <f t="array" ref="B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 s="6">
        <v>45262.291666666664</v>
      </c>
      <c r="D3" t="str">
        <f t="shared" si="0"/>
        <v>Saturday</v>
      </c>
      <c r="E3" s="6">
        <v>45262.416666666664</v>
      </c>
      <c r="F3" s="6" t="str">
        <f t="shared" ref="F3:F66" si="1">_xlfn.TEXTBEFORE(TEXT(E3,"dddd, mmmm dd, yyyy"), ",")</f>
        <v>Saturday</v>
      </c>
      <c r="G3" t="str">
        <f>IF(COUNTIF(INDEX(SkiResort_ParkingRevenue_Raw[License Plate],1):SkiResort_ParkingRevenue_Raw[[#This Row],[License Plate]],SkiResort_ParkingRevenue_Raw[[#This Row],[License Plate]])=1,"New","Returning")</f>
        <v>New</v>
      </c>
      <c r="H3">
        <v>24.99</v>
      </c>
      <c r="I3">
        <v>1</v>
      </c>
      <c r="J3" t="str">
        <f t="shared" ref="J3:J66" si="2">IF(C3&lt;DATE(2025,1,17), "All Season", "Weekends/Holiday Only")</f>
        <v>All Season</v>
      </c>
    </row>
    <row r="4" spans="1:10" x14ac:dyDescent="0.25">
      <c r="A4" t="s">
        <v>177</v>
      </c>
      <c r="B4" t="str" cm="1">
        <f t="array" ref="B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 s="6">
        <v>45266.468807870369</v>
      </c>
      <c r="D4" t="str">
        <f t="shared" si="0"/>
        <v>Wednesday</v>
      </c>
      <c r="E4" s="6">
        <v>45266.416666666664</v>
      </c>
      <c r="F4" s="6" t="str">
        <f t="shared" si="1"/>
        <v>Wednesday</v>
      </c>
      <c r="G4" t="str">
        <f>IF(COUNTIF(INDEX(SkiResort_ParkingRevenue_Raw[License Plate],1):SkiResort_ParkingRevenue_Raw[[#This Row],[License Plate]],SkiResort_ParkingRevenue_Raw[[#This Row],[License Plate]])=1,"New","Returning")</f>
        <v>New</v>
      </c>
      <c r="H4">
        <v>19.989999999999998</v>
      </c>
      <c r="I4">
        <v>1</v>
      </c>
      <c r="J4" t="str">
        <f t="shared" si="2"/>
        <v>All Season</v>
      </c>
    </row>
    <row r="5" spans="1:10" x14ac:dyDescent="0.25">
      <c r="A5" t="s">
        <v>122</v>
      </c>
      <c r="B5" t="str" cm="1">
        <f t="array" ref="B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 s="6">
        <v>45269.291666666664</v>
      </c>
      <c r="D5" t="str">
        <f t="shared" si="0"/>
        <v>Saturday</v>
      </c>
      <c r="E5" s="6">
        <v>45269.416666666664</v>
      </c>
      <c r="F5" s="6" t="str">
        <f t="shared" si="1"/>
        <v>Saturday</v>
      </c>
      <c r="G5" t="str">
        <f>IF(COUNTIF(INDEX(SkiResort_ParkingRevenue_Raw[License Plate],1):SkiResort_ParkingRevenue_Raw[[#This Row],[License Plate]],SkiResort_ParkingRevenue_Raw[[#This Row],[License Plate]])=1,"New","Returning")</f>
        <v>New</v>
      </c>
      <c r="H5">
        <v>24.99</v>
      </c>
      <c r="I5">
        <v>1</v>
      </c>
      <c r="J5" t="str">
        <f t="shared" si="2"/>
        <v>All Season</v>
      </c>
    </row>
    <row r="6" spans="1:10" x14ac:dyDescent="0.25">
      <c r="A6" t="s">
        <v>74</v>
      </c>
      <c r="B6" t="str" cm="1">
        <f t="array" ref="B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6" s="6">
        <v>45272.593287037038</v>
      </c>
      <c r="D6" t="str">
        <f t="shared" si="0"/>
        <v>Tuesday</v>
      </c>
      <c r="E6" s="6">
        <v>45272.416666666664</v>
      </c>
      <c r="F6" s="6" t="str">
        <f t="shared" si="1"/>
        <v>Tuesday</v>
      </c>
      <c r="G6" t="str">
        <f>IF(COUNTIF(INDEX(SkiResort_ParkingRevenue_Raw[License Plate],1):SkiResort_ParkingRevenue_Raw[[#This Row],[License Plate]],SkiResort_ParkingRevenue_Raw[[#This Row],[License Plate]])=1,"New","Returning")</f>
        <v>Returning</v>
      </c>
      <c r="H6">
        <v>19.989999999999998</v>
      </c>
      <c r="I6">
        <v>1</v>
      </c>
      <c r="J6" t="str">
        <f t="shared" si="2"/>
        <v>All Season</v>
      </c>
    </row>
    <row r="7" spans="1:10" x14ac:dyDescent="0.25">
      <c r="A7" t="s">
        <v>151</v>
      </c>
      <c r="B7" t="str" cm="1">
        <f t="array" ref="B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7" s="6">
        <v>45275.291666666664</v>
      </c>
      <c r="D7" t="str">
        <f t="shared" si="0"/>
        <v>Friday</v>
      </c>
      <c r="E7" s="6">
        <v>45275.416666666664</v>
      </c>
      <c r="F7" s="6" t="str">
        <f t="shared" si="1"/>
        <v>Friday</v>
      </c>
      <c r="G7" t="str">
        <f>IF(COUNTIF(INDEX(SkiResort_ParkingRevenue_Raw[License Plate],1):SkiResort_ParkingRevenue_Raw[[#This Row],[License Plate]],SkiResort_ParkingRevenue_Raw[[#This Row],[License Plate]])=1,"New","Returning")</f>
        <v>New</v>
      </c>
      <c r="H7">
        <v>19.989999999999998</v>
      </c>
      <c r="I7">
        <v>1</v>
      </c>
      <c r="J7" t="str">
        <f t="shared" si="2"/>
        <v>All Season</v>
      </c>
    </row>
    <row r="8" spans="1:10" x14ac:dyDescent="0.25">
      <c r="A8" t="s">
        <v>54</v>
      </c>
      <c r="B8" t="str" cm="1">
        <f t="array" ref="B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8" s="6">
        <v>45276.291666666664</v>
      </c>
      <c r="D8" t="str">
        <f t="shared" si="0"/>
        <v>Saturday</v>
      </c>
      <c r="E8" s="6">
        <v>45276.416666666664</v>
      </c>
      <c r="F8" s="6" t="str">
        <f t="shared" si="1"/>
        <v>Saturday</v>
      </c>
      <c r="G8" t="str">
        <f>IF(COUNTIF(INDEX(SkiResort_ParkingRevenue_Raw[License Plate],1):SkiResort_ParkingRevenue_Raw[[#This Row],[License Plate]],SkiResort_ParkingRevenue_Raw[[#This Row],[License Plate]])=1,"New","Returning")</f>
        <v>New</v>
      </c>
      <c r="H8">
        <v>24.99</v>
      </c>
      <c r="I8">
        <v>1</v>
      </c>
      <c r="J8" t="str">
        <f t="shared" si="2"/>
        <v>All Season</v>
      </c>
    </row>
    <row r="9" spans="1:10" x14ac:dyDescent="0.25">
      <c r="A9" t="s">
        <v>154</v>
      </c>
      <c r="B9" t="str" cm="1">
        <f t="array" ref="B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9" s="6">
        <v>45276.291666666664</v>
      </c>
      <c r="D9" t="str">
        <f t="shared" si="0"/>
        <v>Saturday</v>
      </c>
      <c r="E9" s="6">
        <v>45276.416666666664</v>
      </c>
      <c r="F9" s="6" t="str">
        <f t="shared" si="1"/>
        <v>Saturday</v>
      </c>
      <c r="G9" t="str">
        <f>IF(COUNTIF(INDEX(SkiResort_ParkingRevenue_Raw[License Plate],1):SkiResort_ParkingRevenue_Raw[[#This Row],[License Plate]],SkiResort_ParkingRevenue_Raw[[#This Row],[License Plate]])=1,"New","Returning")</f>
        <v>Returning</v>
      </c>
      <c r="H9">
        <v>49.98</v>
      </c>
      <c r="I9">
        <v>2</v>
      </c>
      <c r="J9" t="str">
        <f t="shared" si="2"/>
        <v>All Season</v>
      </c>
    </row>
    <row r="10" spans="1:10" x14ac:dyDescent="0.25">
      <c r="A10" t="s">
        <v>69</v>
      </c>
      <c r="B10" t="str" cm="1">
        <f t="array" ref="B1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0" s="6">
        <v>45277.291666666664</v>
      </c>
      <c r="D10" t="str">
        <f t="shared" si="0"/>
        <v>Sunday</v>
      </c>
      <c r="E10" s="6">
        <v>45277.416666666664</v>
      </c>
      <c r="F10" s="6" t="str">
        <f t="shared" si="1"/>
        <v>Sunday</v>
      </c>
      <c r="G10" t="str">
        <f>IF(COUNTIF(INDEX(SkiResort_ParkingRevenue_Raw[License Plate],1):SkiResort_ParkingRevenue_Raw[[#This Row],[License Plate]],SkiResort_ParkingRevenue_Raw[[#This Row],[License Plate]])=1,"New","Returning")</f>
        <v>New</v>
      </c>
      <c r="H10">
        <v>24.99</v>
      </c>
      <c r="I10">
        <v>1</v>
      </c>
      <c r="J10" t="str">
        <f t="shared" si="2"/>
        <v>All Season</v>
      </c>
    </row>
    <row r="11" spans="1:10" x14ac:dyDescent="0.25">
      <c r="A11" t="s">
        <v>156</v>
      </c>
      <c r="B11" t="str" cm="1">
        <f t="array" ref="B1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1" s="6">
        <v>45277.291666666664</v>
      </c>
      <c r="D11" t="str">
        <f t="shared" si="0"/>
        <v>Sunday</v>
      </c>
      <c r="E11" s="6">
        <v>45277.416666666664</v>
      </c>
      <c r="F11" s="6" t="str">
        <f t="shared" si="1"/>
        <v>Sunday</v>
      </c>
      <c r="G11" t="str">
        <f>IF(COUNTIF(INDEX(SkiResort_ParkingRevenue_Raw[License Plate],1):SkiResort_ParkingRevenue_Raw[[#This Row],[License Plate]],SkiResort_ParkingRevenue_Raw[[#This Row],[License Plate]])=1,"New","Returning")</f>
        <v>Returning</v>
      </c>
      <c r="H11">
        <v>49.98</v>
      </c>
      <c r="I11">
        <v>2</v>
      </c>
      <c r="J11" t="str">
        <f t="shared" si="2"/>
        <v>All Season</v>
      </c>
    </row>
    <row r="12" spans="1:10" x14ac:dyDescent="0.25">
      <c r="A12" t="s">
        <v>64</v>
      </c>
      <c r="B12" t="str" cm="1">
        <f t="array" ref="B1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2" s="6">
        <v>45277.406354166669</v>
      </c>
      <c r="D12" t="str">
        <f t="shared" si="0"/>
        <v>Sunday</v>
      </c>
      <c r="E12" s="6">
        <v>45277.416666666664</v>
      </c>
      <c r="F12" s="6" t="str">
        <f t="shared" si="1"/>
        <v>Sunday</v>
      </c>
      <c r="G12" t="str">
        <f>IF(COUNTIF(INDEX(SkiResort_ParkingRevenue_Raw[License Plate],1):SkiResort_ParkingRevenue_Raw[[#This Row],[License Plate]],SkiResort_ParkingRevenue_Raw[[#This Row],[License Plate]])=1,"New","Returning")</f>
        <v>New</v>
      </c>
      <c r="H12">
        <v>24.99</v>
      </c>
      <c r="I12">
        <v>1</v>
      </c>
      <c r="J12" t="str">
        <f t="shared" si="2"/>
        <v>All Season</v>
      </c>
    </row>
    <row r="13" spans="1:10" x14ac:dyDescent="0.25">
      <c r="A13" t="s">
        <v>117</v>
      </c>
      <c r="B13" t="str" cm="1">
        <f t="array" ref="B1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3" s="6">
        <v>45278.291666666664</v>
      </c>
      <c r="D13" t="str">
        <f t="shared" si="0"/>
        <v>Monday</v>
      </c>
      <c r="E13" s="6">
        <v>45278.416666666664</v>
      </c>
      <c r="F13" s="6" t="str">
        <f t="shared" si="1"/>
        <v>Monday</v>
      </c>
      <c r="G13" t="str">
        <f>IF(COUNTIF(INDEX(SkiResort_ParkingRevenue_Raw[License Plate],1):SkiResort_ParkingRevenue_Raw[[#This Row],[License Plate]],SkiResort_ParkingRevenue_Raw[[#This Row],[License Plate]])=1,"New","Returning")</f>
        <v>New</v>
      </c>
      <c r="H13">
        <v>19.989999999999998</v>
      </c>
      <c r="I13">
        <v>1</v>
      </c>
      <c r="J13" t="str">
        <f t="shared" si="2"/>
        <v>All Season</v>
      </c>
    </row>
    <row r="14" spans="1:10" x14ac:dyDescent="0.25">
      <c r="A14" t="s">
        <v>132</v>
      </c>
      <c r="B14" t="str" cm="1">
        <f t="array" ref="B1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4" s="6">
        <v>45279.291666666664</v>
      </c>
      <c r="D14" t="str">
        <f t="shared" si="0"/>
        <v>Tuesday</v>
      </c>
      <c r="E14" s="6">
        <v>45279.416666666664</v>
      </c>
      <c r="F14" s="6" t="str">
        <f t="shared" si="1"/>
        <v>Tuesday</v>
      </c>
      <c r="G14" t="str">
        <f>IF(COUNTIF(INDEX(SkiResort_ParkingRevenue_Raw[License Plate],1):SkiResort_ParkingRevenue_Raw[[#This Row],[License Plate]],SkiResort_ParkingRevenue_Raw[[#This Row],[License Plate]])=1,"New","Returning")</f>
        <v>New</v>
      </c>
      <c r="H14">
        <v>59.97</v>
      </c>
      <c r="I14">
        <v>3</v>
      </c>
      <c r="J14" t="str">
        <f t="shared" si="2"/>
        <v>All Season</v>
      </c>
    </row>
    <row r="15" spans="1:10" x14ac:dyDescent="0.25">
      <c r="A15" t="s">
        <v>133</v>
      </c>
      <c r="B15" t="str" cm="1">
        <f t="array" ref="B1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5" s="6">
        <v>45280.291666666664</v>
      </c>
      <c r="D15" t="str">
        <f t="shared" si="0"/>
        <v>Wednesday</v>
      </c>
      <c r="E15" s="6">
        <v>45280.416666666664</v>
      </c>
      <c r="F15" s="6" t="str">
        <f t="shared" si="1"/>
        <v>Wednesday</v>
      </c>
      <c r="G15" t="str">
        <f>IF(COUNTIF(INDEX(SkiResort_ParkingRevenue_Raw[License Plate],1):SkiResort_ParkingRevenue_Raw[[#This Row],[License Plate]],SkiResort_ParkingRevenue_Raw[[#This Row],[License Plate]])=1,"New","Returning")</f>
        <v>Returning</v>
      </c>
      <c r="H15">
        <v>59.97</v>
      </c>
      <c r="I15">
        <v>3</v>
      </c>
      <c r="J15" t="str">
        <f t="shared" si="2"/>
        <v>All Season</v>
      </c>
    </row>
    <row r="16" spans="1:10" x14ac:dyDescent="0.25">
      <c r="A16" t="s">
        <v>127</v>
      </c>
      <c r="B16" t="str" cm="1">
        <f t="array" ref="B1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6" s="6">
        <v>45281.291666666664</v>
      </c>
      <c r="D16" t="str">
        <f t="shared" si="0"/>
        <v>Thursday</v>
      </c>
      <c r="E16" s="6">
        <v>45281.416666666664</v>
      </c>
      <c r="F16" s="6" t="str">
        <f t="shared" si="1"/>
        <v>Thursday</v>
      </c>
      <c r="G16" t="str">
        <f>IF(COUNTIF(INDEX(SkiResort_ParkingRevenue_Raw[License Plate],1):SkiResort_ParkingRevenue_Raw[[#This Row],[License Plate]],SkiResort_ParkingRevenue_Raw[[#This Row],[License Plate]])=1,"New","Returning")</f>
        <v>Returning</v>
      </c>
      <c r="H16">
        <v>59.97</v>
      </c>
      <c r="I16">
        <v>3</v>
      </c>
      <c r="J16" t="str">
        <f t="shared" si="2"/>
        <v>All Season</v>
      </c>
    </row>
    <row r="17" spans="1:10" x14ac:dyDescent="0.25">
      <c r="A17" t="s">
        <v>139</v>
      </c>
      <c r="B17" t="str" cm="1">
        <f t="array" ref="B1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7" s="6">
        <v>45282.291666666664</v>
      </c>
      <c r="D17" t="str">
        <f t="shared" si="0"/>
        <v>Friday</v>
      </c>
      <c r="E17" s="6">
        <v>45282.416666666664</v>
      </c>
      <c r="F17" s="6" t="str">
        <f t="shared" si="1"/>
        <v>Friday</v>
      </c>
      <c r="G17" t="str">
        <f>IF(COUNTIF(INDEX(SkiResort_ParkingRevenue_Raw[License Plate],1):SkiResort_ParkingRevenue_Raw[[#This Row],[License Plate]],SkiResort_ParkingRevenue_Raw[[#This Row],[License Plate]])=1,"New","Returning")</f>
        <v>New</v>
      </c>
      <c r="H17">
        <v>24.99</v>
      </c>
      <c r="I17">
        <v>1</v>
      </c>
      <c r="J17" t="str">
        <f t="shared" si="2"/>
        <v>All Season</v>
      </c>
    </row>
    <row r="18" spans="1:10" x14ac:dyDescent="0.25">
      <c r="A18" t="s">
        <v>85</v>
      </c>
      <c r="B18" t="str" cm="1">
        <f t="array" ref="B1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8" s="6">
        <v>45283.291666666664</v>
      </c>
      <c r="D18" t="str">
        <f t="shared" si="0"/>
        <v>Saturday</v>
      </c>
      <c r="E18" s="6">
        <v>45283.416666666664</v>
      </c>
      <c r="F18" s="6" t="str">
        <f t="shared" si="1"/>
        <v>Saturday</v>
      </c>
      <c r="G18" t="str">
        <f>IF(COUNTIF(INDEX(SkiResort_ParkingRevenue_Raw[License Plate],1):SkiResort_ParkingRevenue_Raw[[#This Row],[License Plate]],SkiResort_ParkingRevenue_Raw[[#This Row],[License Plate]])=1,"New","Returning")</f>
        <v>New</v>
      </c>
      <c r="H18">
        <v>24.99</v>
      </c>
      <c r="I18">
        <v>1</v>
      </c>
      <c r="J18" t="str">
        <f t="shared" si="2"/>
        <v>All Season</v>
      </c>
    </row>
    <row r="19" spans="1:10" x14ac:dyDescent="0.25">
      <c r="A19" t="s">
        <v>134</v>
      </c>
      <c r="B19" t="str" cm="1">
        <f t="array" ref="B1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9" s="6">
        <v>45283.291666666664</v>
      </c>
      <c r="D19" t="str">
        <f t="shared" si="0"/>
        <v>Saturday</v>
      </c>
      <c r="E19" s="6">
        <v>45283.416666666664</v>
      </c>
      <c r="F19" s="6" t="str">
        <f t="shared" si="1"/>
        <v>Saturday</v>
      </c>
      <c r="G19" t="str">
        <f>IF(COUNTIF(INDEX(SkiResort_ParkingRevenue_Raw[License Plate],1):SkiResort_ParkingRevenue_Raw[[#This Row],[License Plate]],SkiResort_ParkingRevenue_Raw[[#This Row],[License Plate]])=1,"New","Returning")</f>
        <v>New</v>
      </c>
      <c r="H19">
        <v>24.99</v>
      </c>
      <c r="I19">
        <v>1</v>
      </c>
      <c r="J19" t="str">
        <f t="shared" si="2"/>
        <v>All Season</v>
      </c>
    </row>
    <row r="20" spans="1:10" x14ac:dyDescent="0.25">
      <c r="A20" t="s">
        <v>172</v>
      </c>
      <c r="B20" t="str" cm="1">
        <f t="array" ref="B2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0" s="6">
        <v>45283.291666666664</v>
      </c>
      <c r="D20" t="str">
        <f t="shared" si="0"/>
        <v>Saturday</v>
      </c>
      <c r="E20" s="6">
        <v>45283.416666666664</v>
      </c>
      <c r="F20" s="6" t="str">
        <f t="shared" si="1"/>
        <v>Saturday</v>
      </c>
      <c r="G20" t="str">
        <f>IF(COUNTIF(INDEX(SkiResort_ParkingRevenue_Raw[License Plate],1):SkiResort_ParkingRevenue_Raw[[#This Row],[License Plate]],SkiResort_ParkingRevenue_Raw[[#This Row],[License Plate]])=1,"New","Returning")</f>
        <v>New</v>
      </c>
      <c r="H20">
        <v>24.99</v>
      </c>
      <c r="I20">
        <v>1</v>
      </c>
      <c r="J20" t="str">
        <f t="shared" si="2"/>
        <v>All Season</v>
      </c>
    </row>
    <row r="21" spans="1:10" x14ac:dyDescent="0.25">
      <c r="A21" t="s">
        <v>91</v>
      </c>
      <c r="B21" t="str" cm="1">
        <f t="array" ref="B2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1" s="6">
        <v>45283.299988425926</v>
      </c>
      <c r="D21" t="str">
        <f t="shared" si="0"/>
        <v>Saturday</v>
      </c>
      <c r="E21" s="6">
        <v>45283.416666666664</v>
      </c>
      <c r="F21" s="6" t="str">
        <f t="shared" si="1"/>
        <v>Saturday</v>
      </c>
      <c r="G21" t="str">
        <f>IF(COUNTIF(INDEX(SkiResort_ParkingRevenue_Raw[License Plate],1):SkiResort_ParkingRevenue_Raw[[#This Row],[License Plate]],SkiResort_ParkingRevenue_Raw[[#This Row],[License Plate]])=1,"New","Returning")</f>
        <v>New</v>
      </c>
      <c r="H21">
        <v>24.99</v>
      </c>
      <c r="I21">
        <v>1</v>
      </c>
      <c r="J21" t="str">
        <f t="shared" si="2"/>
        <v>All Season</v>
      </c>
    </row>
    <row r="22" spans="1:10" x14ac:dyDescent="0.25">
      <c r="A22" t="s">
        <v>79</v>
      </c>
      <c r="B22" t="str" cm="1">
        <f t="array" ref="B2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2" s="6">
        <v>45283.445509259262</v>
      </c>
      <c r="D22" t="str">
        <f t="shared" si="0"/>
        <v>Saturday</v>
      </c>
      <c r="E22" s="6">
        <v>45283.416666666664</v>
      </c>
      <c r="F22" s="6" t="str">
        <f t="shared" si="1"/>
        <v>Saturday</v>
      </c>
      <c r="G22" t="str">
        <f>IF(COUNTIF(INDEX(SkiResort_ParkingRevenue_Raw[License Plate],1):SkiResort_ParkingRevenue_Raw[[#This Row],[License Plate]],SkiResort_ParkingRevenue_Raw[[#This Row],[License Plate]])=1,"New","Returning")</f>
        <v>New</v>
      </c>
      <c r="H22">
        <v>24.99</v>
      </c>
      <c r="I22">
        <v>1</v>
      </c>
      <c r="J22" t="str">
        <f t="shared" si="2"/>
        <v>All Season</v>
      </c>
    </row>
    <row r="23" spans="1:10" x14ac:dyDescent="0.25">
      <c r="A23" t="s">
        <v>59</v>
      </c>
      <c r="B23" t="str" cm="1">
        <f t="array" ref="B2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3" s="6">
        <v>45284.291666666664</v>
      </c>
      <c r="D23" t="str">
        <f t="shared" si="0"/>
        <v>Sunday</v>
      </c>
      <c r="E23" s="6">
        <v>45284.416666666664</v>
      </c>
      <c r="F23" s="6" t="str">
        <f t="shared" si="1"/>
        <v>Sunday</v>
      </c>
      <c r="G23" t="str">
        <f>IF(COUNTIF(INDEX(SkiResort_ParkingRevenue_Raw[License Plate],1):SkiResort_ParkingRevenue_Raw[[#This Row],[License Plate]],SkiResort_ParkingRevenue_Raw[[#This Row],[License Plate]])=1,"New","Returning")</f>
        <v>New</v>
      </c>
      <c r="H23">
        <v>24.99</v>
      </c>
      <c r="I23">
        <v>1</v>
      </c>
      <c r="J23" t="str">
        <f t="shared" si="2"/>
        <v>All Season</v>
      </c>
    </row>
    <row r="24" spans="1:10" x14ac:dyDescent="0.25">
      <c r="A24" t="s">
        <v>96</v>
      </c>
      <c r="B24" t="str" cm="1">
        <f t="array" ref="B2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4" s="6">
        <v>45284.291666666664</v>
      </c>
      <c r="D24" t="str">
        <f t="shared" si="0"/>
        <v>Sunday</v>
      </c>
      <c r="E24" s="6">
        <v>45284.416666666664</v>
      </c>
      <c r="F24" s="6" t="str">
        <f t="shared" si="1"/>
        <v>Sunday</v>
      </c>
      <c r="G24" t="str">
        <f>IF(COUNTIF(INDEX(SkiResort_ParkingRevenue_Raw[License Plate],1):SkiResort_ParkingRevenue_Raw[[#This Row],[License Plate]],SkiResort_ParkingRevenue_Raw[[#This Row],[License Plate]])=1,"New","Returning")</f>
        <v>New</v>
      </c>
      <c r="H24">
        <v>24.99</v>
      </c>
      <c r="I24">
        <v>1</v>
      </c>
      <c r="J24" t="str">
        <f t="shared" si="2"/>
        <v>All Season</v>
      </c>
    </row>
    <row r="25" spans="1:10" x14ac:dyDescent="0.25">
      <c r="A25" t="s">
        <v>101</v>
      </c>
      <c r="B25" t="str" cm="1">
        <f t="array" ref="B2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5" s="6">
        <v>45284.291666666664</v>
      </c>
      <c r="D25" t="str">
        <f t="shared" si="0"/>
        <v>Sunday</v>
      </c>
      <c r="E25" s="6">
        <v>45284.416666666664</v>
      </c>
      <c r="F25" s="6" t="str">
        <f t="shared" si="1"/>
        <v>Sunday</v>
      </c>
      <c r="G25" t="str">
        <f>IF(COUNTIF(INDEX(SkiResort_ParkingRevenue_Raw[License Plate],1):SkiResort_ParkingRevenue_Raw[[#This Row],[License Plate]],SkiResort_ParkingRevenue_Raw[[#This Row],[License Plate]])=1,"New","Returning")</f>
        <v>Returning</v>
      </c>
      <c r="H25">
        <v>24.99</v>
      </c>
      <c r="I25">
        <v>1</v>
      </c>
      <c r="J25" t="str">
        <f t="shared" si="2"/>
        <v>All Season</v>
      </c>
    </row>
    <row r="26" spans="1:10" x14ac:dyDescent="0.25">
      <c r="A26" t="s">
        <v>111</v>
      </c>
      <c r="B26" t="str" cm="1">
        <f t="array" ref="B2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6" s="6">
        <v>45285.291666666664</v>
      </c>
      <c r="D26" t="str">
        <f t="shared" si="0"/>
        <v>Monday</v>
      </c>
      <c r="E26" s="6">
        <v>45285.416666666664</v>
      </c>
      <c r="F26" s="6" t="str">
        <f t="shared" si="1"/>
        <v>Monday</v>
      </c>
      <c r="G26" t="str">
        <f>IF(COUNTIF(INDEX(SkiResort_ParkingRevenue_Raw[License Plate],1):SkiResort_ParkingRevenue_Raw[[#This Row],[License Plate]],SkiResort_ParkingRevenue_Raw[[#This Row],[License Plate]])=1,"New","Returning")</f>
        <v>New</v>
      </c>
      <c r="H26">
        <v>24.99</v>
      </c>
      <c r="I26">
        <v>1</v>
      </c>
      <c r="J26" t="str">
        <f t="shared" si="2"/>
        <v>All Season</v>
      </c>
    </row>
    <row r="27" spans="1:10" x14ac:dyDescent="0.25">
      <c r="A27" t="s">
        <v>195</v>
      </c>
      <c r="B27" t="str" cm="1">
        <f t="array" ref="B2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7" s="6">
        <v>45285.291666666664</v>
      </c>
      <c r="D27" t="str">
        <f t="shared" si="0"/>
        <v>Monday</v>
      </c>
      <c r="E27" s="6">
        <v>45285.416666666664</v>
      </c>
      <c r="F27" s="6" t="str">
        <f t="shared" si="1"/>
        <v>Monday</v>
      </c>
      <c r="G27" t="str">
        <f>IF(COUNTIF(INDEX(SkiResort_ParkingRevenue_Raw[License Plate],1):SkiResort_ParkingRevenue_Raw[[#This Row],[License Plate]],SkiResort_ParkingRevenue_Raw[[#This Row],[License Plate]])=1,"New","Returning")</f>
        <v>Returning</v>
      </c>
      <c r="H27">
        <v>19.989999999999998</v>
      </c>
      <c r="I27">
        <v>1</v>
      </c>
      <c r="J27" t="str">
        <f t="shared" si="2"/>
        <v>All Season</v>
      </c>
    </row>
    <row r="28" spans="1:10" x14ac:dyDescent="0.25">
      <c r="A28" t="s">
        <v>197</v>
      </c>
      <c r="B28" t="str" cm="1">
        <f t="array" ref="B2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8" s="6">
        <v>45285.291666666664</v>
      </c>
      <c r="D28" t="str">
        <f t="shared" si="0"/>
        <v>Monday</v>
      </c>
      <c r="E28" s="6">
        <v>45285.416666666664</v>
      </c>
      <c r="F28" s="6" t="str">
        <f t="shared" si="1"/>
        <v>Monday</v>
      </c>
      <c r="G28" t="str">
        <f>IF(COUNTIF(INDEX(SkiResort_ParkingRevenue_Raw[License Plate],1):SkiResort_ParkingRevenue_Raw[[#This Row],[License Plate]],SkiResort_ParkingRevenue_Raw[[#This Row],[License Plate]])=1,"New","Returning")</f>
        <v>New</v>
      </c>
      <c r="H28">
        <v>24.99</v>
      </c>
      <c r="I28">
        <v>1</v>
      </c>
      <c r="J28" t="str">
        <f t="shared" si="2"/>
        <v>All Season</v>
      </c>
    </row>
    <row r="29" spans="1:10" x14ac:dyDescent="0.25">
      <c r="A29" t="s">
        <v>202</v>
      </c>
      <c r="B29" t="str" cm="1">
        <f t="array" ref="B2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9" s="6">
        <v>45285.291666666664</v>
      </c>
      <c r="D29" t="str">
        <f t="shared" si="0"/>
        <v>Monday</v>
      </c>
      <c r="E29" s="6">
        <v>45285.416666666664</v>
      </c>
      <c r="F29" s="6" t="str">
        <f t="shared" si="1"/>
        <v>Monday</v>
      </c>
      <c r="G29" t="str">
        <f>IF(COUNTIF(INDEX(SkiResort_ParkingRevenue_Raw[License Plate],1):SkiResort_ParkingRevenue_Raw[[#This Row],[License Plate]],SkiResort_ParkingRevenue_Raw[[#This Row],[License Plate]])=1,"New","Returning")</f>
        <v>Returning</v>
      </c>
      <c r="H29">
        <v>24.99</v>
      </c>
      <c r="I29">
        <v>1</v>
      </c>
      <c r="J29" t="str">
        <f t="shared" si="2"/>
        <v>All Season</v>
      </c>
    </row>
    <row r="30" spans="1:10" x14ac:dyDescent="0.25">
      <c r="A30" t="s">
        <v>204</v>
      </c>
      <c r="B30" t="str" cm="1">
        <f t="array" ref="B3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0" s="6">
        <v>45285.291666666664</v>
      </c>
      <c r="D30" t="str">
        <f t="shared" si="0"/>
        <v>Monday</v>
      </c>
      <c r="E30" s="6">
        <v>45285.416666666664</v>
      </c>
      <c r="F30" s="6" t="str">
        <f t="shared" si="1"/>
        <v>Monday</v>
      </c>
      <c r="G30" t="str">
        <f>IF(COUNTIF(INDEX(SkiResort_ParkingRevenue_Raw[License Plate],1):SkiResort_ParkingRevenue_Raw[[#This Row],[License Plate]],SkiResort_ParkingRevenue_Raw[[#This Row],[License Plate]])=1,"New","Returning")</f>
        <v>New</v>
      </c>
      <c r="H30">
        <v>39.979999999999997</v>
      </c>
      <c r="I30">
        <v>2</v>
      </c>
      <c r="J30" t="str">
        <f t="shared" si="2"/>
        <v>All Season</v>
      </c>
    </row>
    <row r="31" spans="1:10" x14ac:dyDescent="0.25">
      <c r="A31" t="s">
        <v>179</v>
      </c>
      <c r="B31" t="str" cm="1">
        <f t="array" ref="B3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1" s="6">
        <v>45285.415659722225</v>
      </c>
      <c r="D31" t="str">
        <f t="shared" si="0"/>
        <v>Monday</v>
      </c>
      <c r="E31" s="6">
        <v>45285.416666666664</v>
      </c>
      <c r="F31" s="6" t="str">
        <f t="shared" si="1"/>
        <v>Monday</v>
      </c>
      <c r="G31" t="str">
        <f>IF(COUNTIF(INDEX(SkiResort_ParkingRevenue_Raw[License Plate],1):SkiResort_ParkingRevenue_Raw[[#This Row],[License Plate]],SkiResort_ParkingRevenue_Raw[[#This Row],[License Plate]])=1,"New","Returning")</f>
        <v>New</v>
      </c>
      <c r="H31">
        <v>24.99</v>
      </c>
      <c r="I31">
        <v>1</v>
      </c>
      <c r="J31" t="str">
        <f t="shared" si="2"/>
        <v>All Season</v>
      </c>
    </row>
    <row r="32" spans="1:10" x14ac:dyDescent="0.25">
      <c r="A32" t="s">
        <v>184</v>
      </c>
      <c r="B32" t="str" cm="1">
        <f t="array" ref="B3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2" s="6">
        <v>45286.291666666664</v>
      </c>
      <c r="D32" t="str">
        <f t="shared" si="0"/>
        <v>Tuesday</v>
      </c>
      <c r="E32" s="6">
        <v>45286.416666666664</v>
      </c>
      <c r="F32" s="6" t="str">
        <f t="shared" si="1"/>
        <v>Tuesday</v>
      </c>
      <c r="G32" t="str">
        <f>IF(COUNTIF(INDEX(SkiResort_ParkingRevenue_Raw[License Plate],1):SkiResort_ParkingRevenue_Raw[[#This Row],[License Plate]],SkiResort_ParkingRevenue_Raw[[#This Row],[License Plate]])=1,"New","Returning")</f>
        <v>New</v>
      </c>
      <c r="H32">
        <v>24.99</v>
      </c>
      <c r="I32">
        <v>1</v>
      </c>
      <c r="J32" t="str">
        <f t="shared" si="2"/>
        <v>All Season</v>
      </c>
    </row>
    <row r="33" spans="1:10" x14ac:dyDescent="0.25">
      <c r="A33" t="s">
        <v>205</v>
      </c>
      <c r="B33" t="str" cm="1">
        <f t="array" ref="B3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3" s="6">
        <v>45286.291666666664</v>
      </c>
      <c r="D33" t="str">
        <f t="shared" si="0"/>
        <v>Tuesday</v>
      </c>
      <c r="E33" s="6">
        <v>45286.416666666664</v>
      </c>
      <c r="F33" s="6" t="str">
        <f t="shared" si="1"/>
        <v>Tuesday</v>
      </c>
      <c r="G33" t="str">
        <f>IF(COUNTIF(INDEX(SkiResort_ParkingRevenue_Raw[License Plate],1):SkiResort_ParkingRevenue_Raw[[#This Row],[License Plate]],SkiResort_ParkingRevenue_Raw[[#This Row],[License Plate]])=1,"New","Returning")</f>
        <v>New</v>
      </c>
      <c r="H33">
        <v>49.98</v>
      </c>
      <c r="I33">
        <v>2</v>
      </c>
      <c r="J33" t="str">
        <f t="shared" si="2"/>
        <v>All Season</v>
      </c>
    </row>
    <row r="34" spans="1:10" x14ac:dyDescent="0.25">
      <c r="A34" t="s">
        <v>210</v>
      </c>
      <c r="B34" t="str" cm="1">
        <f t="array" ref="B3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4" s="6">
        <v>45286.291666666664</v>
      </c>
      <c r="D34" t="str">
        <f t="shared" si="0"/>
        <v>Tuesday</v>
      </c>
      <c r="E34" s="6">
        <v>45286.416666666664</v>
      </c>
      <c r="F34" s="6" t="str">
        <f t="shared" si="1"/>
        <v>Tuesday</v>
      </c>
      <c r="G34" t="str">
        <f>IF(COUNTIF(INDEX(SkiResort_ParkingRevenue_Raw[License Plate],1):SkiResort_ParkingRevenue_Raw[[#This Row],[License Plate]],SkiResort_ParkingRevenue_Raw[[#This Row],[License Plate]])=1,"New","Returning")</f>
        <v>Returning</v>
      </c>
      <c r="H34">
        <v>49.98</v>
      </c>
      <c r="I34">
        <v>2</v>
      </c>
      <c r="J34" t="str">
        <f t="shared" si="2"/>
        <v>All Season</v>
      </c>
    </row>
    <row r="35" spans="1:10" x14ac:dyDescent="0.25">
      <c r="A35" t="s">
        <v>212</v>
      </c>
      <c r="B35" t="str" cm="1">
        <f t="array" ref="B3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5" s="6">
        <v>45286.291666666664</v>
      </c>
      <c r="D35" t="str">
        <f t="shared" si="0"/>
        <v>Tuesday</v>
      </c>
      <c r="E35" s="6">
        <v>45286.416666666664</v>
      </c>
      <c r="F35" s="6" t="str">
        <f t="shared" si="1"/>
        <v>Tuesday</v>
      </c>
      <c r="G35" t="str">
        <f>IF(COUNTIF(INDEX(SkiResort_ParkingRevenue_Raw[License Plate],1):SkiResort_ParkingRevenue_Raw[[#This Row],[License Plate]],SkiResort_ParkingRevenue_Raw[[#This Row],[License Plate]])=1,"New","Returning")</f>
        <v>Returning</v>
      </c>
      <c r="H35">
        <v>49.98</v>
      </c>
      <c r="I35">
        <v>2</v>
      </c>
      <c r="J35" t="str">
        <f t="shared" si="2"/>
        <v>All Season</v>
      </c>
    </row>
    <row r="36" spans="1:10" x14ac:dyDescent="0.25">
      <c r="A36" t="s">
        <v>244</v>
      </c>
      <c r="B36" t="str" cm="1">
        <f t="array" ref="B3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6" s="6">
        <v>45286.291666666664</v>
      </c>
      <c r="D36" t="str">
        <f t="shared" si="0"/>
        <v>Tuesday</v>
      </c>
      <c r="E36" s="6">
        <v>45286.416666666664</v>
      </c>
      <c r="F36" s="6" t="str">
        <f t="shared" si="1"/>
        <v>Tuesday</v>
      </c>
      <c r="G36" t="str">
        <f>IF(COUNTIF(INDEX(SkiResort_ParkingRevenue_Raw[License Plate],1):SkiResort_ParkingRevenue_Raw[[#This Row],[License Plate]],SkiResort_ParkingRevenue_Raw[[#This Row],[License Plate]])=1,"New","Returning")</f>
        <v>New</v>
      </c>
      <c r="H36">
        <v>19.989999999999998</v>
      </c>
      <c r="I36">
        <v>1</v>
      </c>
      <c r="J36" t="str">
        <f t="shared" si="2"/>
        <v>All Season</v>
      </c>
    </row>
    <row r="37" spans="1:10" x14ac:dyDescent="0.25">
      <c r="A37" t="s">
        <v>48</v>
      </c>
      <c r="B37" t="str" cm="1">
        <f t="array" ref="B3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7" s="6">
        <v>45287.291666666664</v>
      </c>
      <c r="D37" t="str">
        <f t="shared" si="0"/>
        <v>Wednesday</v>
      </c>
      <c r="E37" s="6">
        <v>45287.416666666664</v>
      </c>
      <c r="F37" s="6" t="str">
        <f t="shared" si="1"/>
        <v>Wednesday</v>
      </c>
      <c r="G37" t="str">
        <f>IF(COUNTIF(INDEX(SkiResort_ParkingRevenue_Raw[License Plate],1):SkiResort_ParkingRevenue_Raw[[#This Row],[License Plate]],SkiResort_ParkingRevenue_Raw[[#This Row],[License Plate]])=1,"New","Returning")</f>
        <v>New</v>
      </c>
      <c r="H37">
        <v>39.979999999999997</v>
      </c>
      <c r="I37">
        <v>2</v>
      </c>
      <c r="J37" t="str">
        <f t="shared" si="2"/>
        <v>All Season</v>
      </c>
    </row>
    <row r="38" spans="1:10" x14ac:dyDescent="0.25">
      <c r="A38" t="s">
        <v>106</v>
      </c>
      <c r="B38" t="str" cm="1">
        <f t="array" ref="B3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8" s="6">
        <v>45287.291666666664</v>
      </c>
      <c r="D38" t="str">
        <f t="shared" si="0"/>
        <v>Wednesday</v>
      </c>
      <c r="E38" s="6">
        <v>45287.416666666664</v>
      </c>
      <c r="F38" s="6" t="str">
        <f t="shared" si="1"/>
        <v>Wednesday</v>
      </c>
      <c r="G38" t="str">
        <f>IF(COUNTIF(INDEX(SkiResort_ParkingRevenue_Raw[License Plate],1):SkiResort_ParkingRevenue_Raw[[#This Row],[License Plate]],SkiResort_ParkingRevenue_Raw[[#This Row],[License Plate]])=1,"New","Returning")</f>
        <v>New</v>
      </c>
      <c r="H38">
        <v>24.99</v>
      </c>
      <c r="I38">
        <v>1</v>
      </c>
      <c r="J38" t="str">
        <f t="shared" si="2"/>
        <v>All Season</v>
      </c>
    </row>
    <row r="39" spans="1:10" x14ac:dyDescent="0.25">
      <c r="A39" t="s">
        <v>146</v>
      </c>
      <c r="B39" t="str" cm="1">
        <f t="array" ref="B3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9" s="6">
        <v>45287.291666666664</v>
      </c>
      <c r="D39" t="str">
        <f t="shared" si="0"/>
        <v>Wednesday</v>
      </c>
      <c r="E39" s="6">
        <v>45287.416666666664</v>
      </c>
      <c r="F39" s="6" t="str">
        <f t="shared" si="1"/>
        <v>Wednesday</v>
      </c>
      <c r="G39" t="str">
        <f>IF(COUNTIF(INDEX(SkiResort_ParkingRevenue_Raw[License Plate],1):SkiResort_ParkingRevenue_Raw[[#This Row],[License Plate]],SkiResort_ParkingRevenue_Raw[[#This Row],[License Plate]])=1,"New","Returning")</f>
        <v>Returning</v>
      </c>
      <c r="H39">
        <v>39.979999999999997</v>
      </c>
      <c r="I39">
        <v>2</v>
      </c>
      <c r="J39" t="str">
        <f t="shared" si="2"/>
        <v>All Season</v>
      </c>
    </row>
    <row r="40" spans="1:10" x14ac:dyDescent="0.25">
      <c r="A40" t="s">
        <v>190</v>
      </c>
      <c r="B40" t="str" cm="1">
        <f t="array" ref="B4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0" s="6">
        <v>45287.291666666664</v>
      </c>
      <c r="D40" t="str">
        <f t="shared" si="0"/>
        <v>Wednesday</v>
      </c>
      <c r="E40" s="6">
        <v>45287.416666666664</v>
      </c>
      <c r="F40" s="6" t="str">
        <f t="shared" si="1"/>
        <v>Wednesday</v>
      </c>
      <c r="G40" t="str">
        <f>IF(COUNTIF(INDEX(SkiResort_ParkingRevenue_Raw[License Plate],1):SkiResort_ParkingRevenue_Raw[[#This Row],[License Plate]],SkiResort_ParkingRevenue_Raw[[#This Row],[License Plate]])=1,"New","Returning")</f>
        <v>New</v>
      </c>
      <c r="H40">
        <v>24.99</v>
      </c>
      <c r="I40">
        <v>1</v>
      </c>
      <c r="J40" t="str">
        <f t="shared" si="2"/>
        <v>All Season</v>
      </c>
    </row>
    <row r="41" spans="1:10" x14ac:dyDescent="0.25">
      <c r="A41" t="s">
        <v>209</v>
      </c>
      <c r="B41" t="str" cm="1">
        <f t="array" ref="B4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1" s="6">
        <v>45287.291666666664</v>
      </c>
      <c r="D41" t="str">
        <f t="shared" si="0"/>
        <v>Wednesday</v>
      </c>
      <c r="E41" s="6">
        <v>45287.416666666664</v>
      </c>
      <c r="F41" s="6" t="str">
        <f t="shared" si="1"/>
        <v>Wednesday</v>
      </c>
      <c r="G41" t="str">
        <f>IF(COUNTIF(INDEX(SkiResort_ParkingRevenue_Raw[License Plate],1):SkiResort_ParkingRevenue_Raw[[#This Row],[License Plate]],SkiResort_ParkingRevenue_Raw[[#This Row],[License Plate]])=1,"New","Returning")</f>
        <v>Returning</v>
      </c>
      <c r="H41">
        <v>49.98</v>
      </c>
      <c r="I41">
        <v>2</v>
      </c>
      <c r="J41" t="str">
        <f t="shared" si="2"/>
        <v>All Season</v>
      </c>
    </row>
    <row r="42" spans="1:10" x14ac:dyDescent="0.25">
      <c r="A42" t="s">
        <v>211</v>
      </c>
      <c r="B42" t="str" cm="1">
        <f t="array" ref="B4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2" s="6">
        <v>45287.291666666664</v>
      </c>
      <c r="D42" t="str">
        <f t="shared" si="0"/>
        <v>Wednesday</v>
      </c>
      <c r="E42" s="6">
        <v>45287.416666666664</v>
      </c>
      <c r="F42" s="6" t="str">
        <f t="shared" si="1"/>
        <v>Wednesday</v>
      </c>
      <c r="G42" t="str">
        <f>IF(COUNTIF(INDEX(SkiResort_ParkingRevenue_Raw[License Plate],1):SkiResort_ParkingRevenue_Raw[[#This Row],[License Plate]],SkiResort_ParkingRevenue_Raw[[#This Row],[License Plate]])=1,"New","Returning")</f>
        <v>Returning</v>
      </c>
      <c r="H42">
        <v>49.98</v>
      </c>
      <c r="I42">
        <v>2</v>
      </c>
      <c r="J42" t="str">
        <f t="shared" si="2"/>
        <v>All Season</v>
      </c>
    </row>
    <row r="43" spans="1:10" x14ac:dyDescent="0.25">
      <c r="A43" t="s">
        <v>213</v>
      </c>
      <c r="B43" t="str" cm="1">
        <f t="array" ref="B4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3" s="6">
        <v>45287.291666666664</v>
      </c>
      <c r="D43" t="str">
        <f t="shared" si="0"/>
        <v>Wednesday</v>
      </c>
      <c r="E43" s="6">
        <v>45287.416666666664</v>
      </c>
      <c r="F43" s="6" t="str">
        <f t="shared" si="1"/>
        <v>Wednesday</v>
      </c>
      <c r="G43" t="str">
        <f>IF(COUNTIF(INDEX(SkiResort_ParkingRevenue_Raw[License Plate],1):SkiResort_ParkingRevenue_Raw[[#This Row],[License Plate]],SkiResort_ParkingRevenue_Raw[[#This Row],[License Plate]])=1,"New","Returning")</f>
        <v>Returning</v>
      </c>
      <c r="H43">
        <v>49.98</v>
      </c>
      <c r="I43">
        <v>2</v>
      </c>
      <c r="J43" t="str">
        <f t="shared" si="2"/>
        <v>All Season</v>
      </c>
    </row>
    <row r="44" spans="1:10" x14ac:dyDescent="0.25">
      <c r="A44" t="s">
        <v>214</v>
      </c>
      <c r="B44" t="str" cm="1">
        <f t="array" ref="B4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4" s="6">
        <v>45287.291666666664</v>
      </c>
      <c r="D44" t="str">
        <f t="shared" si="0"/>
        <v>Wednesday</v>
      </c>
      <c r="E44" s="6">
        <v>45287.416666666664</v>
      </c>
      <c r="F44" s="6" t="str">
        <f t="shared" si="1"/>
        <v>Wednesday</v>
      </c>
      <c r="G44" t="str">
        <f>IF(COUNTIF(INDEX(SkiResort_ParkingRevenue_Raw[License Plate],1):SkiResort_ParkingRevenue_Raw[[#This Row],[License Plate]],SkiResort_ParkingRevenue_Raw[[#This Row],[License Plate]])=1,"New","Returning")</f>
        <v>New</v>
      </c>
      <c r="H44">
        <v>24.99</v>
      </c>
      <c r="I44">
        <v>1</v>
      </c>
      <c r="J44" t="str">
        <f t="shared" si="2"/>
        <v>All Season</v>
      </c>
    </row>
    <row r="45" spans="1:10" x14ac:dyDescent="0.25">
      <c r="A45" t="s">
        <v>249</v>
      </c>
      <c r="B45" t="str" cm="1">
        <f t="array" ref="B4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5" s="6">
        <v>45287.291666666664</v>
      </c>
      <c r="D45" t="str">
        <f t="shared" si="0"/>
        <v>Wednesday</v>
      </c>
      <c r="E45" s="6">
        <v>45287.416666666664</v>
      </c>
      <c r="F45" s="6" t="str">
        <f t="shared" si="1"/>
        <v>Wednesday</v>
      </c>
      <c r="G45" t="str">
        <f>IF(COUNTIF(INDEX(SkiResort_ParkingRevenue_Raw[License Plate],1):SkiResort_ParkingRevenue_Raw[[#This Row],[License Plate]],SkiResort_ParkingRevenue_Raw[[#This Row],[License Plate]])=1,"New","Returning")</f>
        <v>New</v>
      </c>
      <c r="H45">
        <v>24.99</v>
      </c>
      <c r="I45">
        <v>1</v>
      </c>
      <c r="J45" t="str">
        <f t="shared" si="2"/>
        <v>All Season</v>
      </c>
    </row>
    <row r="46" spans="1:10" x14ac:dyDescent="0.25">
      <c r="A46" t="s">
        <v>254</v>
      </c>
      <c r="B46" t="str" cm="1">
        <f t="array" ref="B4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6" s="6">
        <v>45287.291666666664</v>
      </c>
      <c r="D46" t="str">
        <f t="shared" si="0"/>
        <v>Wednesday</v>
      </c>
      <c r="E46" s="6">
        <v>45287.416666666664</v>
      </c>
      <c r="F46" s="6" t="str">
        <f t="shared" si="1"/>
        <v>Wednesday</v>
      </c>
      <c r="G46" t="str">
        <f>IF(COUNTIF(INDEX(SkiResort_ParkingRevenue_Raw[License Plate],1):SkiResort_ParkingRevenue_Raw[[#This Row],[License Plate]],SkiResort_ParkingRevenue_Raw[[#This Row],[License Plate]])=1,"New","Returning")</f>
        <v>New</v>
      </c>
      <c r="H46">
        <v>24.99</v>
      </c>
      <c r="I46">
        <v>1</v>
      </c>
      <c r="J46" t="str">
        <f t="shared" si="2"/>
        <v>All Season</v>
      </c>
    </row>
    <row r="47" spans="1:10" x14ac:dyDescent="0.25">
      <c r="A47" t="s">
        <v>274</v>
      </c>
      <c r="B47" t="str" cm="1">
        <f t="array" ref="B4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7" s="6">
        <v>45287.291666666664</v>
      </c>
      <c r="D47" t="str">
        <f t="shared" si="0"/>
        <v>Wednesday</v>
      </c>
      <c r="E47" s="6">
        <v>45287.416666666664</v>
      </c>
      <c r="F47" s="6" t="str">
        <f t="shared" si="1"/>
        <v>Wednesday</v>
      </c>
      <c r="G47" t="str">
        <f>IF(COUNTIF(INDEX(SkiResort_ParkingRevenue_Raw[License Plate],1):SkiResort_ParkingRevenue_Raw[[#This Row],[License Plate]],SkiResort_ParkingRevenue_Raw[[#This Row],[License Plate]])=1,"New","Returning")</f>
        <v>New</v>
      </c>
      <c r="H47">
        <v>24.99</v>
      </c>
      <c r="I47">
        <v>1</v>
      </c>
      <c r="J47" t="str">
        <f t="shared" si="2"/>
        <v>All Season</v>
      </c>
    </row>
    <row r="48" spans="1:10" x14ac:dyDescent="0.25">
      <c r="A48" t="s">
        <v>279</v>
      </c>
      <c r="B48" t="str" cm="1">
        <f t="array" ref="B4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8" s="6">
        <v>45287.33394675926</v>
      </c>
      <c r="D48" t="str">
        <f t="shared" si="0"/>
        <v>Wednesday</v>
      </c>
      <c r="E48" s="6">
        <v>45287.416666666664</v>
      </c>
      <c r="F48" s="6" t="str">
        <f t="shared" si="1"/>
        <v>Wednesday</v>
      </c>
      <c r="G48" t="str">
        <f>IF(COUNTIF(INDEX(SkiResort_ParkingRevenue_Raw[License Plate],1):SkiResort_ParkingRevenue_Raw[[#This Row],[License Plate]],SkiResort_ParkingRevenue_Raw[[#This Row],[License Plate]])=1,"New","Returning")</f>
        <v>New</v>
      </c>
      <c r="H48">
        <v>24.99</v>
      </c>
      <c r="I48">
        <v>1</v>
      </c>
      <c r="J48" t="str">
        <f t="shared" si="2"/>
        <v>All Season</v>
      </c>
    </row>
    <row r="49" spans="1:10" x14ac:dyDescent="0.25">
      <c r="A49" t="s">
        <v>53</v>
      </c>
      <c r="B49" t="str" cm="1">
        <f t="array" ref="B4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9" s="6">
        <v>45288.291666666664</v>
      </c>
      <c r="D49" t="str">
        <f t="shared" si="0"/>
        <v>Thursday</v>
      </c>
      <c r="E49" s="6">
        <v>45288.416666666664</v>
      </c>
      <c r="F49" s="6" t="str">
        <f t="shared" si="1"/>
        <v>Thursday</v>
      </c>
      <c r="G49" t="str">
        <f>IF(COUNTIF(INDEX(SkiResort_ParkingRevenue_Raw[License Plate],1):SkiResort_ParkingRevenue_Raw[[#This Row],[License Plate]],SkiResort_ParkingRevenue_Raw[[#This Row],[License Plate]])=1,"New","Returning")</f>
        <v>Returning</v>
      </c>
      <c r="H49">
        <v>39.979999999999997</v>
      </c>
      <c r="I49">
        <v>2</v>
      </c>
      <c r="J49" t="str">
        <f t="shared" si="2"/>
        <v>All Season</v>
      </c>
    </row>
    <row r="50" spans="1:10" x14ac:dyDescent="0.25">
      <c r="A50" t="s">
        <v>220</v>
      </c>
      <c r="B50" t="str" cm="1">
        <f t="array" ref="B5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0" s="6">
        <v>45288.291666666664</v>
      </c>
      <c r="D50" t="str">
        <f t="shared" si="0"/>
        <v>Thursday</v>
      </c>
      <c r="E50" s="6">
        <v>45288.416666666664</v>
      </c>
      <c r="F50" s="6" t="str">
        <f t="shared" si="1"/>
        <v>Thursday</v>
      </c>
      <c r="G50" t="str">
        <f>IF(COUNTIF(INDEX(SkiResort_ParkingRevenue_Raw[License Plate],1):SkiResort_ParkingRevenue_Raw[[#This Row],[License Plate]],SkiResort_ParkingRevenue_Raw[[#This Row],[License Plate]])=1,"New","Returning")</f>
        <v>New</v>
      </c>
      <c r="H50">
        <v>24.99</v>
      </c>
      <c r="I50">
        <v>1</v>
      </c>
      <c r="J50" t="str">
        <f t="shared" si="2"/>
        <v>All Season</v>
      </c>
    </row>
    <row r="51" spans="1:10" x14ac:dyDescent="0.25">
      <c r="A51" t="s">
        <v>233</v>
      </c>
      <c r="B51" t="str" cm="1">
        <f t="array" ref="B5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1" s="6">
        <v>45288.291666666664</v>
      </c>
      <c r="D51" t="str">
        <f t="shared" si="0"/>
        <v>Thursday</v>
      </c>
      <c r="E51" s="6">
        <v>45288.416666666664</v>
      </c>
      <c r="F51" s="6" t="str">
        <f t="shared" si="1"/>
        <v>Thursday</v>
      </c>
      <c r="G51" t="str">
        <f>IF(COUNTIF(INDEX(SkiResort_ParkingRevenue_Raw[License Plate],1):SkiResort_ParkingRevenue_Raw[[#This Row],[License Plate]],SkiResort_ParkingRevenue_Raw[[#This Row],[License Plate]])=1,"New","Returning")</f>
        <v>New</v>
      </c>
      <c r="H51">
        <v>24.99</v>
      </c>
      <c r="I51">
        <v>1</v>
      </c>
      <c r="J51" t="str">
        <f t="shared" si="2"/>
        <v>All Season</v>
      </c>
    </row>
    <row r="52" spans="1:10" x14ac:dyDescent="0.25">
      <c r="A52" t="s">
        <v>238</v>
      </c>
      <c r="B52" t="str" cm="1">
        <f t="array" ref="B5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2" s="6">
        <v>45288.291666666664</v>
      </c>
      <c r="D52" t="str">
        <f t="shared" si="0"/>
        <v>Thursday</v>
      </c>
      <c r="E52" s="6">
        <v>45288.416666666664</v>
      </c>
      <c r="F52" s="6" t="str">
        <f t="shared" si="1"/>
        <v>Thursday</v>
      </c>
      <c r="G52" t="str">
        <f>IF(COUNTIF(INDEX(SkiResort_ParkingRevenue_Raw[License Plate],1):SkiResort_ParkingRevenue_Raw[[#This Row],[License Plate]],SkiResort_ParkingRevenue_Raw[[#This Row],[License Plate]])=1,"New","Returning")</f>
        <v>New</v>
      </c>
      <c r="H52">
        <v>49.98</v>
      </c>
      <c r="I52">
        <v>2</v>
      </c>
      <c r="J52" t="str">
        <f t="shared" si="2"/>
        <v>All Season</v>
      </c>
    </row>
    <row r="53" spans="1:10" x14ac:dyDescent="0.25">
      <c r="A53" t="s">
        <v>259</v>
      </c>
      <c r="B53" t="str" cm="1">
        <f t="array" ref="B5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3" s="6">
        <v>45288.291666666664</v>
      </c>
      <c r="D53" t="str">
        <f t="shared" si="0"/>
        <v>Thursday</v>
      </c>
      <c r="E53" s="6">
        <v>45288.416666666664</v>
      </c>
      <c r="F53" s="6" t="str">
        <f t="shared" si="1"/>
        <v>Thursday</v>
      </c>
      <c r="G53" t="str">
        <f>IF(COUNTIF(INDEX(SkiResort_ParkingRevenue_Raw[License Plate],1):SkiResort_ParkingRevenue_Raw[[#This Row],[License Plate]],SkiResort_ParkingRevenue_Raw[[#This Row],[License Plate]])=1,"New","Returning")</f>
        <v>New</v>
      </c>
      <c r="H53">
        <v>24.99</v>
      </c>
      <c r="I53">
        <v>1</v>
      </c>
      <c r="J53" t="str">
        <f t="shared" si="2"/>
        <v>All Season</v>
      </c>
    </row>
    <row r="54" spans="1:10" x14ac:dyDescent="0.25">
      <c r="A54" t="s">
        <v>271</v>
      </c>
      <c r="B54" t="str" cm="1">
        <f t="array" ref="B5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4" s="6">
        <v>45288.291666666664</v>
      </c>
      <c r="D54" t="str">
        <f t="shared" si="0"/>
        <v>Thursday</v>
      </c>
      <c r="E54" s="6">
        <v>45288.416666666664</v>
      </c>
      <c r="F54" s="6" t="str">
        <f t="shared" si="1"/>
        <v>Thursday</v>
      </c>
      <c r="G54" t="str">
        <f>IF(COUNTIF(INDEX(SkiResort_ParkingRevenue_Raw[License Plate],1):SkiResort_ParkingRevenue_Raw[[#This Row],[License Plate]],SkiResort_ParkingRevenue_Raw[[#This Row],[License Plate]])=1,"New","Returning")</f>
        <v>Returning</v>
      </c>
      <c r="H54">
        <v>24.99</v>
      </c>
      <c r="I54">
        <v>1</v>
      </c>
      <c r="J54" t="str">
        <f t="shared" si="2"/>
        <v>All Season</v>
      </c>
    </row>
    <row r="55" spans="1:10" x14ac:dyDescent="0.25">
      <c r="A55" t="s">
        <v>273</v>
      </c>
      <c r="B55" t="str" cm="1">
        <f t="array" ref="B5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5" s="6">
        <v>45288.291666666664</v>
      </c>
      <c r="D55" t="str">
        <f t="shared" si="0"/>
        <v>Thursday</v>
      </c>
      <c r="E55" s="6">
        <v>45288.416666666664</v>
      </c>
      <c r="F55" s="6" t="str">
        <f t="shared" si="1"/>
        <v>Thursday</v>
      </c>
      <c r="G55" t="str">
        <f>IF(COUNTIF(INDEX(SkiResort_ParkingRevenue_Raw[License Plate],1):SkiResort_ParkingRevenue_Raw[[#This Row],[License Plate]],SkiResort_ParkingRevenue_Raw[[#This Row],[License Plate]])=1,"New","Returning")</f>
        <v>New</v>
      </c>
      <c r="H55">
        <v>49.98</v>
      </c>
      <c r="I55">
        <v>2</v>
      </c>
      <c r="J55" t="str">
        <f t="shared" si="2"/>
        <v>All Season</v>
      </c>
    </row>
    <row r="56" spans="1:10" x14ac:dyDescent="0.25">
      <c r="A56" t="s">
        <v>284</v>
      </c>
      <c r="B56" t="str" cm="1">
        <f t="array" ref="B5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6" s="6">
        <v>45288.291666666664</v>
      </c>
      <c r="D56" t="str">
        <f t="shared" si="0"/>
        <v>Thursday</v>
      </c>
      <c r="E56" s="6">
        <v>45288.416666666664</v>
      </c>
      <c r="F56" s="6" t="str">
        <f t="shared" si="1"/>
        <v>Thursday</v>
      </c>
      <c r="G56" t="str">
        <f>IF(COUNTIF(INDEX(SkiResort_ParkingRevenue_Raw[License Plate],1):SkiResort_ParkingRevenue_Raw[[#This Row],[License Plate]],SkiResort_ParkingRevenue_Raw[[#This Row],[License Plate]])=1,"New","Returning")</f>
        <v>Returning</v>
      </c>
      <c r="H56">
        <v>24.99</v>
      </c>
      <c r="I56">
        <v>1</v>
      </c>
      <c r="J56" t="str">
        <f t="shared" si="2"/>
        <v>All Season</v>
      </c>
    </row>
    <row r="57" spans="1:10" x14ac:dyDescent="0.25">
      <c r="A57" t="s">
        <v>286</v>
      </c>
      <c r="B57" t="str" cm="1">
        <f t="array" ref="B5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7" s="6">
        <v>45288.291666666664</v>
      </c>
      <c r="D57" t="str">
        <f t="shared" si="0"/>
        <v>Thursday</v>
      </c>
      <c r="E57" s="6">
        <v>45288.416666666664</v>
      </c>
      <c r="F57" s="6" t="str">
        <f t="shared" si="1"/>
        <v>Thursday</v>
      </c>
      <c r="G57" t="str">
        <f>IF(COUNTIF(INDEX(SkiResort_ParkingRevenue_Raw[License Plate],1):SkiResort_ParkingRevenue_Raw[[#This Row],[License Plate]],SkiResort_ParkingRevenue_Raw[[#This Row],[License Plate]])=1,"New","Returning")</f>
        <v>Returning</v>
      </c>
      <c r="H57">
        <v>24.99</v>
      </c>
      <c r="I57">
        <v>1</v>
      </c>
      <c r="J57" t="str">
        <f t="shared" si="2"/>
        <v>All Season</v>
      </c>
    </row>
    <row r="58" spans="1:10" x14ac:dyDescent="0.25">
      <c r="A58" t="s">
        <v>312</v>
      </c>
      <c r="B58" t="str" cm="1">
        <f t="array" ref="B5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8" s="6">
        <v>45288.291666666664</v>
      </c>
      <c r="D58" t="str">
        <f t="shared" si="0"/>
        <v>Thursday</v>
      </c>
      <c r="E58" s="6">
        <v>45288.416666666664</v>
      </c>
      <c r="F58" s="6" t="str">
        <f t="shared" si="1"/>
        <v>Thursday</v>
      </c>
      <c r="G58" t="str">
        <f>IF(COUNTIF(INDEX(SkiResort_ParkingRevenue_Raw[License Plate],1):SkiResort_ParkingRevenue_Raw[[#This Row],[License Plate]],SkiResort_ParkingRevenue_Raw[[#This Row],[License Plate]])=1,"New","Returning")</f>
        <v>New</v>
      </c>
      <c r="H58">
        <v>24.99</v>
      </c>
      <c r="I58">
        <v>1</v>
      </c>
      <c r="J58" t="str">
        <f t="shared" si="2"/>
        <v>All Season</v>
      </c>
    </row>
    <row r="59" spans="1:10" x14ac:dyDescent="0.25">
      <c r="A59" t="s">
        <v>340</v>
      </c>
      <c r="B59" t="str" cm="1">
        <f t="array" ref="B5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9" s="6">
        <v>45288.291666666664</v>
      </c>
      <c r="D59" t="str">
        <f t="shared" si="0"/>
        <v>Thursday</v>
      </c>
      <c r="E59" s="6">
        <v>45288.416666666664</v>
      </c>
      <c r="F59" s="6" t="str">
        <f t="shared" si="1"/>
        <v>Thursday</v>
      </c>
      <c r="G59" t="str">
        <f>IF(COUNTIF(INDEX(SkiResort_ParkingRevenue_Raw[License Plate],1):SkiResort_ParkingRevenue_Raw[[#This Row],[License Plate]],SkiResort_ParkingRevenue_Raw[[#This Row],[License Plate]])=1,"New","Returning")</f>
        <v>New</v>
      </c>
      <c r="H59">
        <v>24.99</v>
      </c>
      <c r="I59">
        <v>1</v>
      </c>
      <c r="J59" t="str">
        <f t="shared" si="2"/>
        <v>All Season</v>
      </c>
    </row>
    <row r="60" spans="1:10" x14ac:dyDescent="0.25">
      <c r="A60" t="s">
        <v>345</v>
      </c>
      <c r="B60" t="str" cm="1">
        <f t="array" ref="B6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60" s="6">
        <v>45288.291666666664</v>
      </c>
      <c r="D60" t="str">
        <f t="shared" si="0"/>
        <v>Thursday</v>
      </c>
      <c r="E60" s="6">
        <v>45288.416666666664</v>
      </c>
      <c r="F60" s="6" t="str">
        <f t="shared" si="1"/>
        <v>Thursday</v>
      </c>
      <c r="G60" t="str">
        <f>IF(COUNTIF(INDEX(SkiResort_ParkingRevenue_Raw[License Plate],1):SkiResort_ParkingRevenue_Raw[[#This Row],[License Plate]],SkiResort_ParkingRevenue_Raw[[#This Row],[License Plate]])=1,"New","Returning")</f>
        <v>New</v>
      </c>
      <c r="H60">
        <v>19.989999999999998</v>
      </c>
      <c r="I60">
        <v>1</v>
      </c>
      <c r="J60" t="str">
        <f t="shared" si="2"/>
        <v>All Season</v>
      </c>
    </row>
    <row r="61" spans="1:10" x14ac:dyDescent="0.25">
      <c r="A61" t="s">
        <v>293</v>
      </c>
      <c r="B61" t="str" cm="1">
        <f t="array" ref="B6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61" s="6">
        <v>45288.345081018517</v>
      </c>
      <c r="D61" t="str">
        <f t="shared" si="0"/>
        <v>Thursday</v>
      </c>
      <c r="E61" s="6">
        <v>45288.416666666664</v>
      </c>
      <c r="F61" s="6" t="str">
        <f t="shared" si="1"/>
        <v>Thursday</v>
      </c>
      <c r="G61" t="str">
        <f>IF(COUNTIF(INDEX(SkiResort_ParkingRevenue_Raw[License Plate],1):SkiResort_ParkingRevenue_Raw[[#This Row],[License Plate]],SkiResort_ParkingRevenue_Raw[[#This Row],[License Plate]])=1,"New","Returning")</f>
        <v>New</v>
      </c>
      <c r="H61">
        <v>24.99</v>
      </c>
      <c r="I61">
        <v>1</v>
      </c>
      <c r="J61" t="str">
        <f t="shared" si="2"/>
        <v>All Season</v>
      </c>
    </row>
    <row r="62" spans="1:10" x14ac:dyDescent="0.25">
      <c r="A62" t="s">
        <v>298</v>
      </c>
      <c r="B62" t="str" cm="1">
        <f t="array" ref="B6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62" s="6">
        <v>45288.348958333336</v>
      </c>
      <c r="D62" t="str">
        <f t="shared" si="0"/>
        <v>Thursday</v>
      </c>
      <c r="E62" s="6">
        <v>45288.416666666664</v>
      </c>
      <c r="F62" s="6" t="str">
        <f t="shared" si="1"/>
        <v>Thursday</v>
      </c>
      <c r="G62" t="str">
        <f>IF(COUNTIF(INDEX(SkiResort_ParkingRevenue_Raw[License Plate],1):SkiResort_ParkingRevenue_Raw[[#This Row],[License Plate]],SkiResort_ParkingRevenue_Raw[[#This Row],[License Plate]])=1,"New","Returning")</f>
        <v>New</v>
      </c>
      <c r="H62">
        <v>24.99</v>
      </c>
      <c r="I62">
        <v>1</v>
      </c>
      <c r="J62" t="str">
        <f t="shared" si="2"/>
        <v>All Season</v>
      </c>
    </row>
    <row r="63" spans="1:10" x14ac:dyDescent="0.25">
      <c r="A63" t="s">
        <v>304</v>
      </c>
      <c r="B63" t="str" cm="1">
        <f t="array" ref="B6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63" s="6">
        <v>45288.351203703707</v>
      </c>
      <c r="D63" t="str">
        <f t="shared" si="0"/>
        <v>Thursday</v>
      </c>
      <c r="E63" s="6">
        <v>45288.416666666664</v>
      </c>
      <c r="F63" s="6" t="str">
        <f t="shared" si="1"/>
        <v>Thursday</v>
      </c>
      <c r="G63" t="str">
        <f>IF(COUNTIF(INDEX(SkiResort_ParkingRevenue_Raw[License Plate],1):SkiResort_ParkingRevenue_Raw[[#This Row],[License Plate]],SkiResort_ParkingRevenue_Raw[[#This Row],[License Plate]])=1,"New","Returning")</f>
        <v>New</v>
      </c>
      <c r="H63">
        <v>24.99</v>
      </c>
      <c r="I63">
        <v>1</v>
      </c>
      <c r="J63" t="str">
        <f t="shared" si="2"/>
        <v>All Season</v>
      </c>
    </row>
    <row r="64" spans="1:10" x14ac:dyDescent="0.25">
      <c r="A64" t="s">
        <v>307</v>
      </c>
      <c r="B64" t="str" cm="1">
        <f t="array" ref="B6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64" s="6">
        <v>45288.363391203704</v>
      </c>
      <c r="D64" t="str">
        <f t="shared" si="0"/>
        <v>Thursday</v>
      </c>
      <c r="E64" s="6">
        <v>45288.416666666664</v>
      </c>
      <c r="F64" s="6" t="str">
        <f t="shared" si="1"/>
        <v>Thursday</v>
      </c>
      <c r="G64" t="str">
        <f>IF(COUNTIF(INDEX(SkiResort_ParkingRevenue_Raw[License Plate],1):SkiResort_ParkingRevenue_Raw[[#This Row],[License Plate]],SkiResort_ParkingRevenue_Raw[[#This Row],[License Plate]])=1,"New","Returning")</f>
        <v>New</v>
      </c>
      <c r="H64">
        <v>24.99</v>
      </c>
      <c r="I64">
        <v>1</v>
      </c>
      <c r="J64" t="str">
        <f t="shared" si="2"/>
        <v>All Season</v>
      </c>
    </row>
    <row r="65" spans="1:10" x14ac:dyDescent="0.25">
      <c r="A65" t="s">
        <v>334</v>
      </c>
      <c r="B65" t="str" cm="1">
        <f t="array" ref="B6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65" s="6">
        <v>45288.497986111113</v>
      </c>
      <c r="D65" t="str">
        <f t="shared" si="0"/>
        <v>Thursday</v>
      </c>
      <c r="E65" s="6">
        <v>45288.416666666664</v>
      </c>
      <c r="F65" s="6" t="str">
        <f t="shared" si="1"/>
        <v>Thursday</v>
      </c>
      <c r="G65" t="str">
        <f>IF(COUNTIF(INDEX(SkiResort_ParkingRevenue_Raw[License Plate],1):SkiResort_ParkingRevenue_Raw[[#This Row],[License Plate]],SkiResort_ParkingRevenue_Raw[[#This Row],[License Plate]])=1,"New","Returning")</f>
        <v>New</v>
      </c>
      <c r="H65">
        <v>24.99</v>
      </c>
      <c r="I65">
        <v>1</v>
      </c>
      <c r="J65" t="str">
        <f t="shared" si="2"/>
        <v>All Season</v>
      </c>
    </row>
    <row r="66" spans="1:10" x14ac:dyDescent="0.25">
      <c r="A66" t="s">
        <v>338</v>
      </c>
      <c r="B66" t="str" cm="1">
        <f t="array" ref="B6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66" s="6">
        <v>45288.498356481483</v>
      </c>
      <c r="D66" t="str">
        <f t="shared" ref="D66:D129" si="3">_xlfn.TEXTBEFORE(TEXT(C66, "dddd, mmmm dd, yyyy"), ",")</f>
        <v>Thursday</v>
      </c>
      <c r="E66" s="6">
        <v>45288.416666666664</v>
      </c>
      <c r="F66" s="6" t="str">
        <f t="shared" si="1"/>
        <v>Thursday</v>
      </c>
      <c r="G66" t="str">
        <f>IF(COUNTIF(INDEX(SkiResort_ParkingRevenue_Raw[License Plate],1):SkiResort_ParkingRevenue_Raw[[#This Row],[License Plate]],SkiResort_ParkingRevenue_Raw[[#This Row],[License Plate]])=1,"New","Returning")</f>
        <v>Returning</v>
      </c>
      <c r="H66">
        <v>24.99</v>
      </c>
      <c r="I66">
        <v>1</v>
      </c>
      <c r="J66" t="str">
        <f t="shared" si="2"/>
        <v>All Season</v>
      </c>
    </row>
    <row r="67" spans="1:10" x14ac:dyDescent="0.25">
      <c r="A67" t="s">
        <v>339</v>
      </c>
      <c r="B67" t="str" cm="1">
        <f t="array" ref="B6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67" s="6">
        <v>45288.498796296299</v>
      </c>
      <c r="D67" t="str">
        <f t="shared" si="3"/>
        <v>Thursday</v>
      </c>
      <c r="E67" s="6">
        <v>45288.416666666664</v>
      </c>
      <c r="F67" s="6" t="str">
        <f t="shared" ref="F67:F130" si="4">_xlfn.TEXTBEFORE(TEXT(E67,"dddd, mmmm dd, yyyy"), ",")</f>
        <v>Thursday</v>
      </c>
      <c r="G67" t="str">
        <f>IF(COUNTIF(INDEX(SkiResort_ParkingRevenue_Raw[License Plate],1):SkiResort_ParkingRevenue_Raw[[#This Row],[License Plate]],SkiResort_ParkingRevenue_Raw[[#This Row],[License Plate]])=1,"New","Returning")</f>
        <v>Returning</v>
      </c>
      <c r="H67">
        <v>24.99</v>
      </c>
      <c r="I67">
        <v>1</v>
      </c>
      <c r="J67" t="str">
        <f t="shared" ref="J67:J130" si="5">IF(C67&lt;DATE(2025,1,17), "All Season", "Weekends/Holiday Only")</f>
        <v>All Season</v>
      </c>
    </row>
    <row r="68" spans="1:10" x14ac:dyDescent="0.25">
      <c r="A68" t="s">
        <v>350</v>
      </c>
      <c r="B68" t="str" cm="1">
        <f t="array" ref="B6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68" s="6">
        <v>45288.500416666669</v>
      </c>
      <c r="D68" t="str">
        <f t="shared" si="3"/>
        <v>Thursday</v>
      </c>
      <c r="E68" s="6">
        <v>45288.416666666664</v>
      </c>
      <c r="F68" s="6" t="str">
        <f t="shared" si="4"/>
        <v>Thursday</v>
      </c>
      <c r="G68" t="str">
        <f>IF(COUNTIF(INDEX(SkiResort_ParkingRevenue_Raw[License Plate],1):SkiResort_ParkingRevenue_Raw[[#This Row],[License Plate]],SkiResort_ParkingRevenue_Raw[[#This Row],[License Plate]])=1,"New","Returning")</f>
        <v>Returning</v>
      </c>
      <c r="H68">
        <v>24.99</v>
      </c>
      <c r="I68">
        <v>1</v>
      </c>
      <c r="J68" t="str">
        <f t="shared" si="5"/>
        <v>All Season</v>
      </c>
    </row>
    <row r="69" spans="1:10" x14ac:dyDescent="0.25">
      <c r="A69" t="s">
        <v>157</v>
      </c>
      <c r="B69" t="str" cm="1">
        <f t="array" ref="B6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69" s="6">
        <v>45289.291666666664</v>
      </c>
      <c r="D69" t="str">
        <f t="shared" si="3"/>
        <v>Friday</v>
      </c>
      <c r="E69" s="6">
        <v>45289.416666666664</v>
      </c>
      <c r="F69" s="6" t="str">
        <f t="shared" si="4"/>
        <v>Friday</v>
      </c>
      <c r="G69" t="str">
        <f>IF(COUNTIF(INDEX(SkiResort_ParkingRevenue_Raw[License Plate],1):SkiResort_ParkingRevenue_Raw[[#This Row],[License Plate]],SkiResort_ParkingRevenue_Raw[[#This Row],[License Plate]])=1,"New","Returning")</f>
        <v>New</v>
      </c>
      <c r="H69">
        <v>24.99</v>
      </c>
      <c r="I69">
        <v>1</v>
      </c>
      <c r="J69" t="str">
        <f t="shared" si="5"/>
        <v>All Season</v>
      </c>
    </row>
    <row r="70" spans="1:10" x14ac:dyDescent="0.25">
      <c r="A70" t="s">
        <v>225</v>
      </c>
      <c r="B70" t="str" cm="1">
        <f t="array" ref="B7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70" s="6">
        <v>45289.291666666664</v>
      </c>
      <c r="D70" t="str">
        <f t="shared" si="3"/>
        <v>Friday</v>
      </c>
      <c r="E70" s="6">
        <v>45289.416666666664</v>
      </c>
      <c r="F70" s="6" t="str">
        <f t="shared" si="4"/>
        <v>Friday</v>
      </c>
      <c r="G70" t="str">
        <f>IF(COUNTIF(INDEX(SkiResort_ParkingRevenue_Raw[License Plate],1):SkiResort_ParkingRevenue_Raw[[#This Row],[License Plate]],SkiResort_ParkingRevenue_Raw[[#This Row],[License Plate]])=1,"New","Returning")</f>
        <v>Returning</v>
      </c>
      <c r="H70">
        <v>49.98</v>
      </c>
      <c r="I70">
        <v>2</v>
      </c>
      <c r="J70" t="str">
        <f t="shared" si="5"/>
        <v>All Season</v>
      </c>
    </row>
    <row r="71" spans="1:10" x14ac:dyDescent="0.25">
      <c r="A71" t="s">
        <v>239</v>
      </c>
      <c r="B71" t="str" cm="1">
        <f t="array" ref="B7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71" s="6">
        <v>45289.291666666664</v>
      </c>
      <c r="D71" t="str">
        <f t="shared" si="3"/>
        <v>Friday</v>
      </c>
      <c r="E71" s="6">
        <v>45289.416666666664</v>
      </c>
      <c r="F71" s="6" t="str">
        <f t="shared" si="4"/>
        <v>Friday</v>
      </c>
      <c r="G71" t="str">
        <f>IF(COUNTIF(INDEX(SkiResort_ParkingRevenue_Raw[License Plate],1):SkiResort_ParkingRevenue_Raw[[#This Row],[License Plate]],SkiResort_ParkingRevenue_Raw[[#This Row],[License Plate]])=1,"New","Returning")</f>
        <v>New</v>
      </c>
      <c r="H71">
        <v>24.99</v>
      </c>
      <c r="I71">
        <v>1</v>
      </c>
      <c r="J71" t="str">
        <f t="shared" si="5"/>
        <v>All Season</v>
      </c>
    </row>
    <row r="72" spans="1:10" x14ac:dyDescent="0.25">
      <c r="A72" t="s">
        <v>264</v>
      </c>
      <c r="B72" t="str" cm="1">
        <f t="array" ref="B7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72" s="6">
        <v>45289.291666666664</v>
      </c>
      <c r="D72" t="str">
        <f t="shared" si="3"/>
        <v>Friday</v>
      </c>
      <c r="E72" s="6">
        <v>45289.416666666664</v>
      </c>
      <c r="F72" s="6" t="str">
        <f t="shared" si="4"/>
        <v>Friday</v>
      </c>
      <c r="G72" t="str">
        <f>IF(COUNTIF(INDEX(SkiResort_ParkingRevenue_Raw[License Plate],1):SkiResort_ParkingRevenue_Raw[[#This Row],[License Plate]],SkiResort_ParkingRevenue_Raw[[#This Row],[License Plate]])=1,"New","Returning")</f>
        <v>Returning</v>
      </c>
      <c r="H72">
        <v>49.98</v>
      </c>
      <c r="I72">
        <v>2</v>
      </c>
      <c r="J72" t="str">
        <f t="shared" si="5"/>
        <v>All Season</v>
      </c>
    </row>
    <row r="73" spans="1:10" x14ac:dyDescent="0.25">
      <c r="A73" t="s">
        <v>288</v>
      </c>
      <c r="B73" t="str" cm="1">
        <f t="array" ref="B7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73" s="6">
        <v>45289.291666666664</v>
      </c>
      <c r="D73" t="str">
        <f t="shared" si="3"/>
        <v>Friday</v>
      </c>
      <c r="E73" s="6">
        <v>45289.416666666664</v>
      </c>
      <c r="F73" s="6" t="str">
        <f t="shared" si="4"/>
        <v>Friday</v>
      </c>
      <c r="G73" t="str">
        <f>IF(COUNTIF(INDEX(SkiResort_ParkingRevenue_Raw[License Plate],1):SkiResort_ParkingRevenue_Raw[[#This Row],[License Plate]],SkiResort_ParkingRevenue_Raw[[#This Row],[License Plate]])=1,"New","Returning")</f>
        <v>New</v>
      </c>
      <c r="H73">
        <v>24.99</v>
      </c>
      <c r="I73">
        <v>1</v>
      </c>
      <c r="J73" t="str">
        <f t="shared" si="5"/>
        <v>All Season</v>
      </c>
    </row>
    <row r="74" spans="1:10" x14ac:dyDescent="0.25">
      <c r="A74" t="s">
        <v>352</v>
      </c>
      <c r="B74" t="str" cm="1">
        <f t="array" ref="B7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74" s="6">
        <v>45289.291666666664</v>
      </c>
      <c r="D74" t="str">
        <f t="shared" si="3"/>
        <v>Friday</v>
      </c>
      <c r="E74" s="6">
        <v>45289.416666666664</v>
      </c>
      <c r="F74" s="6" t="str">
        <f t="shared" si="4"/>
        <v>Friday</v>
      </c>
      <c r="G74" t="str">
        <f>IF(COUNTIF(INDEX(SkiResort_ParkingRevenue_Raw[License Plate],1):SkiResort_ParkingRevenue_Raw[[#This Row],[License Plate]],SkiResort_ParkingRevenue_Raw[[#This Row],[License Plate]])=1,"New","Returning")</f>
        <v>New</v>
      </c>
      <c r="H74">
        <v>24.99</v>
      </c>
      <c r="I74">
        <v>1</v>
      </c>
      <c r="J74" t="str">
        <f t="shared" si="5"/>
        <v>All Season</v>
      </c>
    </row>
    <row r="75" spans="1:10" x14ac:dyDescent="0.25">
      <c r="A75" t="s">
        <v>357</v>
      </c>
      <c r="B75" t="str" cm="1">
        <f t="array" ref="B7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75" s="6">
        <v>45289.291666666664</v>
      </c>
      <c r="D75" t="str">
        <f t="shared" si="3"/>
        <v>Friday</v>
      </c>
      <c r="E75" s="6">
        <v>45289.416666666664</v>
      </c>
      <c r="F75" s="6" t="str">
        <f t="shared" si="4"/>
        <v>Friday</v>
      </c>
      <c r="G75" t="str">
        <f>IF(COUNTIF(INDEX(SkiResort_ParkingRevenue_Raw[License Plate],1):SkiResort_ParkingRevenue_Raw[[#This Row],[License Plate]],SkiResort_ParkingRevenue_Raw[[#This Row],[License Plate]])=1,"New","Returning")</f>
        <v>New</v>
      </c>
      <c r="H75">
        <v>24.99</v>
      </c>
      <c r="I75">
        <v>1</v>
      </c>
      <c r="J75" t="str">
        <f t="shared" si="5"/>
        <v>All Season</v>
      </c>
    </row>
    <row r="76" spans="1:10" x14ac:dyDescent="0.25">
      <c r="A76" t="s">
        <v>362</v>
      </c>
      <c r="B76" t="str" cm="1">
        <f t="array" ref="B7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76" s="6">
        <v>45289.291666666664</v>
      </c>
      <c r="D76" t="str">
        <f t="shared" si="3"/>
        <v>Friday</v>
      </c>
      <c r="E76" s="6">
        <v>45289.416666666664</v>
      </c>
      <c r="F76" s="6" t="str">
        <f t="shared" si="4"/>
        <v>Friday</v>
      </c>
      <c r="G76" t="str">
        <f>IF(COUNTIF(INDEX(SkiResort_ParkingRevenue_Raw[License Plate],1):SkiResort_ParkingRevenue_Raw[[#This Row],[License Plate]],SkiResort_ParkingRevenue_Raw[[#This Row],[License Plate]])=1,"New","Returning")</f>
        <v>Returning</v>
      </c>
      <c r="H76">
        <v>24.99</v>
      </c>
      <c r="I76">
        <v>1</v>
      </c>
      <c r="J76" t="str">
        <f t="shared" si="5"/>
        <v>All Season</v>
      </c>
    </row>
    <row r="77" spans="1:10" x14ac:dyDescent="0.25">
      <c r="A77" t="s">
        <v>376</v>
      </c>
      <c r="B77" t="str" cm="1">
        <f t="array" ref="B7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77" s="6">
        <v>45289.291666666664</v>
      </c>
      <c r="D77" t="str">
        <f t="shared" si="3"/>
        <v>Friday</v>
      </c>
      <c r="E77" s="6">
        <v>45289.416666666664</v>
      </c>
      <c r="F77" s="6" t="str">
        <f t="shared" si="4"/>
        <v>Friday</v>
      </c>
      <c r="G77" t="str">
        <f>IF(COUNTIF(INDEX(SkiResort_ParkingRevenue_Raw[License Plate],1):SkiResort_ParkingRevenue_Raw[[#This Row],[License Plate]],SkiResort_ParkingRevenue_Raw[[#This Row],[License Plate]])=1,"New","Returning")</f>
        <v>New</v>
      </c>
      <c r="H77">
        <v>19.989999999999998</v>
      </c>
      <c r="I77">
        <v>1</v>
      </c>
      <c r="J77" t="str">
        <f t="shared" si="5"/>
        <v>All Season</v>
      </c>
    </row>
    <row r="78" spans="1:10" x14ac:dyDescent="0.25">
      <c r="A78" t="s">
        <v>369</v>
      </c>
      <c r="B78" t="str" cm="1">
        <f t="array" ref="B7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78" s="6">
        <v>45289.323078703703</v>
      </c>
      <c r="D78" t="str">
        <f t="shared" si="3"/>
        <v>Friday</v>
      </c>
      <c r="E78" s="6">
        <v>45289.416666666664</v>
      </c>
      <c r="F78" s="6" t="str">
        <f t="shared" si="4"/>
        <v>Friday</v>
      </c>
      <c r="G78" t="str">
        <f>IF(COUNTIF(INDEX(SkiResort_ParkingRevenue_Raw[License Plate],1):SkiResort_ParkingRevenue_Raw[[#This Row],[License Plate]],SkiResort_ParkingRevenue_Raw[[#This Row],[License Plate]])=1,"New","Returning")</f>
        <v>Returning</v>
      </c>
      <c r="H78">
        <v>24.99</v>
      </c>
      <c r="I78">
        <v>1</v>
      </c>
      <c r="J78" t="str">
        <f t="shared" si="5"/>
        <v>All Season</v>
      </c>
    </row>
    <row r="79" spans="1:10" x14ac:dyDescent="0.25">
      <c r="A79" t="s">
        <v>371</v>
      </c>
      <c r="B79" t="str" cm="1">
        <f t="array" ref="B7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79" s="6">
        <v>45289.324155092596</v>
      </c>
      <c r="D79" t="str">
        <f t="shared" si="3"/>
        <v>Friday</v>
      </c>
      <c r="E79" s="6">
        <v>45289.416666666664</v>
      </c>
      <c r="F79" s="6" t="str">
        <f t="shared" si="4"/>
        <v>Friday</v>
      </c>
      <c r="G79" t="str">
        <f>IF(COUNTIF(INDEX(SkiResort_ParkingRevenue_Raw[License Plate],1):SkiResort_ParkingRevenue_Raw[[#This Row],[License Plate]],SkiResort_ParkingRevenue_Raw[[#This Row],[License Plate]])=1,"New","Returning")</f>
        <v>Returning</v>
      </c>
      <c r="H79">
        <v>24.99</v>
      </c>
      <c r="I79">
        <v>1</v>
      </c>
      <c r="J79" t="str">
        <f t="shared" si="5"/>
        <v>All Season</v>
      </c>
    </row>
    <row r="80" spans="1:10" x14ac:dyDescent="0.25">
      <c r="A80" t="s">
        <v>373</v>
      </c>
      <c r="B80" t="str" cm="1">
        <f t="array" ref="B8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80" s="6">
        <v>45289.349224537036</v>
      </c>
      <c r="D80" t="str">
        <f t="shared" si="3"/>
        <v>Friday</v>
      </c>
      <c r="E80" s="6">
        <v>45289.416666666664</v>
      </c>
      <c r="F80" s="6" t="str">
        <f t="shared" si="4"/>
        <v>Friday</v>
      </c>
      <c r="G80" t="str">
        <f>IF(COUNTIF(INDEX(SkiResort_ParkingRevenue_Raw[License Plate],1):SkiResort_ParkingRevenue_Raw[[#This Row],[License Plate]],SkiResort_ParkingRevenue_Raw[[#This Row],[License Plate]])=1,"New","Returning")</f>
        <v>New</v>
      </c>
      <c r="H80">
        <v>24.99</v>
      </c>
      <c r="I80">
        <v>1</v>
      </c>
      <c r="J80" t="str">
        <f t="shared" si="5"/>
        <v>All Season</v>
      </c>
    </row>
    <row r="81" spans="1:10" x14ac:dyDescent="0.25">
      <c r="A81" t="s">
        <v>141</v>
      </c>
      <c r="B81" t="str" cm="1">
        <f t="array" ref="B8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81" s="6">
        <v>45290.291666666664</v>
      </c>
      <c r="D81" t="str">
        <f t="shared" si="3"/>
        <v>Saturday</v>
      </c>
      <c r="E81" s="6">
        <v>45290.416666666664</v>
      </c>
      <c r="F81" s="6" t="str">
        <f t="shared" si="4"/>
        <v>Saturday</v>
      </c>
      <c r="G81" t="str">
        <f>IF(COUNTIF(INDEX(SkiResort_ParkingRevenue_Raw[License Plate],1):SkiResort_ParkingRevenue_Raw[[#This Row],[License Plate]],SkiResort_ParkingRevenue_Raw[[#This Row],[License Plate]])=1,"New","Returning")</f>
        <v>New</v>
      </c>
      <c r="H81">
        <v>24.99</v>
      </c>
      <c r="I81">
        <v>1</v>
      </c>
      <c r="J81" t="str">
        <f t="shared" si="5"/>
        <v>All Season</v>
      </c>
    </row>
    <row r="82" spans="1:10" x14ac:dyDescent="0.25">
      <c r="A82" t="s">
        <v>230</v>
      </c>
      <c r="B82" t="str" cm="1">
        <f t="array" ref="B8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82" s="6">
        <v>45290.291666666664</v>
      </c>
      <c r="D82" t="str">
        <f t="shared" si="3"/>
        <v>Saturday</v>
      </c>
      <c r="E82" s="6">
        <v>45290.416666666664</v>
      </c>
      <c r="F82" s="6" t="str">
        <f t="shared" si="4"/>
        <v>Saturday</v>
      </c>
      <c r="G82" t="str">
        <f>IF(COUNTIF(INDEX(SkiResort_ParkingRevenue_Raw[License Plate],1):SkiResort_ParkingRevenue_Raw[[#This Row],[License Plate]],SkiResort_ParkingRevenue_Raw[[#This Row],[License Plate]])=1,"New","Returning")</f>
        <v>Returning</v>
      </c>
      <c r="H82">
        <v>49.98</v>
      </c>
      <c r="I82">
        <v>2</v>
      </c>
      <c r="J82" t="str">
        <f t="shared" si="5"/>
        <v>All Season</v>
      </c>
    </row>
    <row r="83" spans="1:10" x14ac:dyDescent="0.25">
      <c r="A83" t="s">
        <v>269</v>
      </c>
      <c r="B83" t="str" cm="1">
        <f t="array" ref="B8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83" s="6">
        <v>45290.291666666664</v>
      </c>
      <c r="D83" t="str">
        <f t="shared" si="3"/>
        <v>Saturday</v>
      </c>
      <c r="E83" s="6">
        <v>45290.416666666664</v>
      </c>
      <c r="F83" s="6" t="str">
        <f t="shared" si="4"/>
        <v>Saturday</v>
      </c>
      <c r="G83" t="str">
        <f>IF(COUNTIF(INDEX(SkiResort_ParkingRevenue_Raw[License Plate],1):SkiResort_ParkingRevenue_Raw[[#This Row],[License Plate]],SkiResort_ParkingRevenue_Raw[[#This Row],[License Plate]])=1,"New","Returning")</f>
        <v>Returning</v>
      </c>
      <c r="H83">
        <v>24.99</v>
      </c>
      <c r="I83">
        <v>1</v>
      </c>
      <c r="J83" t="str">
        <f t="shared" si="5"/>
        <v>All Season</v>
      </c>
    </row>
    <row r="84" spans="1:10" x14ac:dyDescent="0.25">
      <c r="A84" t="s">
        <v>318</v>
      </c>
      <c r="B84" t="str" cm="1">
        <f t="array" ref="B8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84" s="6">
        <v>45290.291666666664</v>
      </c>
      <c r="D84" t="str">
        <f t="shared" si="3"/>
        <v>Saturday</v>
      </c>
      <c r="E84" s="6">
        <v>45290.416666666664</v>
      </c>
      <c r="F84" s="6" t="str">
        <f t="shared" si="4"/>
        <v>Saturday</v>
      </c>
      <c r="G84" t="str">
        <f>IF(COUNTIF(INDEX(SkiResort_ParkingRevenue_Raw[License Plate],1):SkiResort_ParkingRevenue_Raw[[#This Row],[License Plate]],SkiResort_ParkingRevenue_Raw[[#This Row],[License Plate]])=1,"New","Returning")</f>
        <v>New</v>
      </c>
      <c r="H84">
        <v>49.98</v>
      </c>
      <c r="I84">
        <v>2</v>
      </c>
      <c r="J84" t="str">
        <f t="shared" si="5"/>
        <v>All Season</v>
      </c>
    </row>
    <row r="85" spans="1:10" x14ac:dyDescent="0.25">
      <c r="A85" t="s">
        <v>324</v>
      </c>
      <c r="B85" t="str" cm="1">
        <f t="array" ref="B8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85" s="6">
        <v>45290.291666666664</v>
      </c>
      <c r="D85" t="str">
        <f t="shared" si="3"/>
        <v>Saturday</v>
      </c>
      <c r="E85" s="6">
        <v>45290.416666666664</v>
      </c>
      <c r="F85" s="6" t="str">
        <f t="shared" si="4"/>
        <v>Saturday</v>
      </c>
      <c r="G85" t="str">
        <f>IF(COUNTIF(INDEX(SkiResort_ParkingRevenue_Raw[License Plate],1):SkiResort_ParkingRevenue_Raw[[#This Row],[License Plate]],SkiResort_ParkingRevenue_Raw[[#This Row],[License Plate]])=1,"New","Returning")</f>
        <v>New</v>
      </c>
      <c r="H85">
        <v>24.99</v>
      </c>
      <c r="I85">
        <v>1</v>
      </c>
      <c r="J85" t="str">
        <f t="shared" si="5"/>
        <v>All Season</v>
      </c>
    </row>
    <row r="86" spans="1:10" x14ac:dyDescent="0.25">
      <c r="A86" t="s">
        <v>329</v>
      </c>
      <c r="B86" t="str" cm="1">
        <f t="array" ref="B8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86" s="6">
        <v>45290.291666666664</v>
      </c>
      <c r="D86" t="str">
        <f t="shared" si="3"/>
        <v>Saturday</v>
      </c>
      <c r="E86" s="6">
        <v>45290.416666666664</v>
      </c>
      <c r="F86" s="6" t="str">
        <f t="shared" si="4"/>
        <v>Saturday</v>
      </c>
      <c r="G86" t="str">
        <f>IF(COUNTIF(INDEX(SkiResort_ParkingRevenue_Raw[License Plate],1):SkiResort_ParkingRevenue_Raw[[#This Row],[License Plate]],SkiResort_ParkingRevenue_Raw[[#This Row],[License Plate]])=1,"New","Returning")</f>
        <v>New</v>
      </c>
      <c r="H86">
        <v>24.99</v>
      </c>
      <c r="I86">
        <v>1</v>
      </c>
      <c r="J86" t="str">
        <f t="shared" si="5"/>
        <v>All Season</v>
      </c>
    </row>
    <row r="87" spans="1:10" x14ac:dyDescent="0.25">
      <c r="A87" t="s">
        <v>364</v>
      </c>
      <c r="B87" t="str" cm="1">
        <f t="array" ref="B8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87" s="6">
        <v>45290.291666666664</v>
      </c>
      <c r="D87" t="str">
        <f t="shared" si="3"/>
        <v>Saturday</v>
      </c>
      <c r="E87" s="6">
        <v>45290.416666666664</v>
      </c>
      <c r="F87" s="6" t="str">
        <f t="shared" si="4"/>
        <v>Saturday</v>
      </c>
      <c r="G87" t="str">
        <f>IF(COUNTIF(INDEX(SkiResort_ParkingRevenue_Raw[License Plate],1):SkiResort_ParkingRevenue_Raw[[#This Row],[License Plate]],SkiResort_ParkingRevenue_Raw[[#This Row],[License Plate]])=1,"New","Returning")</f>
        <v>New</v>
      </c>
      <c r="H87">
        <v>24.99</v>
      </c>
      <c r="I87">
        <v>1</v>
      </c>
      <c r="J87" t="str">
        <f t="shared" si="5"/>
        <v>All Season</v>
      </c>
    </row>
    <row r="88" spans="1:10" x14ac:dyDescent="0.25">
      <c r="A88" t="s">
        <v>381</v>
      </c>
      <c r="B88" t="str" cm="1">
        <f t="array" ref="B8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88" s="6">
        <v>45290.291666666664</v>
      </c>
      <c r="D88" t="str">
        <f t="shared" si="3"/>
        <v>Saturday</v>
      </c>
      <c r="E88" s="6">
        <v>45290.416666666664</v>
      </c>
      <c r="F88" s="6" t="str">
        <f t="shared" si="4"/>
        <v>Saturday</v>
      </c>
      <c r="G88" t="str">
        <f>IF(COUNTIF(INDEX(SkiResort_ParkingRevenue_Raw[License Plate],1):SkiResort_ParkingRevenue_Raw[[#This Row],[License Plate]],SkiResort_ParkingRevenue_Raw[[#This Row],[License Plate]])=1,"New","Returning")</f>
        <v>New</v>
      </c>
      <c r="H88">
        <v>24.99</v>
      </c>
      <c r="I88">
        <v>1</v>
      </c>
      <c r="J88" t="str">
        <f t="shared" si="5"/>
        <v>All Season</v>
      </c>
    </row>
    <row r="89" spans="1:10" x14ac:dyDescent="0.25">
      <c r="A89" t="s">
        <v>386</v>
      </c>
      <c r="B89" t="str" cm="1">
        <f t="array" ref="B8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89" s="6">
        <v>45290.291666666664</v>
      </c>
      <c r="D89" t="str">
        <f t="shared" si="3"/>
        <v>Saturday</v>
      </c>
      <c r="E89" s="6">
        <v>45290.416666666664</v>
      </c>
      <c r="F89" s="6" t="str">
        <f t="shared" si="4"/>
        <v>Saturday</v>
      </c>
      <c r="G89" t="str">
        <f>IF(COUNTIF(INDEX(SkiResort_ParkingRevenue_Raw[License Plate],1):SkiResort_ParkingRevenue_Raw[[#This Row],[License Plate]],SkiResort_ParkingRevenue_Raw[[#This Row],[License Plate]])=1,"New","Returning")</f>
        <v>Returning</v>
      </c>
      <c r="H89">
        <v>24.99</v>
      </c>
      <c r="I89">
        <v>1</v>
      </c>
      <c r="J89" t="str">
        <f t="shared" si="5"/>
        <v>All Season</v>
      </c>
    </row>
    <row r="90" spans="1:10" x14ac:dyDescent="0.25">
      <c r="A90" t="s">
        <v>395</v>
      </c>
      <c r="B90" t="str" cm="1">
        <f t="array" ref="B9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90" s="6">
        <v>45290.291666666664</v>
      </c>
      <c r="D90" t="str">
        <f t="shared" si="3"/>
        <v>Saturday</v>
      </c>
      <c r="E90" s="6">
        <v>45290.416666666664</v>
      </c>
      <c r="F90" s="6" t="str">
        <f t="shared" si="4"/>
        <v>Saturday</v>
      </c>
      <c r="G90" t="str">
        <f>IF(COUNTIF(INDEX(SkiResort_ParkingRevenue_Raw[License Plate],1):SkiResort_ParkingRevenue_Raw[[#This Row],[License Plate]],SkiResort_ParkingRevenue_Raw[[#This Row],[License Plate]])=1,"New","Returning")</f>
        <v>New</v>
      </c>
      <c r="H90">
        <v>24.99</v>
      </c>
      <c r="I90">
        <v>1</v>
      </c>
      <c r="J90" t="str">
        <f t="shared" si="5"/>
        <v>All Season</v>
      </c>
    </row>
    <row r="91" spans="1:10" x14ac:dyDescent="0.25">
      <c r="A91" t="s">
        <v>167</v>
      </c>
      <c r="B91" t="str" cm="1">
        <f t="array" ref="B9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91" s="6">
        <v>45291.291666666664</v>
      </c>
      <c r="D91" t="str">
        <f t="shared" si="3"/>
        <v>Sunday</v>
      </c>
      <c r="E91" s="6">
        <v>45291.416666666664</v>
      </c>
      <c r="F91" s="6" t="str">
        <f t="shared" si="4"/>
        <v>Sunday</v>
      </c>
      <c r="G91" t="str">
        <f>IF(COUNTIF(INDEX(SkiResort_ParkingRevenue_Raw[License Plate],1):SkiResort_ParkingRevenue_Raw[[#This Row],[License Plate]],SkiResort_ParkingRevenue_Raw[[#This Row],[License Plate]])=1,"New","Returning")</f>
        <v>New</v>
      </c>
      <c r="H91">
        <v>24.99</v>
      </c>
      <c r="I91">
        <v>1</v>
      </c>
      <c r="J91" t="str">
        <f t="shared" si="5"/>
        <v>All Season</v>
      </c>
    </row>
    <row r="92" spans="1:10" x14ac:dyDescent="0.25">
      <c r="A92" t="s">
        <v>232</v>
      </c>
      <c r="B92" t="str" cm="1">
        <f t="array" ref="B9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92" s="6">
        <v>45291.291666666664</v>
      </c>
      <c r="D92" t="str">
        <f t="shared" si="3"/>
        <v>Sunday</v>
      </c>
      <c r="E92" s="6">
        <v>45291.416666666664</v>
      </c>
      <c r="F92" s="6" t="str">
        <f t="shared" si="4"/>
        <v>Sunday</v>
      </c>
      <c r="G92" t="str">
        <f>IF(COUNTIF(INDEX(SkiResort_ParkingRevenue_Raw[License Plate],1):SkiResort_ParkingRevenue_Raw[[#This Row],[License Plate]],SkiResort_ParkingRevenue_Raw[[#This Row],[License Plate]])=1,"New","Returning")</f>
        <v>Returning</v>
      </c>
      <c r="H92">
        <v>49.98</v>
      </c>
      <c r="I92">
        <v>2</v>
      </c>
      <c r="J92" t="str">
        <f t="shared" si="5"/>
        <v>All Season</v>
      </c>
    </row>
    <row r="93" spans="1:10" x14ac:dyDescent="0.25">
      <c r="A93" t="s">
        <v>323</v>
      </c>
      <c r="B93" t="str" cm="1">
        <f t="array" ref="B9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93" s="6">
        <v>45291.291666666664</v>
      </c>
      <c r="D93" t="str">
        <f t="shared" si="3"/>
        <v>Sunday</v>
      </c>
      <c r="E93" s="6">
        <v>45291.416666666664</v>
      </c>
      <c r="F93" s="6" t="str">
        <f t="shared" si="4"/>
        <v>Sunday</v>
      </c>
      <c r="G93" t="str">
        <f>IF(COUNTIF(INDEX(SkiResort_ParkingRevenue_Raw[License Plate],1):SkiResort_ParkingRevenue_Raw[[#This Row],[License Plate]],SkiResort_ParkingRevenue_Raw[[#This Row],[License Plate]])=1,"New","Returning")</f>
        <v>Returning</v>
      </c>
      <c r="H93">
        <v>49.98</v>
      </c>
      <c r="I93">
        <v>2</v>
      </c>
      <c r="J93" t="str">
        <f t="shared" si="5"/>
        <v>All Season</v>
      </c>
    </row>
    <row r="94" spans="1:10" x14ac:dyDescent="0.25">
      <c r="A94" t="s">
        <v>388</v>
      </c>
      <c r="B94" t="str" cm="1">
        <f t="array" ref="B9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94" s="6">
        <v>45291.291666666664</v>
      </c>
      <c r="D94" t="str">
        <f t="shared" si="3"/>
        <v>Sunday</v>
      </c>
      <c r="E94" s="6">
        <v>45291.416666666664</v>
      </c>
      <c r="F94" s="6" t="str">
        <f t="shared" si="4"/>
        <v>Sunday</v>
      </c>
      <c r="G94" t="str">
        <f>IF(COUNTIF(INDEX(SkiResort_ParkingRevenue_Raw[License Plate],1):SkiResort_ParkingRevenue_Raw[[#This Row],[License Plate]],SkiResort_ParkingRevenue_Raw[[#This Row],[License Plate]])=1,"New","Returning")</f>
        <v>Returning</v>
      </c>
      <c r="H94">
        <v>24.99</v>
      </c>
      <c r="I94">
        <v>1</v>
      </c>
      <c r="J94" t="str">
        <f t="shared" si="5"/>
        <v>All Season</v>
      </c>
    </row>
    <row r="95" spans="1:10" x14ac:dyDescent="0.25">
      <c r="A95" t="s">
        <v>390</v>
      </c>
      <c r="B95" t="str" cm="1">
        <f t="array" ref="B9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95" s="6">
        <v>45291.291666666664</v>
      </c>
      <c r="D95" t="str">
        <f t="shared" si="3"/>
        <v>Sunday</v>
      </c>
      <c r="E95" s="6">
        <v>45291.416666666664</v>
      </c>
      <c r="F95" s="6" t="str">
        <f t="shared" si="4"/>
        <v>Sunday</v>
      </c>
      <c r="G95" t="str">
        <f>IF(COUNTIF(INDEX(SkiResort_ParkingRevenue_Raw[License Plate],1):SkiResort_ParkingRevenue_Raw[[#This Row],[License Plate]],SkiResort_ParkingRevenue_Raw[[#This Row],[License Plate]])=1,"New","Returning")</f>
        <v>New</v>
      </c>
      <c r="H95">
        <v>24.99</v>
      </c>
      <c r="I95">
        <v>1</v>
      </c>
      <c r="J95" t="str">
        <f t="shared" si="5"/>
        <v>All Season</v>
      </c>
    </row>
    <row r="96" spans="1:10" x14ac:dyDescent="0.25">
      <c r="A96" t="s">
        <v>401</v>
      </c>
      <c r="B96" t="str" cm="1">
        <f t="array" ref="B9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96" s="6">
        <v>45291.291666666664</v>
      </c>
      <c r="D96" t="str">
        <f t="shared" si="3"/>
        <v>Sunday</v>
      </c>
      <c r="E96" s="6">
        <v>45291.416666666664</v>
      </c>
      <c r="F96" s="6" t="str">
        <f t="shared" si="4"/>
        <v>Sunday</v>
      </c>
      <c r="G96" t="str">
        <f>IF(COUNTIF(INDEX(SkiResort_ParkingRevenue_Raw[License Plate],1):SkiResort_ParkingRevenue_Raw[[#This Row],[License Plate]],SkiResort_ParkingRevenue_Raw[[#This Row],[License Plate]])=1,"New","Returning")</f>
        <v>Returning</v>
      </c>
      <c r="H96">
        <v>24.99</v>
      </c>
      <c r="I96">
        <v>1</v>
      </c>
      <c r="J96" t="str">
        <f t="shared" si="5"/>
        <v>All Season</v>
      </c>
    </row>
    <row r="97" spans="1:10" x14ac:dyDescent="0.25">
      <c r="A97" t="s">
        <v>403</v>
      </c>
      <c r="B97" t="str" cm="1">
        <f t="array" ref="B9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97" s="6">
        <v>45291.291666666664</v>
      </c>
      <c r="D97" t="str">
        <f t="shared" si="3"/>
        <v>Sunday</v>
      </c>
      <c r="E97" s="6">
        <v>45291.416666666664</v>
      </c>
      <c r="F97" s="6" t="str">
        <f t="shared" si="4"/>
        <v>Sunday</v>
      </c>
      <c r="G97" t="str">
        <f>IF(COUNTIF(INDEX(SkiResort_ParkingRevenue_Raw[License Plate],1):SkiResort_ParkingRevenue_Raw[[#This Row],[License Plate]],SkiResort_ParkingRevenue_Raw[[#This Row],[License Plate]])=1,"New","Returning")</f>
        <v>New</v>
      </c>
      <c r="H97">
        <v>24.99</v>
      </c>
      <c r="I97">
        <v>1</v>
      </c>
      <c r="J97" t="str">
        <f t="shared" si="5"/>
        <v>All Season</v>
      </c>
    </row>
    <row r="98" spans="1:10" x14ac:dyDescent="0.25">
      <c r="A98" t="s">
        <v>408</v>
      </c>
      <c r="B98" t="str" cm="1">
        <f t="array" ref="B9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98" s="6">
        <v>45291.291666666664</v>
      </c>
      <c r="D98" t="str">
        <f t="shared" si="3"/>
        <v>Sunday</v>
      </c>
      <c r="E98" s="6">
        <v>45291.416666666664</v>
      </c>
      <c r="F98" s="6" t="str">
        <f t="shared" si="4"/>
        <v>Sunday</v>
      </c>
      <c r="G98" t="str">
        <f>IF(COUNTIF(INDEX(SkiResort_ParkingRevenue_Raw[License Plate],1):SkiResort_ParkingRevenue_Raw[[#This Row],[License Plate]],SkiResort_ParkingRevenue_Raw[[#This Row],[License Plate]])=1,"New","Returning")</f>
        <v>Returning</v>
      </c>
      <c r="H98">
        <v>24.99</v>
      </c>
      <c r="I98">
        <v>1</v>
      </c>
      <c r="J98" t="str">
        <f t="shared" si="5"/>
        <v>All Season</v>
      </c>
    </row>
    <row r="99" spans="1:10" x14ac:dyDescent="0.25">
      <c r="A99" t="s">
        <v>410</v>
      </c>
      <c r="B99" t="str" cm="1">
        <f t="array" ref="B9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99" s="6">
        <v>45291.391851851855</v>
      </c>
      <c r="D99" t="str">
        <f t="shared" si="3"/>
        <v>Sunday</v>
      </c>
      <c r="E99" s="6">
        <v>45291.416666666664</v>
      </c>
      <c r="F99" s="6" t="str">
        <f t="shared" si="4"/>
        <v>Sunday</v>
      </c>
      <c r="G99" t="str">
        <f>IF(COUNTIF(INDEX(SkiResort_ParkingRevenue_Raw[License Plate],1):SkiResort_ParkingRevenue_Raw[[#This Row],[License Plate]],SkiResort_ParkingRevenue_Raw[[#This Row],[License Plate]])=1,"New","Returning")</f>
        <v>New</v>
      </c>
      <c r="H99">
        <v>24.99</v>
      </c>
      <c r="I99">
        <v>1</v>
      </c>
      <c r="J99" t="str">
        <f t="shared" si="5"/>
        <v>All Season</v>
      </c>
    </row>
    <row r="100" spans="1:10" x14ac:dyDescent="0.25">
      <c r="A100" t="s">
        <v>732</v>
      </c>
      <c r="B100" t="str" cm="1">
        <f t="array" ref="B10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00" s="6">
        <v>45292.291666666664</v>
      </c>
      <c r="D100" t="str">
        <f t="shared" si="3"/>
        <v>Monday</v>
      </c>
      <c r="E100" s="6">
        <v>45292.416666666664</v>
      </c>
      <c r="F100" s="6" t="str">
        <f t="shared" si="4"/>
        <v>Monday</v>
      </c>
      <c r="G100" t="str">
        <f>IF(COUNTIF(INDEX(SkiResort_ParkingRevenue_Raw[License Plate],1):SkiResort_ParkingRevenue_Raw[[#This Row],[License Plate]],SkiResort_ParkingRevenue_Raw[[#This Row],[License Plate]])=1,"New","Returning")</f>
        <v>New</v>
      </c>
      <c r="H100">
        <v>49.98</v>
      </c>
      <c r="I100">
        <v>2</v>
      </c>
      <c r="J100" t="str">
        <f t="shared" si="5"/>
        <v>All Season</v>
      </c>
    </row>
    <row r="101" spans="1:10" x14ac:dyDescent="0.25">
      <c r="A101" t="s">
        <v>743</v>
      </c>
      <c r="B101" t="str" cm="1">
        <f t="array" ref="B10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01" s="6">
        <v>45292.291666666664</v>
      </c>
      <c r="D101" t="str">
        <f t="shared" si="3"/>
        <v>Monday</v>
      </c>
      <c r="E101" s="6">
        <v>45292.416666666664</v>
      </c>
      <c r="F101" s="6" t="str">
        <f t="shared" si="4"/>
        <v>Monday</v>
      </c>
      <c r="G101" t="str">
        <f>IF(COUNTIF(INDEX(SkiResort_ParkingRevenue_Raw[License Plate],1):SkiResort_ParkingRevenue_Raw[[#This Row],[License Plate]],SkiResort_ParkingRevenue_Raw[[#This Row],[License Plate]])=1,"New","Returning")</f>
        <v>New</v>
      </c>
      <c r="H101">
        <v>24.99</v>
      </c>
      <c r="I101">
        <v>1</v>
      </c>
      <c r="J101" t="str">
        <f t="shared" si="5"/>
        <v>All Season</v>
      </c>
    </row>
    <row r="102" spans="1:10" x14ac:dyDescent="0.25">
      <c r="A102" t="s">
        <v>748</v>
      </c>
      <c r="B102" t="str" cm="1">
        <f t="array" ref="B10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02" s="6">
        <v>45292.291666666664</v>
      </c>
      <c r="D102" t="str">
        <f t="shared" si="3"/>
        <v>Monday</v>
      </c>
      <c r="E102" s="6">
        <v>45292.416666666664</v>
      </c>
      <c r="F102" s="6" t="str">
        <f t="shared" si="4"/>
        <v>Monday</v>
      </c>
      <c r="G102" t="str">
        <f>IF(COUNTIF(INDEX(SkiResort_ParkingRevenue_Raw[License Plate],1):SkiResort_ParkingRevenue_Raw[[#This Row],[License Plate]],SkiResort_ParkingRevenue_Raw[[#This Row],[License Plate]])=1,"New","Returning")</f>
        <v>New</v>
      </c>
      <c r="H102">
        <v>24.99</v>
      </c>
      <c r="I102">
        <v>1</v>
      </c>
      <c r="J102" t="str">
        <f t="shared" si="5"/>
        <v>All Season</v>
      </c>
    </row>
    <row r="103" spans="1:10" x14ac:dyDescent="0.25">
      <c r="A103" t="s">
        <v>753</v>
      </c>
      <c r="B103" t="str" cm="1">
        <f t="array" ref="B10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03" s="6">
        <v>45292.291666666664</v>
      </c>
      <c r="D103" t="str">
        <f t="shared" si="3"/>
        <v>Monday</v>
      </c>
      <c r="E103" s="6">
        <v>45292.416666666664</v>
      </c>
      <c r="F103" s="6" t="str">
        <f t="shared" si="4"/>
        <v>Monday</v>
      </c>
      <c r="G103" t="str">
        <f>IF(COUNTIF(INDEX(SkiResort_ParkingRevenue_Raw[License Plate],1):SkiResort_ParkingRevenue_Raw[[#This Row],[License Plate]],SkiResort_ParkingRevenue_Raw[[#This Row],[License Plate]])=1,"New","Returning")</f>
        <v>New</v>
      </c>
      <c r="H103">
        <v>24.99</v>
      </c>
      <c r="I103">
        <v>1</v>
      </c>
      <c r="J103" t="str">
        <f t="shared" si="5"/>
        <v>All Season</v>
      </c>
    </row>
    <row r="104" spans="1:10" x14ac:dyDescent="0.25">
      <c r="A104" t="s">
        <v>760</v>
      </c>
      <c r="B104" t="str" cm="1">
        <f t="array" ref="B10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04" s="6">
        <v>45292.291666666664</v>
      </c>
      <c r="D104" t="str">
        <f t="shared" si="3"/>
        <v>Monday</v>
      </c>
      <c r="E104" s="6">
        <v>45292.416666666664</v>
      </c>
      <c r="F104" s="6" t="str">
        <f t="shared" si="4"/>
        <v>Monday</v>
      </c>
      <c r="G104" t="str">
        <f>IF(COUNTIF(INDEX(SkiResort_ParkingRevenue_Raw[License Plate],1):SkiResort_ParkingRevenue_Raw[[#This Row],[License Plate]],SkiResort_ParkingRevenue_Raw[[#This Row],[License Plate]])=1,"New","Returning")</f>
        <v>New</v>
      </c>
      <c r="H104">
        <v>24.99</v>
      </c>
      <c r="I104">
        <v>1</v>
      </c>
      <c r="J104" t="str">
        <f t="shared" si="5"/>
        <v>All Season</v>
      </c>
    </row>
    <row r="105" spans="1:10" x14ac:dyDescent="0.25">
      <c r="A105" t="s">
        <v>758</v>
      </c>
      <c r="B105" t="str" cm="1">
        <f t="array" ref="B10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05" s="6">
        <v>45292.444398148145</v>
      </c>
      <c r="D105" t="str">
        <f t="shared" si="3"/>
        <v>Monday</v>
      </c>
      <c r="E105" s="6">
        <v>45292.416666666664</v>
      </c>
      <c r="F105" s="6" t="str">
        <f t="shared" si="4"/>
        <v>Monday</v>
      </c>
      <c r="G105" t="str">
        <f>IF(COUNTIF(INDEX(SkiResort_ParkingRevenue_Raw[License Plate],1):SkiResort_ParkingRevenue_Raw[[#This Row],[License Plate]],SkiResort_ParkingRevenue_Raw[[#This Row],[License Plate]])=1,"New","Returning")</f>
        <v>Returning</v>
      </c>
      <c r="H105">
        <v>24.99</v>
      </c>
      <c r="I105">
        <v>1</v>
      </c>
      <c r="J105" t="str">
        <f t="shared" si="5"/>
        <v>All Season</v>
      </c>
    </row>
    <row r="106" spans="1:10" x14ac:dyDescent="0.25">
      <c r="A106" t="s">
        <v>426</v>
      </c>
      <c r="B106" t="str" cm="1">
        <f t="array" ref="B10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06" s="6">
        <v>45293.291666666664</v>
      </c>
      <c r="D106" t="str">
        <f t="shared" si="3"/>
        <v>Tuesday</v>
      </c>
      <c r="E106" s="6">
        <v>45293.416666666664</v>
      </c>
      <c r="F106" s="6" t="str">
        <f t="shared" si="4"/>
        <v>Tuesday</v>
      </c>
      <c r="G106" t="str">
        <f>IF(COUNTIF(INDEX(SkiResort_ParkingRevenue_Raw[License Plate],1):SkiResort_ParkingRevenue_Raw[[#This Row],[License Plate]],SkiResort_ParkingRevenue_Raw[[#This Row],[License Plate]])=1,"New","Returning")</f>
        <v>New</v>
      </c>
      <c r="H106">
        <v>24.99</v>
      </c>
      <c r="I106">
        <v>1</v>
      </c>
      <c r="J106" t="str">
        <f t="shared" si="5"/>
        <v>All Season</v>
      </c>
    </row>
    <row r="107" spans="1:10" x14ac:dyDescent="0.25">
      <c r="A107" t="s">
        <v>436</v>
      </c>
      <c r="B107" t="str" cm="1">
        <f t="array" ref="B10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07" s="6">
        <v>45293.291666666664</v>
      </c>
      <c r="D107" t="str">
        <f t="shared" si="3"/>
        <v>Tuesday</v>
      </c>
      <c r="E107" s="6">
        <v>45293.416666666664</v>
      </c>
      <c r="F107" s="6" t="str">
        <f t="shared" si="4"/>
        <v>Tuesday</v>
      </c>
      <c r="G107" t="str">
        <f>IF(COUNTIF(INDEX(SkiResort_ParkingRevenue_Raw[License Plate],1):SkiResort_ParkingRevenue_Raw[[#This Row],[License Plate]],SkiResort_ParkingRevenue_Raw[[#This Row],[License Plate]])=1,"New","Returning")</f>
        <v>New</v>
      </c>
      <c r="H107">
        <v>24.99</v>
      </c>
      <c r="I107">
        <v>1</v>
      </c>
      <c r="J107" t="str">
        <f t="shared" si="5"/>
        <v>All Season</v>
      </c>
    </row>
    <row r="108" spans="1:10" x14ac:dyDescent="0.25">
      <c r="A108" t="s">
        <v>704</v>
      </c>
      <c r="B108" t="str" cm="1">
        <f t="array" ref="B10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08" s="6">
        <v>45293.291666666664</v>
      </c>
      <c r="D108" t="str">
        <f t="shared" si="3"/>
        <v>Tuesday</v>
      </c>
      <c r="E108" s="6">
        <v>45293.416666666664</v>
      </c>
      <c r="F108" s="6" t="str">
        <f t="shared" si="4"/>
        <v>Tuesday</v>
      </c>
      <c r="G108" t="str">
        <f>IF(COUNTIF(INDEX(SkiResort_ParkingRevenue_Raw[License Plate],1):SkiResort_ParkingRevenue_Raw[[#This Row],[License Plate]],SkiResort_ParkingRevenue_Raw[[#This Row],[License Plate]])=1,"New","Returning")</f>
        <v>New</v>
      </c>
      <c r="H108">
        <v>24.99</v>
      </c>
      <c r="I108">
        <v>1</v>
      </c>
      <c r="J108" t="str">
        <f t="shared" si="5"/>
        <v>All Season</v>
      </c>
    </row>
    <row r="109" spans="1:10" x14ac:dyDescent="0.25">
      <c r="A109" t="s">
        <v>720</v>
      </c>
      <c r="B109" t="str" cm="1">
        <f t="array" ref="B10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09" s="6">
        <v>45293.291666666664</v>
      </c>
      <c r="D109" t="str">
        <f t="shared" si="3"/>
        <v>Tuesday</v>
      </c>
      <c r="E109" s="6">
        <v>45293.416666666664</v>
      </c>
      <c r="F109" s="6" t="str">
        <f t="shared" si="4"/>
        <v>Tuesday</v>
      </c>
      <c r="G109" t="str">
        <f>IF(COUNTIF(INDEX(SkiResort_ParkingRevenue_Raw[License Plate],1):SkiResort_ParkingRevenue_Raw[[#This Row],[License Plate]],SkiResort_ParkingRevenue_Raw[[#This Row],[License Plate]])=1,"New","Returning")</f>
        <v>New</v>
      </c>
      <c r="H109">
        <v>19.989999999999998</v>
      </c>
      <c r="I109">
        <v>1</v>
      </c>
      <c r="J109" t="str">
        <f t="shared" si="5"/>
        <v>All Season</v>
      </c>
    </row>
    <row r="110" spans="1:10" x14ac:dyDescent="0.25">
      <c r="A110" t="s">
        <v>725</v>
      </c>
      <c r="B110" t="str" cm="1">
        <f t="array" ref="B11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10" s="6">
        <v>45293.291666666664</v>
      </c>
      <c r="D110" t="str">
        <f t="shared" si="3"/>
        <v>Tuesday</v>
      </c>
      <c r="E110" s="6">
        <v>45293.416666666664</v>
      </c>
      <c r="F110" s="6" t="str">
        <f t="shared" si="4"/>
        <v>Tuesday</v>
      </c>
      <c r="G110" t="str">
        <f>IF(COUNTIF(INDEX(SkiResort_ParkingRevenue_Raw[License Plate],1):SkiResort_ParkingRevenue_Raw[[#This Row],[License Plate]],SkiResort_ParkingRevenue_Raw[[#This Row],[License Plate]])=1,"New","Returning")</f>
        <v>New</v>
      </c>
      <c r="H110">
        <v>24.99</v>
      </c>
      <c r="I110">
        <v>1</v>
      </c>
      <c r="J110" t="str">
        <f t="shared" si="5"/>
        <v>All Season</v>
      </c>
    </row>
    <row r="111" spans="1:10" x14ac:dyDescent="0.25">
      <c r="A111" t="s">
        <v>729</v>
      </c>
      <c r="B111" t="str" cm="1">
        <f t="array" ref="B11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11" s="6">
        <v>45293.291666666664</v>
      </c>
      <c r="D111" t="str">
        <f t="shared" si="3"/>
        <v>Tuesday</v>
      </c>
      <c r="E111" s="6">
        <v>45293.416666666664</v>
      </c>
      <c r="F111" s="6" t="str">
        <f t="shared" si="4"/>
        <v>Tuesday</v>
      </c>
      <c r="G111" t="str">
        <f>IF(COUNTIF(INDEX(SkiResort_ParkingRevenue_Raw[License Plate],1):SkiResort_ParkingRevenue_Raw[[#This Row],[License Plate]],SkiResort_ParkingRevenue_Raw[[#This Row],[License Plate]])=1,"New","Returning")</f>
        <v>Returning</v>
      </c>
      <c r="H111">
        <v>24.99</v>
      </c>
      <c r="I111">
        <v>1</v>
      </c>
      <c r="J111" t="str">
        <f t="shared" si="5"/>
        <v>All Season</v>
      </c>
    </row>
    <row r="112" spans="1:10" x14ac:dyDescent="0.25">
      <c r="A112" t="s">
        <v>737</v>
      </c>
      <c r="B112" t="str" cm="1">
        <f t="array" ref="B11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12" s="6">
        <v>45293.291666666664</v>
      </c>
      <c r="D112" t="str">
        <f t="shared" si="3"/>
        <v>Tuesday</v>
      </c>
      <c r="E112" s="6">
        <v>45293.416666666664</v>
      </c>
      <c r="F112" s="6" t="str">
        <f t="shared" si="4"/>
        <v>Tuesday</v>
      </c>
      <c r="G112" t="str">
        <f>IF(COUNTIF(INDEX(SkiResort_ParkingRevenue_Raw[License Plate],1):SkiResort_ParkingRevenue_Raw[[#This Row],[License Plate]],SkiResort_ParkingRevenue_Raw[[#This Row],[License Plate]])=1,"New","Returning")</f>
        <v>Returning</v>
      </c>
      <c r="H112">
        <v>49.98</v>
      </c>
      <c r="I112">
        <v>2</v>
      </c>
      <c r="J112" t="str">
        <f t="shared" si="5"/>
        <v>All Season</v>
      </c>
    </row>
    <row r="113" spans="1:10" x14ac:dyDescent="0.25">
      <c r="A113" t="s">
        <v>482</v>
      </c>
      <c r="B113" t="str" cm="1">
        <f t="array" ref="B11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13" s="6">
        <v>45294.291666666664</v>
      </c>
      <c r="D113" t="str">
        <f t="shared" si="3"/>
        <v>Wednesday</v>
      </c>
      <c r="E113" s="6">
        <v>45294.416666666664</v>
      </c>
      <c r="F113" s="6" t="str">
        <f t="shared" si="4"/>
        <v>Wednesday</v>
      </c>
      <c r="G113" t="str">
        <f>IF(COUNTIF(INDEX(SkiResort_ParkingRevenue_Raw[License Plate],1):SkiResort_ParkingRevenue_Raw[[#This Row],[License Plate]],SkiResort_ParkingRevenue_Raw[[#This Row],[License Plate]])=1,"New","Returning")</f>
        <v>New</v>
      </c>
      <c r="H113">
        <v>24.99</v>
      </c>
      <c r="I113">
        <v>1</v>
      </c>
      <c r="J113" t="str">
        <f t="shared" si="5"/>
        <v>All Season</v>
      </c>
    </row>
    <row r="114" spans="1:10" x14ac:dyDescent="0.25">
      <c r="A114" t="s">
        <v>505</v>
      </c>
      <c r="B114" t="str" cm="1">
        <f t="array" ref="B11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14" s="6">
        <v>45294.291666666664</v>
      </c>
      <c r="D114" t="str">
        <f t="shared" si="3"/>
        <v>Wednesday</v>
      </c>
      <c r="E114" s="6">
        <v>45294.416666666664</v>
      </c>
      <c r="F114" s="6" t="str">
        <f t="shared" si="4"/>
        <v>Wednesday</v>
      </c>
      <c r="G114" t="str">
        <f>IF(COUNTIF(INDEX(SkiResort_ParkingRevenue_Raw[License Plate],1):SkiResort_ParkingRevenue_Raw[[#This Row],[License Plate]],SkiResort_ParkingRevenue_Raw[[#This Row],[License Plate]])=1,"New","Returning")</f>
        <v>Returning</v>
      </c>
      <c r="H114">
        <v>24.99</v>
      </c>
      <c r="I114">
        <v>1</v>
      </c>
      <c r="J114" t="str">
        <f t="shared" si="5"/>
        <v>All Season</v>
      </c>
    </row>
    <row r="115" spans="1:10" x14ac:dyDescent="0.25">
      <c r="A115" t="s">
        <v>514</v>
      </c>
      <c r="B115" t="str" cm="1">
        <f t="array" ref="B11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15" s="6">
        <v>45294.291666666664</v>
      </c>
      <c r="D115" t="str">
        <f t="shared" si="3"/>
        <v>Wednesday</v>
      </c>
      <c r="E115" s="6">
        <v>45294.416666666664</v>
      </c>
      <c r="F115" s="6" t="str">
        <f t="shared" si="4"/>
        <v>Wednesday</v>
      </c>
      <c r="G115" t="str">
        <f>IF(COUNTIF(INDEX(SkiResort_ParkingRevenue_Raw[License Plate],1):SkiResort_ParkingRevenue_Raw[[#This Row],[License Plate]],SkiResort_ParkingRevenue_Raw[[#This Row],[License Plate]])=1,"New","Returning")</f>
        <v>New</v>
      </c>
      <c r="H115">
        <v>19.989999999999998</v>
      </c>
      <c r="I115">
        <v>1</v>
      </c>
      <c r="J115" t="str">
        <f t="shared" si="5"/>
        <v>All Season</v>
      </c>
    </row>
    <row r="116" spans="1:10" x14ac:dyDescent="0.25">
      <c r="A116" t="s">
        <v>709</v>
      </c>
      <c r="B116" t="str" cm="1">
        <f t="array" ref="B11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16" s="6">
        <v>45294.291666666664</v>
      </c>
      <c r="D116" t="str">
        <f t="shared" si="3"/>
        <v>Wednesday</v>
      </c>
      <c r="E116" s="6">
        <v>45294.416666666664</v>
      </c>
      <c r="F116" s="6" t="str">
        <f t="shared" si="4"/>
        <v>Wednesday</v>
      </c>
      <c r="G116" t="str">
        <f>IF(COUNTIF(INDEX(SkiResort_ParkingRevenue_Raw[License Plate],1):SkiResort_ParkingRevenue_Raw[[#This Row],[License Plate]],SkiResort_ParkingRevenue_Raw[[#This Row],[License Plate]])=1,"New","Returning")</f>
        <v>New</v>
      </c>
      <c r="H116">
        <v>39.979999999999997</v>
      </c>
      <c r="I116">
        <v>2</v>
      </c>
      <c r="J116" t="str">
        <f t="shared" si="5"/>
        <v>All Season</v>
      </c>
    </row>
    <row r="117" spans="1:10" x14ac:dyDescent="0.25">
      <c r="A117" t="s">
        <v>536</v>
      </c>
      <c r="B117" t="str" cm="1">
        <f t="array" ref="B11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17" s="6">
        <v>45294.308819444443</v>
      </c>
      <c r="D117" t="str">
        <f t="shared" si="3"/>
        <v>Wednesday</v>
      </c>
      <c r="E117" s="6">
        <v>45294.416666666664</v>
      </c>
      <c r="F117" s="6" t="str">
        <f t="shared" si="4"/>
        <v>Wednesday</v>
      </c>
      <c r="G117" t="str">
        <f>IF(COUNTIF(INDEX(SkiResort_ParkingRevenue_Raw[License Plate],1):SkiResort_ParkingRevenue_Raw[[#This Row],[License Plate]],SkiResort_ParkingRevenue_Raw[[#This Row],[License Plate]])=1,"New","Returning")</f>
        <v>New</v>
      </c>
      <c r="H117">
        <v>39.979999999999997</v>
      </c>
      <c r="I117">
        <v>2</v>
      </c>
      <c r="J117" t="str">
        <f t="shared" si="5"/>
        <v>All Season</v>
      </c>
    </row>
    <row r="118" spans="1:10" x14ac:dyDescent="0.25">
      <c r="A118" t="s">
        <v>542</v>
      </c>
      <c r="B118" t="str" cm="1">
        <f t="array" ref="B11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18" s="6">
        <v>45294.362754629627</v>
      </c>
      <c r="D118" t="str">
        <f t="shared" si="3"/>
        <v>Wednesday</v>
      </c>
      <c r="E118" s="6">
        <v>45294.416666666664</v>
      </c>
      <c r="F118" s="6" t="str">
        <f t="shared" si="4"/>
        <v>Wednesday</v>
      </c>
      <c r="G118" t="str">
        <f>IF(COUNTIF(INDEX(SkiResort_ParkingRevenue_Raw[License Plate],1):SkiResort_ParkingRevenue_Raw[[#This Row],[License Plate]],SkiResort_ParkingRevenue_Raw[[#This Row],[License Plate]])=1,"New","Returning")</f>
        <v>New</v>
      </c>
      <c r="H118">
        <v>19.989999999999998</v>
      </c>
      <c r="I118">
        <v>1</v>
      </c>
      <c r="J118" t="str">
        <f t="shared" si="5"/>
        <v>All Season</v>
      </c>
    </row>
    <row r="119" spans="1:10" x14ac:dyDescent="0.25">
      <c r="A119" t="s">
        <v>541</v>
      </c>
      <c r="B119" t="str" cm="1">
        <f t="array" ref="B11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19" s="6">
        <v>45295.291666666664</v>
      </c>
      <c r="D119" t="str">
        <f t="shared" si="3"/>
        <v>Thursday</v>
      </c>
      <c r="E119" s="6">
        <v>45295.416666666664</v>
      </c>
      <c r="F119" s="6" t="str">
        <f t="shared" si="4"/>
        <v>Thursday</v>
      </c>
      <c r="G119" t="str">
        <f>IF(COUNTIF(INDEX(SkiResort_ParkingRevenue_Raw[License Plate],1):SkiResort_ParkingRevenue_Raw[[#This Row],[License Plate]],SkiResort_ParkingRevenue_Raw[[#This Row],[License Plate]])=1,"New","Returning")</f>
        <v>Returning</v>
      </c>
      <c r="H119">
        <v>39.979999999999997</v>
      </c>
      <c r="I119">
        <v>2</v>
      </c>
      <c r="J119" t="str">
        <f t="shared" si="5"/>
        <v>All Season</v>
      </c>
    </row>
    <row r="120" spans="1:10" x14ac:dyDescent="0.25">
      <c r="A120" t="s">
        <v>560</v>
      </c>
      <c r="B120" t="str" cm="1">
        <f t="array" ref="B12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20" s="6">
        <v>45295.291666666664</v>
      </c>
      <c r="D120" t="str">
        <f t="shared" si="3"/>
        <v>Thursday</v>
      </c>
      <c r="E120" s="6">
        <v>45295.416666666664</v>
      </c>
      <c r="F120" s="6" t="str">
        <f t="shared" si="4"/>
        <v>Thursday</v>
      </c>
      <c r="G120" t="str">
        <f>IF(COUNTIF(INDEX(SkiResort_ParkingRevenue_Raw[License Plate],1):SkiResort_ParkingRevenue_Raw[[#This Row],[License Plate]],SkiResort_ParkingRevenue_Raw[[#This Row],[License Plate]])=1,"New","Returning")</f>
        <v>New</v>
      </c>
      <c r="H120">
        <v>19.989999999999998</v>
      </c>
      <c r="I120">
        <v>1</v>
      </c>
      <c r="J120" t="str">
        <f t="shared" si="5"/>
        <v>All Season</v>
      </c>
    </row>
    <row r="121" spans="1:10" x14ac:dyDescent="0.25">
      <c r="A121" t="s">
        <v>592</v>
      </c>
      <c r="B121" t="str" cm="1">
        <f t="array" ref="B12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21" s="6">
        <v>45295.291666666664</v>
      </c>
      <c r="D121" t="str">
        <f t="shared" si="3"/>
        <v>Thursday</v>
      </c>
      <c r="E121" s="6">
        <v>45295.416666666664</v>
      </c>
      <c r="F121" s="6" t="str">
        <f t="shared" si="4"/>
        <v>Thursday</v>
      </c>
      <c r="G121" t="str">
        <f>IF(COUNTIF(INDEX(SkiResort_ParkingRevenue_Raw[License Plate],1):SkiResort_ParkingRevenue_Raw[[#This Row],[License Plate]],SkiResort_ParkingRevenue_Raw[[#This Row],[License Plate]])=1,"New","Returning")</f>
        <v>New</v>
      </c>
      <c r="H121">
        <v>19.989999999999998</v>
      </c>
      <c r="I121">
        <v>1</v>
      </c>
      <c r="J121" t="str">
        <f t="shared" si="5"/>
        <v>All Season</v>
      </c>
    </row>
    <row r="122" spans="1:10" x14ac:dyDescent="0.25">
      <c r="A122" t="s">
        <v>596</v>
      </c>
      <c r="B122" t="str" cm="1">
        <f t="array" ref="B12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22" s="6">
        <v>45295.291666666664</v>
      </c>
      <c r="D122" t="str">
        <f t="shared" si="3"/>
        <v>Thursday</v>
      </c>
      <c r="E122" s="6">
        <v>45295.416666666664</v>
      </c>
      <c r="F122" s="6" t="str">
        <f t="shared" si="4"/>
        <v>Thursday</v>
      </c>
      <c r="G122" t="str">
        <f>IF(COUNTIF(INDEX(SkiResort_ParkingRevenue_Raw[License Plate],1):SkiResort_ParkingRevenue_Raw[[#This Row],[License Plate]],SkiResort_ParkingRevenue_Raw[[#This Row],[License Plate]])=1,"New","Returning")</f>
        <v>New</v>
      </c>
      <c r="H122">
        <v>19.989999999999998</v>
      </c>
      <c r="I122">
        <v>1</v>
      </c>
      <c r="J122" t="str">
        <f t="shared" si="5"/>
        <v>All Season</v>
      </c>
    </row>
    <row r="123" spans="1:10" x14ac:dyDescent="0.25">
      <c r="A123" t="s">
        <v>599</v>
      </c>
      <c r="B123" t="str" cm="1">
        <f t="array" ref="B12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23" s="6">
        <v>45295.291666666664</v>
      </c>
      <c r="D123" t="str">
        <f t="shared" si="3"/>
        <v>Thursday</v>
      </c>
      <c r="E123" s="6">
        <v>45295.416666666664</v>
      </c>
      <c r="F123" s="6" t="str">
        <f t="shared" si="4"/>
        <v>Thursday</v>
      </c>
      <c r="G123" t="str">
        <f>IF(COUNTIF(INDEX(SkiResort_ParkingRevenue_Raw[License Plate],1):SkiResort_ParkingRevenue_Raw[[#This Row],[License Plate]],SkiResort_ParkingRevenue_Raw[[#This Row],[License Plate]])=1,"New","Returning")</f>
        <v>New</v>
      </c>
      <c r="H123">
        <v>19.989999999999998</v>
      </c>
      <c r="I123">
        <v>1</v>
      </c>
      <c r="J123" t="str">
        <f t="shared" si="5"/>
        <v>All Season</v>
      </c>
    </row>
    <row r="124" spans="1:10" x14ac:dyDescent="0.25">
      <c r="A124" t="s">
        <v>612</v>
      </c>
      <c r="B124" t="str" cm="1">
        <f t="array" ref="B12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24" s="6">
        <v>45295.291666666664</v>
      </c>
      <c r="D124" t="str">
        <f t="shared" si="3"/>
        <v>Thursday</v>
      </c>
      <c r="E124" s="6">
        <v>45295.416666666664</v>
      </c>
      <c r="F124" s="6" t="str">
        <f t="shared" si="4"/>
        <v>Thursday</v>
      </c>
      <c r="G124" t="str">
        <f>IF(COUNTIF(INDEX(SkiResort_ParkingRevenue_Raw[License Plate],1):SkiResort_ParkingRevenue_Raw[[#This Row],[License Plate]],SkiResort_ParkingRevenue_Raw[[#This Row],[License Plate]])=1,"New","Returning")</f>
        <v>New</v>
      </c>
      <c r="H124">
        <v>39.979999999999997</v>
      </c>
      <c r="I124">
        <v>2</v>
      </c>
      <c r="J124" t="str">
        <f t="shared" si="5"/>
        <v>All Season</v>
      </c>
    </row>
    <row r="125" spans="1:10" x14ac:dyDescent="0.25">
      <c r="A125" t="s">
        <v>714</v>
      </c>
      <c r="B125" t="str" cm="1">
        <f t="array" ref="B12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25" s="6">
        <v>45295.291666666664</v>
      </c>
      <c r="D125" t="str">
        <f t="shared" si="3"/>
        <v>Thursday</v>
      </c>
      <c r="E125" s="6">
        <v>45295.416666666664</v>
      </c>
      <c r="F125" s="6" t="str">
        <f t="shared" si="4"/>
        <v>Thursday</v>
      </c>
      <c r="G125" t="str">
        <f>IF(COUNTIF(INDEX(SkiResort_ParkingRevenue_Raw[License Plate],1):SkiResort_ParkingRevenue_Raw[[#This Row],[License Plate]],SkiResort_ParkingRevenue_Raw[[#This Row],[License Plate]])=1,"New","Returning")</f>
        <v>Returning</v>
      </c>
      <c r="H125">
        <v>39.979999999999997</v>
      </c>
      <c r="I125">
        <v>2</v>
      </c>
      <c r="J125" t="str">
        <f t="shared" si="5"/>
        <v>All Season</v>
      </c>
    </row>
    <row r="126" spans="1:10" x14ac:dyDescent="0.25">
      <c r="A126" t="s">
        <v>477</v>
      </c>
      <c r="B126" t="str" cm="1">
        <f t="array" ref="B12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26" s="6">
        <v>45296.291666666664</v>
      </c>
      <c r="D126" t="str">
        <f t="shared" si="3"/>
        <v>Friday</v>
      </c>
      <c r="E126" s="6">
        <v>45296.416666666664</v>
      </c>
      <c r="F126" s="6" t="str">
        <f t="shared" si="4"/>
        <v>Friday</v>
      </c>
      <c r="G126" t="str">
        <f>IF(COUNTIF(INDEX(SkiResort_ParkingRevenue_Raw[License Plate],1):SkiResort_ParkingRevenue_Raw[[#This Row],[License Plate]],SkiResort_ParkingRevenue_Raw[[#This Row],[License Plate]])=1,"New","Returning")</f>
        <v>New</v>
      </c>
      <c r="H126">
        <v>24.99</v>
      </c>
      <c r="I126">
        <v>1</v>
      </c>
      <c r="J126" t="str">
        <f t="shared" si="5"/>
        <v>All Season</v>
      </c>
    </row>
    <row r="127" spans="1:10" x14ac:dyDescent="0.25">
      <c r="A127" t="s">
        <v>507</v>
      </c>
      <c r="B127" t="str" cm="1">
        <f t="array" ref="B12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27" s="6">
        <v>45296.291666666664</v>
      </c>
      <c r="D127" t="str">
        <f t="shared" si="3"/>
        <v>Friday</v>
      </c>
      <c r="E127" s="6">
        <v>45296.416666666664</v>
      </c>
      <c r="F127" s="6" t="str">
        <f t="shared" si="4"/>
        <v>Friday</v>
      </c>
      <c r="G127" t="str">
        <f>IF(COUNTIF(INDEX(SkiResort_ParkingRevenue_Raw[License Plate],1):SkiResort_ParkingRevenue_Raw[[#This Row],[License Plate]],SkiResort_ParkingRevenue_Raw[[#This Row],[License Plate]])=1,"New","Returning")</f>
        <v>New</v>
      </c>
      <c r="H127">
        <v>24.99</v>
      </c>
      <c r="I127">
        <v>1</v>
      </c>
      <c r="J127" t="str">
        <f t="shared" si="5"/>
        <v>All Season</v>
      </c>
    </row>
    <row r="128" spans="1:10" x14ac:dyDescent="0.25">
      <c r="A128" t="s">
        <v>617</v>
      </c>
      <c r="B128" t="str" cm="1">
        <f t="array" ref="B12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28" s="6">
        <v>45296.291666666664</v>
      </c>
      <c r="D128" t="str">
        <f t="shared" si="3"/>
        <v>Friday</v>
      </c>
      <c r="E128" s="6">
        <v>45296.416666666664</v>
      </c>
      <c r="F128" s="6" t="str">
        <f t="shared" si="4"/>
        <v>Friday</v>
      </c>
      <c r="G128" t="str">
        <f>IF(COUNTIF(INDEX(SkiResort_ParkingRevenue_Raw[License Plate],1):SkiResort_ParkingRevenue_Raw[[#This Row],[License Plate]],SkiResort_ParkingRevenue_Raw[[#This Row],[License Plate]])=1,"New","Returning")</f>
        <v>New</v>
      </c>
      <c r="H128">
        <v>19.989999999999998</v>
      </c>
      <c r="I128">
        <v>1</v>
      </c>
      <c r="J128" t="str">
        <f t="shared" si="5"/>
        <v>All Season</v>
      </c>
    </row>
    <row r="129" spans="1:10" x14ac:dyDescent="0.25">
      <c r="A129" t="s">
        <v>622</v>
      </c>
      <c r="B129" t="str" cm="1">
        <f t="array" ref="B12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29" s="6">
        <v>45296.291666666664</v>
      </c>
      <c r="D129" t="str">
        <f t="shared" si="3"/>
        <v>Friday</v>
      </c>
      <c r="E129" s="6">
        <v>45296.416666666664</v>
      </c>
      <c r="F129" s="6" t="str">
        <f t="shared" si="4"/>
        <v>Friday</v>
      </c>
      <c r="G129" t="str">
        <f>IF(COUNTIF(INDEX(SkiResort_ParkingRevenue_Raw[License Plate],1):SkiResort_ParkingRevenue_Raw[[#This Row],[License Plate]],SkiResort_ParkingRevenue_Raw[[#This Row],[License Plate]])=1,"New","Returning")</f>
        <v>New</v>
      </c>
      <c r="H129">
        <v>19.989999999999998</v>
      </c>
      <c r="I129">
        <v>1</v>
      </c>
      <c r="J129" t="str">
        <f t="shared" si="5"/>
        <v>All Season</v>
      </c>
    </row>
    <row r="130" spans="1:10" x14ac:dyDescent="0.25">
      <c r="A130" t="s">
        <v>626</v>
      </c>
      <c r="B130" t="str" cm="1">
        <f t="array" ref="B13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30" s="6">
        <v>45296.291666666664</v>
      </c>
      <c r="D130" t="str">
        <f t="shared" ref="D130:D193" si="6">_xlfn.TEXTBEFORE(TEXT(C130, "dddd, mmmm dd, yyyy"), ",")</f>
        <v>Friday</v>
      </c>
      <c r="E130" s="6">
        <v>45296.416666666664</v>
      </c>
      <c r="F130" s="6" t="str">
        <f t="shared" si="4"/>
        <v>Friday</v>
      </c>
      <c r="G130" t="str">
        <f>IF(COUNTIF(INDEX(SkiResort_ParkingRevenue_Raw[License Plate],1):SkiResort_ParkingRevenue_Raw[[#This Row],[License Plate]],SkiResort_ParkingRevenue_Raw[[#This Row],[License Plate]])=1,"New","Returning")</f>
        <v>Returning</v>
      </c>
      <c r="H130">
        <v>19.989999999999998</v>
      </c>
      <c r="I130">
        <v>1</v>
      </c>
      <c r="J130" t="str">
        <f t="shared" si="5"/>
        <v>All Season</v>
      </c>
    </row>
    <row r="131" spans="1:10" x14ac:dyDescent="0.25">
      <c r="A131" t="s">
        <v>627</v>
      </c>
      <c r="B131" t="str" cm="1">
        <f t="array" ref="B13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31" s="6">
        <v>45296.291666666664</v>
      </c>
      <c r="D131" t="str">
        <f t="shared" si="6"/>
        <v>Friday</v>
      </c>
      <c r="E131" s="6">
        <v>45296.416666666664</v>
      </c>
      <c r="F131" s="6" t="str">
        <f t="shared" ref="F131:F194" si="7">_xlfn.TEXTBEFORE(TEXT(E131,"dddd, mmmm dd, yyyy"), ",")</f>
        <v>Friday</v>
      </c>
      <c r="G131" t="str">
        <f>IF(COUNTIF(INDEX(SkiResort_ParkingRevenue_Raw[License Plate],1):SkiResort_ParkingRevenue_Raw[[#This Row],[License Plate]],SkiResort_ParkingRevenue_Raw[[#This Row],[License Plate]])=1,"New","Returning")</f>
        <v>Returning</v>
      </c>
      <c r="H131">
        <v>19.989999999999998</v>
      </c>
      <c r="I131">
        <v>1</v>
      </c>
      <c r="J131" t="str">
        <f t="shared" ref="J131:J194" si="8">IF(C131&lt;DATE(2025,1,17), "All Season", "Weekends/Holiday Only")</f>
        <v>All Season</v>
      </c>
    </row>
    <row r="132" spans="1:10" x14ac:dyDescent="0.25">
      <c r="A132" t="s">
        <v>628</v>
      </c>
      <c r="B132" t="str" cm="1">
        <f t="array" ref="B13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32" s="6">
        <v>45296.291666666664</v>
      </c>
      <c r="D132" t="str">
        <f t="shared" si="6"/>
        <v>Friday</v>
      </c>
      <c r="E132" s="6">
        <v>45296.416666666664</v>
      </c>
      <c r="F132" s="6" t="str">
        <f t="shared" si="7"/>
        <v>Friday</v>
      </c>
      <c r="G132" t="str">
        <f>IF(COUNTIF(INDEX(SkiResort_ParkingRevenue_Raw[License Plate],1):SkiResort_ParkingRevenue_Raw[[#This Row],[License Plate]],SkiResort_ParkingRevenue_Raw[[#This Row],[License Plate]])=1,"New","Returning")</f>
        <v>Returning</v>
      </c>
      <c r="H132">
        <v>19.989999999999998</v>
      </c>
      <c r="I132">
        <v>1</v>
      </c>
      <c r="J132" t="str">
        <f t="shared" si="8"/>
        <v>All Season</v>
      </c>
    </row>
    <row r="133" spans="1:10" x14ac:dyDescent="0.25">
      <c r="A133" t="s">
        <v>699</v>
      </c>
      <c r="B133" t="str" cm="1">
        <f t="array" ref="B13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33" s="6">
        <v>45296.291666666664</v>
      </c>
      <c r="D133" t="str">
        <f t="shared" si="6"/>
        <v>Friday</v>
      </c>
      <c r="E133" s="6">
        <v>45296.416666666664</v>
      </c>
      <c r="F133" s="6" t="str">
        <f t="shared" si="7"/>
        <v>Friday</v>
      </c>
      <c r="G133" t="str">
        <f>IF(COUNTIF(INDEX(SkiResort_ParkingRevenue_Raw[License Plate],1):SkiResort_ParkingRevenue_Raw[[#This Row],[License Plate]],SkiResort_ParkingRevenue_Raw[[#This Row],[License Plate]])=1,"New","Returning")</f>
        <v>New</v>
      </c>
      <c r="H133">
        <v>19.989999999999998</v>
      </c>
      <c r="I133">
        <v>1</v>
      </c>
      <c r="J133" t="str">
        <f t="shared" si="8"/>
        <v>All Season</v>
      </c>
    </row>
    <row r="134" spans="1:10" x14ac:dyDescent="0.25">
      <c r="A134" t="s">
        <v>731</v>
      </c>
      <c r="B134" t="str" cm="1">
        <f t="array" ref="B13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34" s="6">
        <v>45296.291666666664</v>
      </c>
      <c r="D134" t="str">
        <f t="shared" si="6"/>
        <v>Friday</v>
      </c>
      <c r="E134" s="6">
        <v>45296.416666666664</v>
      </c>
      <c r="F134" s="6" t="str">
        <f t="shared" si="7"/>
        <v>Friday</v>
      </c>
      <c r="G134" t="str">
        <f>IF(COUNTIF(INDEX(SkiResort_ParkingRevenue_Raw[License Plate],1):SkiResort_ParkingRevenue_Raw[[#This Row],[License Plate]],SkiResort_ParkingRevenue_Raw[[#This Row],[License Plate]])=1,"New","Returning")</f>
        <v>Returning</v>
      </c>
      <c r="H134">
        <v>39.979999999999997</v>
      </c>
      <c r="I134">
        <v>2</v>
      </c>
      <c r="J134" t="str">
        <f t="shared" si="8"/>
        <v>All Season</v>
      </c>
    </row>
    <row r="135" spans="1:10" x14ac:dyDescent="0.25">
      <c r="A135" t="s">
        <v>512</v>
      </c>
      <c r="B135" t="str" cm="1">
        <f t="array" ref="B13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35" s="6">
        <v>45297.291666666664</v>
      </c>
      <c r="D135" t="str">
        <f t="shared" si="6"/>
        <v>Saturday</v>
      </c>
      <c r="E135" s="6">
        <v>45297.416666666664</v>
      </c>
      <c r="F135" s="6" t="str">
        <f t="shared" si="7"/>
        <v>Saturday</v>
      </c>
      <c r="G135" t="str">
        <f>IF(COUNTIF(INDEX(SkiResort_ParkingRevenue_Raw[License Plate],1):SkiResort_ParkingRevenue_Raw[[#This Row],[License Plate]],SkiResort_ParkingRevenue_Raw[[#This Row],[License Plate]])=1,"New","Returning")</f>
        <v>Returning</v>
      </c>
      <c r="H135">
        <v>24.99</v>
      </c>
      <c r="I135">
        <v>1</v>
      </c>
      <c r="J135" t="str">
        <f t="shared" si="8"/>
        <v>All Season</v>
      </c>
    </row>
    <row r="136" spans="1:10" x14ac:dyDescent="0.25">
      <c r="A136" t="s">
        <v>547</v>
      </c>
      <c r="B136" t="str" cm="1">
        <f t="array" ref="B13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36" s="6">
        <v>45297.291666666664</v>
      </c>
      <c r="D136" t="str">
        <f t="shared" si="6"/>
        <v>Saturday</v>
      </c>
      <c r="E136" s="6">
        <v>45297.416666666664</v>
      </c>
      <c r="F136" s="6" t="str">
        <f t="shared" si="7"/>
        <v>Saturday</v>
      </c>
      <c r="G136" t="str">
        <f>IF(COUNTIF(INDEX(SkiResort_ParkingRevenue_Raw[License Plate],1):SkiResort_ParkingRevenue_Raw[[#This Row],[License Plate]],SkiResort_ParkingRevenue_Raw[[#This Row],[License Plate]])=1,"New","Returning")</f>
        <v>New</v>
      </c>
      <c r="H136">
        <v>24.99</v>
      </c>
      <c r="I136">
        <v>1</v>
      </c>
      <c r="J136" t="str">
        <f t="shared" si="8"/>
        <v>All Season</v>
      </c>
    </row>
    <row r="137" spans="1:10" x14ac:dyDescent="0.25">
      <c r="A137" t="s">
        <v>630</v>
      </c>
      <c r="B137" t="str" cm="1">
        <f t="array" ref="B13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37" s="6">
        <v>45297.291666666664</v>
      </c>
      <c r="D137" t="str">
        <f t="shared" si="6"/>
        <v>Saturday</v>
      </c>
      <c r="E137" s="6">
        <v>45297.416666666664</v>
      </c>
      <c r="F137" s="6" t="str">
        <f t="shared" si="7"/>
        <v>Saturday</v>
      </c>
      <c r="G137" t="str">
        <f>IF(COUNTIF(INDEX(SkiResort_ParkingRevenue_Raw[License Plate],1):SkiResort_ParkingRevenue_Raw[[#This Row],[License Plate]],SkiResort_ParkingRevenue_Raw[[#This Row],[License Plate]])=1,"New","Returning")</f>
        <v>New</v>
      </c>
      <c r="H137">
        <v>24.99</v>
      </c>
      <c r="I137">
        <v>1</v>
      </c>
      <c r="J137" t="str">
        <f t="shared" si="8"/>
        <v>All Season</v>
      </c>
    </row>
    <row r="138" spans="1:10" x14ac:dyDescent="0.25">
      <c r="A138" t="s">
        <v>632</v>
      </c>
      <c r="B138" t="str" cm="1">
        <f t="array" ref="B13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38" s="6">
        <v>45297.291666666664</v>
      </c>
      <c r="D138" t="str">
        <f t="shared" si="6"/>
        <v>Saturday</v>
      </c>
      <c r="E138" s="6">
        <v>45297.416666666664</v>
      </c>
      <c r="F138" s="6" t="str">
        <f t="shared" si="7"/>
        <v>Saturday</v>
      </c>
      <c r="G138" t="str">
        <f>IF(COUNTIF(INDEX(SkiResort_ParkingRevenue_Raw[License Plate],1):SkiResort_ParkingRevenue_Raw[[#This Row],[License Plate]],SkiResort_ParkingRevenue_Raw[[#This Row],[License Plate]])=1,"New","Returning")</f>
        <v>New</v>
      </c>
      <c r="H138">
        <v>24.99</v>
      </c>
      <c r="I138">
        <v>1</v>
      </c>
      <c r="J138" t="str">
        <f t="shared" si="8"/>
        <v>All Season</v>
      </c>
    </row>
    <row r="139" spans="1:10" x14ac:dyDescent="0.25">
      <c r="A139" t="s">
        <v>715</v>
      </c>
      <c r="B139" t="str" cm="1">
        <f t="array" ref="B13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39" s="6">
        <v>45297.291666666664</v>
      </c>
      <c r="D139" t="str">
        <f t="shared" si="6"/>
        <v>Saturday</v>
      </c>
      <c r="E139" s="6">
        <v>45297.416666666664</v>
      </c>
      <c r="F139" s="6" t="str">
        <f t="shared" si="7"/>
        <v>Saturday</v>
      </c>
      <c r="G139" t="str">
        <f>IF(COUNTIF(INDEX(SkiResort_ParkingRevenue_Raw[License Plate],1):SkiResort_ParkingRevenue_Raw[[#This Row],[License Plate]],SkiResort_ParkingRevenue_Raw[[#This Row],[License Plate]])=1,"New","Returning")</f>
        <v>New</v>
      </c>
      <c r="H139">
        <v>24.99</v>
      </c>
      <c r="I139">
        <v>1</v>
      </c>
      <c r="J139" t="str">
        <f t="shared" si="8"/>
        <v>All Season</v>
      </c>
    </row>
    <row r="140" spans="1:10" x14ac:dyDescent="0.25">
      <c r="A140" t="s">
        <v>738</v>
      </c>
      <c r="B140" t="str" cm="1">
        <f t="array" ref="B14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40" s="6">
        <v>45297.291666666664</v>
      </c>
      <c r="D140" t="str">
        <f t="shared" si="6"/>
        <v>Saturday</v>
      </c>
      <c r="E140" s="6">
        <v>45297.416666666664</v>
      </c>
      <c r="F140" s="6" t="str">
        <f t="shared" si="7"/>
        <v>Saturday</v>
      </c>
      <c r="G140" t="str">
        <f>IF(COUNTIF(INDEX(SkiResort_ParkingRevenue_Raw[License Plate],1):SkiResort_ParkingRevenue_Raw[[#This Row],[License Plate]],SkiResort_ParkingRevenue_Raw[[#This Row],[License Plate]])=1,"New","Returning")</f>
        <v>New</v>
      </c>
      <c r="H140">
        <v>24.99</v>
      </c>
      <c r="I140">
        <v>1</v>
      </c>
      <c r="J140" t="str">
        <f t="shared" si="8"/>
        <v>All Season</v>
      </c>
    </row>
    <row r="141" spans="1:10" x14ac:dyDescent="0.25">
      <c r="A141" t="s">
        <v>764</v>
      </c>
      <c r="B141" t="str" cm="1">
        <f t="array" ref="B14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41" s="6">
        <v>45297.291666666664</v>
      </c>
      <c r="D141" t="str">
        <f t="shared" si="6"/>
        <v>Saturday</v>
      </c>
      <c r="E141" s="6">
        <v>45297.416666666664</v>
      </c>
      <c r="F141" s="6" t="str">
        <f t="shared" si="7"/>
        <v>Saturday</v>
      </c>
      <c r="G141" t="str">
        <f>IF(COUNTIF(INDEX(SkiResort_ParkingRevenue_Raw[License Plate],1):SkiResort_ParkingRevenue_Raw[[#This Row],[License Plate]],SkiResort_ParkingRevenue_Raw[[#This Row],[License Plate]])=1,"New","Returning")</f>
        <v>New</v>
      </c>
      <c r="H141">
        <v>24.99</v>
      </c>
      <c r="I141">
        <v>1</v>
      </c>
      <c r="J141" t="str">
        <f t="shared" si="8"/>
        <v>All Season</v>
      </c>
    </row>
    <row r="142" spans="1:10" x14ac:dyDescent="0.25">
      <c r="A142" t="s">
        <v>552</v>
      </c>
      <c r="B142" t="str" cm="1">
        <f t="array" ref="B14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42" s="6">
        <v>45298.291666666664</v>
      </c>
      <c r="D142" t="str">
        <f t="shared" si="6"/>
        <v>Sunday</v>
      </c>
      <c r="E142" s="6">
        <v>45298.416666666664</v>
      </c>
      <c r="F142" s="6" t="str">
        <f t="shared" si="7"/>
        <v>Sunday</v>
      </c>
      <c r="G142" t="str">
        <f>IF(COUNTIF(INDEX(SkiResort_ParkingRevenue_Raw[License Plate],1):SkiResort_ParkingRevenue_Raw[[#This Row],[License Plate]],SkiResort_ParkingRevenue_Raw[[#This Row],[License Plate]])=1,"New","Returning")</f>
        <v>Returning</v>
      </c>
      <c r="H142">
        <v>19.989999999999998</v>
      </c>
      <c r="I142">
        <v>1</v>
      </c>
      <c r="J142" t="str">
        <f t="shared" si="8"/>
        <v>All Season</v>
      </c>
    </row>
    <row r="143" spans="1:10" x14ac:dyDescent="0.25">
      <c r="A143" t="s">
        <v>565</v>
      </c>
      <c r="B143" t="str" cm="1">
        <f t="array" ref="B14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43" s="6">
        <v>45300.291666666664</v>
      </c>
      <c r="D143" t="str">
        <f t="shared" si="6"/>
        <v>Tuesday</v>
      </c>
      <c r="E143" s="6">
        <v>45300.416666666664</v>
      </c>
      <c r="F143" s="6" t="str">
        <f t="shared" si="7"/>
        <v>Tuesday</v>
      </c>
      <c r="G143" t="str">
        <f>IF(COUNTIF(INDEX(SkiResort_ParkingRevenue_Raw[License Plate],1):SkiResort_ParkingRevenue_Raw[[#This Row],[License Plate]],SkiResort_ParkingRevenue_Raw[[#This Row],[License Plate]])=1,"New","Returning")</f>
        <v>New</v>
      </c>
      <c r="H143">
        <v>19.989999999999998</v>
      </c>
      <c r="I143">
        <v>1</v>
      </c>
      <c r="J143" t="str">
        <f t="shared" si="8"/>
        <v>All Season</v>
      </c>
    </row>
    <row r="144" spans="1:10" x14ac:dyDescent="0.25">
      <c r="A144" t="s">
        <v>570</v>
      </c>
      <c r="B144" t="str" cm="1">
        <f t="array" ref="B14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44" s="6">
        <v>45300.291666666664</v>
      </c>
      <c r="D144" t="str">
        <f t="shared" si="6"/>
        <v>Tuesday</v>
      </c>
      <c r="E144" s="6">
        <v>45300.416666666664</v>
      </c>
      <c r="F144" s="6" t="str">
        <f t="shared" si="7"/>
        <v>Tuesday</v>
      </c>
      <c r="G144" t="str">
        <f>IF(COUNTIF(INDEX(SkiResort_ParkingRevenue_Raw[License Plate],1):SkiResort_ParkingRevenue_Raw[[#This Row],[License Plate]],SkiResort_ParkingRevenue_Raw[[#This Row],[License Plate]])=1,"New","Returning")</f>
        <v>New</v>
      </c>
      <c r="H144">
        <v>19.989999999999998</v>
      </c>
      <c r="I144">
        <v>1</v>
      </c>
      <c r="J144" t="str">
        <f t="shared" si="8"/>
        <v>All Season</v>
      </c>
    </row>
    <row r="145" spans="1:10" x14ac:dyDescent="0.25">
      <c r="A145" t="s">
        <v>647</v>
      </c>
      <c r="B145" t="str" cm="1">
        <f t="array" ref="B14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45" s="6">
        <v>45309.383668981478</v>
      </c>
      <c r="D145" t="str">
        <f t="shared" si="6"/>
        <v>Thursday</v>
      </c>
      <c r="E145" s="6">
        <v>45309.416666666664</v>
      </c>
      <c r="F145" s="6" t="str">
        <f t="shared" si="7"/>
        <v>Thursday</v>
      </c>
      <c r="G145" t="str">
        <f>IF(COUNTIF(INDEX(SkiResort_ParkingRevenue_Raw[License Plate],1):SkiResort_ParkingRevenue_Raw[[#This Row],[License Plate]],SkiResort_ParkingRevenue_Raw[[#This Row],[License Plate]])=1,"New","Returning")</f>
        <v>New</v>
      </c>
      <c r="H145">
        <v>19.989999999999998</v>
      </c>
      <c r="I145">
        <v>1</v>
      </c>
      <c r="J145" t="str">
        <f t="shared" si="8"/>
        <v>All Season</v>
      </c>
    </row>
    <row r="146" spans="1:10" x14ac:dyDescent="0.25">
      <c r="A146" t="s">
        <v>585</v>
      </c>
      <c r="B146" t="str" cm="1">
        <f t="array" ref="B14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46" s="6">
        <v>45310.291666666664</v>
      </c>
      <c r="D146" t="str">
        <f t="shared" si="6"/>
        <v>Friday</v>
      </c>
      <c r="E146" s="6">
        <v>45310.416666666664</v>
      </c>
      <c r="F146" s="6" t="str">
        <f t="shared" si="7"/>
        <v>Friday</v>
      </c>
      <c r="G146" t="str">
        <f>IF(COUNTIF(INDEX(SkiResort_ParkingRevenue_Raw[License Plate],1):SkiResort_ParkingRevenue_Raw[[#This Row],[License Plate]],SkiResort_ParkingRevenue_Raw[[#This Row],[License Plate]])=1,"New","Returning")</f>
        <v>New</v>
      </c>
      <c r="H146">
        <v>19.989999999999998</v>
      </c>
      <c r="I146">
        <v>1</v>
      </c>
      <c r="J146" t="str">
        <f t="shared" si="8"/>
        <v>All Season</v>
      </c>
    </row>
    <row r="147" spans="1:10" x14ac:dyDescent="0.25">
      <c r="A147" t="s">
        <v>431</v>
      </c>
      <c r="B147" t="str" cm="1">
        <f t="array" ref="B14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47" s="6">
        <v>45311.291666666664</v>
      </c>
      <c r="D147" t="str">
        <f t="shared" si="6"/>
        <v>Saturday</v>
      </c>
      <c r="E147" s="6">
        <v>45311.416666666664</v>
      </c>
      <c r="F147" s="6" t="str">
        <f t="shared" si="7"/>
        <v>Saturday</v>
      </c>
      <c r="G147" t="str">
        <f>IF(COUNTIF(INDEX(SkiResort_ParkingRevenue_Raw[License Plate],1):SkiResort_ParkingRevenue_Raw[[#This Row],[License Plate]],SkiResort_ParkingRevenue_Raw[[#This Row],[License Plate]])=1,"New","Returning")</f>
        <v>New</v>
      </c>
      <c r="H147">
        <v>24.99</v>
      </c>
      <c r="I147">
        <v>1</v>
      </c>
      <c r="J147" t="str">
        <f t="shared" si="8"/>
        <v>All Season</v>
      </c>
    </row>
    <row r="148" spans="1:10" x14ac:dyDescent="0.25">
      <c r="A148" t="s">
        <v>446</v>
      </c>
      <c r="B148" t="str" cm="1">
        <f t="array" ref="B14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48" s="6">
        <v>45311.291666666664</v>
      </c>
      <c r="D148" t="str">
        <f t="shared" si="6"/>
        <v>Saturday</v>
      </c>
      <c r="E148" s="6">
        <v>45311.416666666664</v>
      </c>
      <c r="F148" s="6" t="str">
        <f t="shared" si="7"/>
        <v>Saturday</v>
      </c>
      <c r="G148" t="str">
        <f>IF(COUNTIF(INDEX(SkiResort_ParkingRevenue_Raw[License Plate],1):SkiResort_ParkingRevenue_Raw[[#This Row],[License Plate]],SkiResort_ParkingRevenue_Raw[[#This Row],[License Plate]])=1,"New","Returning")</f>
        <v>New</v>
      </c>
      <c r="H148">
        <v>49.98</v>
      </c>
      <c r="I148">
        <v>2</v>
      </c>
      <c r="J148" t="str">
        <f t="shared" si="8"/>
        <v>All Season</v>
      </c>
    </row>
    <row r="149" spans="1:10" x14ac:dyDescent="0.25">
      <c r="A149" t="s">
        <v>462</v>
      </c>
      <c r="B149" t="str" cm="1">
        <f t="array" ref="B14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49" s="6">
        <v>45311.291666666664</v>
      </c>
      <c r="D149" t="str">
        <f t="shared" si="6"/>
        <v>Saturday</v>
      </c>
      <c r="E149" s="6">
        <v>45311.416666666664</v>
      </c>
      <c r="F149" s="6" t="str">
        <f t="shared" si="7"/>
        <v>Saturday</v>
      </c>
      <c r="G149" t="str">
        <f>IF(COUNTIF(INDEX(SkiResort_ParkingRevenue_Raw[License Plate],1):SkiResort_ParkingRevenue_Raw[[#This Row],[License Plate]],SkiResort_ParkingRevenue_Raw[[#This Row],[License Plate]])=1,"New","Returning")</f>
        <v>New</v>
      </c>
      <c r="H149">
        <v>24.99</v>
      </c>
      <c r="I149">
        <v>1</v>
      </c>
      <c r="J149" t="str">
        <f t="shared" si="8"/>
        <v>All Season</v>
      </c>
    </row>
    <row r="150" spans="1:10" x14ac:dyDescent="0.25">
      <c r="A150" t="s">
        <v>467</v>
      </c>
      <c r="B150" t="str" cm="1">
        <f t="array" ref="B15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50" s="6">
        <v>45311.291666666664</v>
      </c>
      <c r="D150" t="str">
        <f t="shared" si="6"/>
        <v>Saturday</v>
      </c>
      <c r="E150" s="6">
        <v>45311.416666666664</v>
      </c>
      <c r="F150" s="6" t="str">
        <f t="shared" si="7"/>
        <v>Saturday</v>
      </c>
      <c r="G150" t="str">
        <f>IF(COUNTIF(INDEX(SkiResort_ParkingRevenue_Raw[License Plate],1):SkiResort_ParkingRevenue_Raw[[#This Row],[License Plate]],SkiResort_ParkingRevenue_Raw[[#This Row],[License Plate]])=1,"New","Returning")</f>
        <v>New</v>
      </c>
      <c r="H150">
        <v>24.99</v>
      </c>
      <c r="I150">
        <v>1</v>
      </c>
      <c r="J150" t="str">
        <f t="shared" si="8"/>
        <v>All Season</v>
      </c>
    </row>
    <row r="151" spans="1:10" x14ac:dyDescent="0.25">
      <c r="A151" t="s">
        <v>472</v>
      </c>
      <c r="B151" t="str" cm="1">
        <f t="array" ref="B15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51" s="6">
        <v>45311.291666666664</v>
      </c>
      <c r="D151" t="str">
        <f t="shared" si="6"/>
        <v>Saturday</v>
      </c>
      <c r="E151" s="6">
        <v>45311.416666666664</v>
      </c>
      <c r="F151" s="6" t="str">
        <f t="shared" si="7"/>
        <v>Saturday</v>
      </c>
      <c r="G151" t="str">
        <f>IF(COUNTIF(INDEX(SkiResort_ParkingRevenue_Raw[License Plate],1):SkiResort_ParkingRevenue_Raw[[#This Row],[License Plate]],SkiResort_ParkingRevenue_Raw[[#This Row],[License Plate]])=1,"New","Returning")</f>
        <v>Returning</v>
      </c>
      <c r="H151">
        <v>24.99</v>
      </c>
      <c r="I151">
        <v>1</v>
      </c>
      <c r="J151" t="str">
        <f t="shared" si="8"/>
        <v>All Season</v>
      </c>
    </row>
    <row r="152" spans="1:10" x14ac:dyDescent="0.25">
      <c r="A152" t="s">
        <v>488</v>
      </c>
      <c r="B152" t="str" cm="1">
        <f t="array" ref="B15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52" s="6">
        <v>45311.291666666664</v>
      </c>
      <c r="D152" t="str">
        <f t="shared" si="6"/>
        <v>Saturday</v>
      </c>
      <c r="E152" s="6">
        <v>45311.416666666664</v>
      </c>
      <c r="F152" s="6" t="str">
        <f t="shared" si="7"/>
        <v>Saturday</v>
      </c>
      <c r="G152" t="str">
        <f>IF(COUNTIF(INDEX(SkiResort_ParkingRevenue_Raw[License Plate],1):SkiResort_ParkingRevenue_Raw[[#This Row],[License Plate]],SkiResort_ParkingRevenue_Raw[[#This Row],[License Plate]])=1,"New","Returning")</f>
        <v>New</v>
      </c>
      <c r="H152">
        <v>24.99</v>
      </c>
      <c r="I152">
        <v>1</v>
      </c>
      <c r="J152" t="str">
        <f t="shared" si="8"/>
        <v>All Season</v>
      </c>
    </row>
    <row r="153" spans="1:10" x14ac:dyDescent="0.25">
      <c r="A153" t="s">
        <v>554</v>
      </c>
      <c r="B153" t="str" cm="1">
        <f t="array" ref="B15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53" s="6">
        <v>45311.291666666664</v>
      </c>
      <c r="D153" t="str">
        <f t="shared" si="6"/>
        <v>Saturday</v>
      </c>
      <c r="E153" s="6">
        <v>45311.416666666664</v>
      </c>
      <c r="F153" s="6" t="str">
        <f t="shared" si="7"/>
        <v>Saturday</v>
      </c>
      <c r="G153" t="str">
        <f>IF(COUNTIF(INDEX(SkiResort_ParkingRevenue_Raw[License Plate],1):SkiResort_ParkingRevenue_Raw[[#This Row],[License Plate]],SkiResort_ParkingRevenue_Raw[[#This Row],[License Plate]])=1,"New","Returning")</f>
        <v>New</v>
      </c>
      <c r="H153">
        <v>19.989999999999998</v>
      </c>
      <c r="I153">
        <v>1</v>
      </c>
      <c r="J153" t="str">
        <f t="shared" si="8"/>
        <v>All Season</v>
      </c>
    </row>
    <row r="154" spans="1:10" x14ac:dyDescent="0.25">
      <c r="A154" t="s">
        <v>590</v>
      </c>
      <c r="B154" t="str" cm="1">
        <f t="array" ref="B15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54" s="6">
        <v>45311.291666666664</v>
      </c>
      <c r="D154" t="str">
        <f t="shared" si="6"/>
        <v>Saturday</v>
      </c>
      <c r="E154" s="6">
        <v>45311.416666666664</v>
      </c>
      <c r="F154" s="6" t="str">
        <f t="shared" si="7"/>
        <v>Saturday</v>
      </c>
      <c r="G154" t="str">
        <f>IF(COUNTIF(INDEX(SkiResort_ParkingRevenue_Raw[License Plate],1):SkiResort_ParkingRevenue_Raw[[#This Row],[License Plate]],SkiResort_ParkingRevenue_Raw[[#This Row],[License Plate]])=1,"New","Returning")</f>
        <v>Returning</v>
      </c>
      <c r="H154">
        <v>24.99</v>
      </c>
      <c r="I154">
        <v>1</v>
      </c>
      <c r="J154" t="str">
        <f t="shared" si="8"/>
        <v>All Season</v>
      </c>
    </row>
    <row r="155" spans="1:10" x14ac:dyDescent="0.25">
      <c r="A155" t="s">
        <v>637</v>
      </c>
      <c r="B155" t="str" cm="1">
        <f t="array" ref="B15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55" s="6">
        <v>45311.291666666664</v>
      </c>
      <c r="D155" t="str">
        <f t="shared" si="6"/>
        <v>Saturday</v>
      </c>
      <c r="E155" s="6">
        <v>45311.416666666664</v>
      </c>
      <c r="F155" s="6" t="str">
        <f t="shared" si="7"/>
        <v>Saturday</v>
      </c>
      <c r="G155" t="str">
        <f>IF(COUNTIF(INDEX(SkiResort_ParkingRevenue_Raw[License Plate],1):SkiResort_ParkingRevenue_Raw[[#This Row],[License Plate]],SkiResort_ParkingRevenue_Raw[[#This Row],[License Plate]])=1,"New","Returning")</f>
        <v>New</v>
      </c>
      <c r="H155">
        <v>24.99</v>
      </c>
      <c r="I155">
        <v>1</v>
      </c>
      <c r="J155" t="str">
        <f t="shared" si="8"/>
        <v>All Season</v>
      </c>
    </row>
    <row r="156" spans="1:10" x14ac:dyDescent="0.25">
      <c r="A156" t="s">
        <v>642</v>
      </c>
      <c r="B156" t="str" cm="1">
        <f t="array" ref="B15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56" s="6">
        <v>45311.291666666664</v>
      </c>
      <c r="D156" t="str">
        <f t="shared" si="6"/>
        <v>Saturday</v>
      </c>
      <c r="E156" s="6">
        <v>45311.416666666664</v>
      </c>
      <c r="F156" s="6" t="str">
        <f t="shared" si="7"/>
        <v>Saturday</v>
      </c>
      <c r="G156" t="str">
        <f>IF(COUNTIF(INDEX(SkiResort_ParkingRevenue_Raw[License Plate],1):SkiResort_ParkingRevenue_Raw[[#This Row],[License Plate]],SkiResort_ParkingRevenue_Raw[[#This Row],[License Plate]])=1,"New","Returning")</f>
        <v>New</v>
      </c>
      <c r="H156">
        <v>24.99</v>
      </c>
      <c r="I156">
        <v>1</v>
      </c>
      <c r="J156" t="str">
        <f t="shared" si="8"/>
        <v>All Season</v>
      </c>
    </row>
    <row r="157" spans="1:10" x14ac:dyDescent="0.25">
      <c r="A157" t="s">
        <v>451</v>
      </c>
      <c r="B157" t="str" cm="1">
        <f t="array" ref="B15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57" s="6">
        <v>45312.291666666664</v>
      </c>
      <c r="D157" t="str">
        <f t="shared" si="6"/>
        <v>Sunday</v>
      </c>
      <c r="E157" s="6">
        <v>45312.416666666664</v>
      </c>
      <c r="F157" s="6" t="str">
        <f t="shared" si="7"/>
        <v>Sunday</v>
      </c>
      <c r="G157" t="str">
        <f>IF(COUNTIF(INDEX(SkiResort_ParkingRevenue_Raw[License Plate],1):SkiResort_ParkingRevenue_Raw[[#This Row],[License Plate]],SkiResort_ParkingRevenue_Raw[[#This Row],[License Plate]])=1,"New","Returning")</f>
        <v>Returning</v>
      </c>
      <c r="H157">
        <v>49.98</v>
      </c>
      <c r="I157">
        <v>2</v>
      </c>
      <c r="J157" t="str">
        <f t="shared" si="8"/>
        <v>All Season</v>
      </c>
    </row>
    <row r="158" spans="1:10" x14ac:dyDescent="0.25">
      <c r="A158" t="s">
        <v>652</v>
      </c>
      <c r="B158" t="str" cm="1">
        <f t="array" ref="B15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58" s="6">
        <v>45312.291666666664</v>
      </c>
      <c r="D158" t="str">
        <f t="shared" si="6"/>
        <v>Sunday</v>
      </c>
      <c r="E158" s="6">
        <v>45312.416666666664</v>
      </c>
      <c r="F158" s="6" t="str">
        <f t="shared" si="7"/>
        <v>Sunday</v>
      </c>
      <c r="G158" t="str">
        <f>IF(COUNTIF(INDEX(SkiResort_ParkingRevenue_Raw[License Plate],1):SkiResort_ParkingRevenue_Raw[[#This Row],[License Plate]],SkiResort_ParkingRevenue_Raw[[#This Row],[License Plate]])=1,"New","Returning")</f>
        <v>New</v>
      </c>
      <c r="H158">
        <v>19.989999999999998</v>
      </c>
      <c r="I158">
        <v>1</v>
      </c>
      <c r="J158" t="str">
        <f t="shared" si="8"/>
        <v>All Season</v>
      </c>
    </row>
    <row r="159" spans="1:10" x14ac:dyDescent="0.25">
      <c r="A159" t="s">
        <v>519</v>
      </c>
      <c r="B159" t="str" cm="1">
        <f t="array" ref="B15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59" s="6">
        <v>45316.291666666664</v>
      </c>
      <c r="D159" t="str">
        <f t="shared" si="6"/>
        <v>Thursday</v>
      </c>
      <c r="E159" s="6">
        <v>45316.416666666664</v>
      </c>
      <c r="F159" s="6" t="str">
        <f t="shared" si="7"/>
        <v>Thursday</v>
      </c>
      <c r="G159" t="str">
        <f>IF(COUNTIF(INDEX(SkiResort_ParkingRevenue_Raw[License Plate],1):SkiResort_ParkingRevenue_Raw[[#This Row],[License Plate]],SkiResort_ParkingRevenue_Raw[[#This Row],[License Plate]])=1,"New","Returning")</f>
        <v>New</v>
      </c>
      <c r="H159">
        <v>19.989999999999998</v>
      </c>
      <c r="I159">
        <v>1</v>
      </c>
      <c r="J159" t="str">
        <f t="shared" si="8"/>
        <v>All Season</v>
      </c>
    </row>
    <row r="160" spans="1:10" x14ac:dyDescent="0.25">
      <c r="A160" t="s">
        <v>420</v>
      </c>
      <c r="B160" t="str" cm="1">
        <f t="array" ref="B16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60" s="6">
        <v>45318.291666666664</v>
      </c>
      <c r="D160" t="str">
        <f t="shared" si="6"/>
        <v>Saturday</v>
      </c>
      <c r="E160" s="6">
        <v>45318.416666666664</v>
      </c>
      <c r="F160" s="6" t="str">
        <f t="shared" si="7"/>
        <v>Saturday</v>
      </c>
      <c r="G160" t="str">
        <f>IF(COUNTIF(INDEX(SkiResort_ParkingRevenue_Raw[License Plate],1):SkiResort_ParkingRevenue_Raw[[#This Row],[License Plate]],SkiResort_ParkingRevenue_Raw[[#This Row],[License Plate]])=1,"New","Returning")</f>
        <v>New</v>
      </c>
      <c r="H160">
        <v>24.99</v>
      </c>
      <c r="I160">
        <v>1</v>
      </c>
      <c r="J160" t="str">
        <f t="shared" si="8"/>
        <v>All Season</v>
      </c>
    </row>
    <row r="161" spans="1:10" x14ac:dyDescent="0.25">
      <c r="A161" t="s">
        <v>441</v>
      </c>
      <c r="B161" t="str" cm="1">
        <f t="array" ref="B16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61" s="6">
        <v>45318.291666666664</v>
      </c>
      <c r="D161" t="str">
        <f t="shared" si="6"/>
        <v>Saturday</v>
      </c>
      <c r="E161" s="6">
        <v>45318.416666666664</v>
      </c>
      <c r="F161" s="6" t="str">
        <f t="shared" si="7"/>
        <v>Saturday</v>
      </c>
      <c r="G161" t="str">
        <f>IF(COUNTIF(INDEX(SkiResort_ParkingRevenue_Raw[License Plate],1):SkiResort_ParkingRevenue_Raw[[#This Row],[License Plate]],SkiResort_ParkingRevenue_Raw[[#This Row],[License Plate]])=1,"New","Returning")</f>
        <v>New</v>
      </c>
      <c r="H161">
        <v>24.99</v>
      </c>
      <c r="I161">
        <v>1</v>
      </c>
      <c r="J161" t="str">
        <f t="shared" si="8"/>
        <v>All Season</v>
      </c>
    </row>
    <row r="162" spans="1:10" x14ac:dyDescent="0.25">
      <c r="A162" t="s">
        <v>452</v>
      </c>
      <c r="B162" t="str" cm="1">
        <f t="array" ref="B16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62" s="6">
        <v>45318.291666666664</v>
      </c>
      <c r="D162" t="str">
        <f t="shared" si="6"/>
        <v>Saturday</v>
      </c>
      <c r="E162" s="6">
        <v>45318.416666666664</v>
      </c>
      <c r="F162" s="6" t="str">
        <f t="shared" si="7"/>
        <v>Saturday</v>
      </c>
      <c r="G162" t="str">
        <f>IF(COUNTIF(INDEX(SkiResort_ParkingRevenue_Raw[License Plate],1):SkiResort_ParkingRevenue_Raw[[#This Row],[License Plate]],SkiResort_ParkingRevenue_Raw[[#This Row],[License Plate]])=1,"New","Returning")</f>
        <v>New</v>
      </c>
      <c r="H162">
        <v>24.99</v>
      </c>
      <c r="I162">
        <v>1</v>
      </c>
      <c r="J162" t="str">
        <f t="shared" si="8"/>
        <v>All Season</v>
      </c>
    </row>
    <row r="163" spans="1:10" x14ac:dyDescent="0.25">
      <c r="A163" t="s">
        <v>530</v>
      </c>
      <c r="B163" t="str" cm="1">
        <f t="array" ref="B16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63" s="6">
        <v>45318.291666666664</v>
      </c>
      <c r="D163" t="str">
        <f t="shared" si="6"/>
        <v>Saturday</v>
      </c>
      <c r="E163" s="6">
        <v>45318.416666666664</v>
      </c>
      <c r="F163" s="6" t="str">
        <f t="shared" si="7"/>
        <v>Saturday</v>
      </c>
      <c r="G163" t="str">
        <f>IF(COUNTIF(INDEX(SkiResort_ParkingRevenue_Raw[License Plate],1):SkiResort_ParkingRevenue_Raw[[#This Row],[License Plate]],SkiResort_ParkingRevenue_Raw[[#This Row],[License Plate]])=1,"New","Returning")</f>
        <v>New</v>
      </c>
      <c r="H163">
        <v>49.98</v>
      </c>
      <c r="I163">
        <v>2</v>
      </c>
      <c r="J163" t="str">
        <f t="shared" si="8"/>
        <v>All Season</v>
      </c>
    </row>
    <row r="164" spans="1:10" x14ac:dyDescent="0.25">
      <c r="A164" t="s">
        <v>575</v>
      </c>
      <c r="B164" t="str" cm="1">
        <f t="array" ref="B16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64" s="6">
        <v>45318.291666666664</v>
      </c>
      <c r="D164" t="str">
        <f t="shared" si="6"/>
        <v>Saturday</v>
      </c>
      <c r="E164" s="6">
        <v>45318.416666666664</v>
      </c>
      <c r="F164" s="6" t="str">
        <f t="shared" si="7"/>
        <v>Saturday</v>
      </c>
      <c r="G164" t="str">
        <f>IF(COUNTIF(INDEX(SkiResort_ParkingRevenue_Raw[License Plate],1):SkiResort_ParkingRevenue_Raw[[#This Row],[License Plate]],SkiResort_ParkingRevenue_Raw[[#This Row],[License Plate]])=1,"New","Returning")</f>
        <v>New</v>
      </c>
      <c r="H164">
        <v>24.99</v>
      </c>
      <c r="I164">
        <v>1</v>
      </c>
      <c r="J164" t="str">
        <f t="shared" si="8"/>
        <v>All Season</v>
      </c>
    </row>
    <row r="165" spans="1:10" x14ac:dyDescent="0.25">
      <c r="A165" t="s">
        <v>580</v>
      </c>
      <c r="B165" t="str" cm="1">
        <f t="array" ref="B16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65" s="6">
        <v>45318.291666666664</v>
      </c>
      <c r="D165" t="str">
        <f t="shared" si="6"/>
        <v>Saturday</v>
      </c>
      <c r="E165" s="6">
        <v>45318.416666666664</v>
      </c>
      <c r="F165" s="6" t="str">
        <f t="shared" si="7"/>
        <v>Saturday</v>
      </c>
      <c r="G165" t="str">
        <f>IF(COUNTIF(INDEX(SkiResort_ParkingRevenue_Raw[License Plate],1):SkiResort_ParkingRevenue_Raw[[#This Row],[License Plate]],SkiResort_ParkingRevenue_Raw[[#This Row],[License Plate]])=1,"New","Returning")</f>
        <v>New</v>
      </c>
      <c r="H165">
        <v>24.99</v>
      </c>
      <c r="I165">
        <v>1</v>
      </c>
      <c r="J165" t="str">
        <f t="shared" si="8"/>
        <v>All Season</v>
      </c>
    </row>
    <row r="166" spans="1:10" x14ac:dyDescent="0.25">
      <c r="A166" t="s">
        <v>657</v>
      </c>
      <c r="B166" t="str" cm="1">
        <f t="array" ref="B16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66" s="6">
        <v>45318.291666666664</v>
      </c>
      <c r="D166" t="str">
        <f t="shared" si="6"/>
        <v>Saturday</v>
      </c>
      <c r="E166" s="6">
        <v>45318.416666666664</v>
      </c>
      <c r="F166" s="6" t="str">
        <f t="shared" si="7"/>
        <v>Saturday</v>
      </c>
      <c r="G166" t="str">
        <f>IF(COUNTIF(INDEX(SkiResort_ParkingRevenue_Raw[License Plate],1):SkiResort_ParkingRevenue_Raw[[#This Row],[License Plate]],SkiResort_ParkingRevenue_Raw[[#This Row],[License Plate]])=1,"New","Returning")</f>
        <v>New</v>
      </c>
      <c r="H166">
        <v>19.989999999999998</v>
      </c>
      <c r="I166">
        <v>1</v>
      </c>
      <c r="J166" t="str">
        <f t="shared" si="8"/>
        <v>All Season</v>
      </c>
    </row>
    <row r="167" spans="1:10" x14ac:dyDescent="0.25">
      <c r="A167" t="s">
        <v>667</v>
      </c>
      <c r="B167" t="str" cm="1">
        <f t="array" ref="B16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67" s="6">
        <v>45318.291666666664</v>
      </c>
      <c r="D167" t="str">
        <f t="shared" si="6"/>
        <v>Saturday</v>
      </c>
      <c r="E167" s="6">
        <v>45318.416666666664</v>
      </c>
      <c r="F167" s="6" t="str">
        <f t="shared" si="7"/>
        <v>Saturday</v>
      </c>
      <c r="G167" t="str">
        <f>IF(COUNTIF(INDEX(SkiResort_ParkingRevenue_Raw[License Plate],1):SkiResort_ParkingRevenue_Raw[[#This Row],[License Plate]],SkiResort_ParkingRevenue_Raw[[#This Row],[License Plate]])=1,"New","Returning")</f>
        <v>Returning</v>
      </c>
      <c r="H167">
        <v>24.99</v>
      </c>
      <c r="I167">
        <v>1</v>
      </c>
      <c r="J167" t="str">
        <f t="shared" si="8"/>
        <v>All Season</v>
      </c>
    </row>
    <row r="168" spans="1:10" x14ac:dyDescent="0.25">
      <c r="A168" t="s">
        <v>672</v>
      </c>
      <c r="B168" t="str" cm="1">
        <f t="array" ref="B16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68" s="6">
        <v>45318.291666666664</v>
      </c>
      <c r="D168" t="str">
        <f t="shared" si="6"/>
        <v>Saturday</v>
      </c>
      <c r="E168" s="6">
        <v>45318.416666666664</v>
      </c>
      <c r="F168" s="6" t="str">
        <f t="shared" si="7"/>
        <v>Saturday</v>
      </c>
      <c r="G168" t="str">
        <f>IF(COUNTIF(INDEX(SkiResort_ParkingRevenue_Raw[License Plate],1):SkiResort_ParkingRevenue_Raw[[#This Row],[License Plate]],SkiResort_ParkingRevenue_Raw[[#This Row],[License Plate]])=1,"New","Returning")</f>
        <v>New</v>
      </c>
      <c r="H168">
        <v>49.98</v>
      </c>
      <c r="I168">
        <v>2</v>
      </c>
      <c r="J168" t="str">
        <f t="shared" si="8"/>
        <v>All Season</v>
      </c>
    </row>
    <row r="169" spans="1:10" x14ac:dyDescent="0.25">
      <c r="A169" t="s">
        <v>680</v>
      </c>
      <c r="B169" t="str" cm="1">
        <f t="array" ref="B16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69" s="6">
        <v>45318.291666666664</v>
      </c>
      <c r="D169" t="str">
        <f t="shared" si="6"/>
        <v>Saturday</v>
      </c>
      <c r="E169" s="6">
        <v>45318.416666666664</v>
      </c>
      <c r="F169" s="6" t="str">
        <f t="shared" si="7"/>
        <v>Saturday</v>
      </c>
      <c r="G169" t="str">
        <f>IF(COUNTIF(INDEX(SkiResort_ParkingRevenue_Raw[License Plate],1):SkiResort_ParkingRevenue_Raw[[#This Row],[License Plate]],SkiResort_ParkingRevenue_Raw[[#This Row],[License Plate]])=1,"New","Returning")</f>
        <v>New</v>
      </c>
      <c r="H169">
        <v>49.98</v>
      </c>
      <c r="I169">
        <v>2</v>
      </c>
      <c r="J169" t="str">
        <f t="shared" si="8"/>
        <v>All Season</v>
      </c>
    </row>
    <row r="170" spans="1:10" x14ac:dyDescent="0.25">
      <c r="A170" t="s">
        <v>457</v>
      </c>
      <c r="B170" t="str" cm="1">
        <f t="array" ref="B17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70" s="6">
        <v>45318.564328703702</v>
      </c>
      <c r="D170" t="str">
        <f t="shared" si="6"/>
        <v>Saturday</v>
      </c>
      <c r="E170" s="6">
        <v>45318.416666666664</v>
      </c>
      <c r="F170" s="6" t="str">
        <f t="shared" si="7"/>
        <v>Saturday</v>
      </c>
      <c r="G170" t="str">
        <f>IF(COUNTIF(INDEX(SkiResort_ParkingRevenue_Raw[License Plate],1):SkiResort_ParkingRevenue_Raw[[#This Row],[License Plate]],SkiResort_ParkingRevenue_Raw[[#This Row],[License Plate]])=1,"New","Returning")</f>
        <v>New</v>
      </c>
      <c r="H170">
        <v>24.99</v>
      </c>
      <c r="I170">
        <v>1</v>
      </c>
      <c r="J170" t="str">
        <f t="shared" si="8"/>
        <v>All Season</v>
      </c>
    </row>
    <row r="171" spans="1:10" x14ac:dyDescent="0.25">
      <c r="A171" t="s">
        <v>415</v>
      </c>
      <c r="B171" t="str" cm="1">
        <f t="array" ref="B17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71" s="6">
        <v>45319.291666666664</v>
      </c>
      <c r="D171" t="str">
        <f t="shared" si="6"/>
        <v>Sunday</v>
      </c>
      <c r="E171" s="6">
        <v>45319.416666666664</v>
      </c>
      <c r="F171" s="6" t="str">
        <f t="shared" si="7"/>
        <v>Sunday</v>
      </c>
      <c r="G171" t="str">
        <f>IF(COUNTIF(INDEX(SkiResort_ParkingRevenue_Raw[License Plate],1):SkiResort_ParkingRevenue_Raw[[#This Row],[License Plate]],SkiResort_ParkingRevenue_Raw[[#This Row],[License Plate]])=1,"New","Returning")</f>
        <v>New</v>
      </c>
      <c r="H171">
        <v>24.99</v>
      </c>
      <c r="I171">
        <v>1</v>
      </c>
      <c r="J171" t="str">
        <f t="shared" si="8"/>
        <v>All Season</v>
      </c>
    </row>
    <row r="172" spans="1:10" x14ac:dyDescent="0.25">
      <c r="A172" t="s">
        <v>535</v>
      </c>
      <c r="B172" t="str" cm="1">
        <f t="array" ref="B17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72" s="6">
        <v>45319.291666666664</v>
      </c>
      <c r="D172" t="str">
        <f t="shared" si="6"/>
        <v>Sunday</v>
      </c>
      <c r="E172" s="6">
        <v>45319.416666666664</v>
      </c>
      <c r="F172" s="6" t="str">
        <f t="shared" si="7"/>
        <v>Sunday</v>
      </c>
      <c r="G172" t="str">
        <f>IF(COUNTIF(INDEX(SkiResort_ParkingRevenue_Raw[License Plate],1):SkiResort_ParkingRevenue_Raw[[#This Row],[License Plate]],SkiResort_ParkingRevenue_Raw[[#This Row],[License Plate]])=1,"New","Returning")</f>
        <v>Returning</v>
      </c>
      <c r="H172">
        <v>49.98</v>
      </c>
      <c r="I172">
        <v>2</v>
      </c>
      <c r="J172" t="str">
        <f t="shared" si="8"/>
        <v>All Season</v>
      </c>
    </row>
    <row r="173" spans="1:10" x14ac:dyDescent="0.25">
      <c r="A173" t="s">
        <v>662</v>
      </c>
      <c r="B173" t="str" cm="1">
        <f t="array" ref="B17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73" s="6">
        <v>45319.291666666664</v>
      </c>
      <c r="D173" t="str">
        <f t="shared" si="6"/>
        <v>Sunday</v>
      </c>
      <c r="E173" s="6">
        <v>45319.416666666664</v>
      </c>
      <c r="F173" s="6" t="str">
        <f t="shared" si="7"/>
        <v>Sunday</v>
      </c>
      <c r="G173" t="str">
        <f>IF(COUNTIF(INDEX(SkiResort_ParkingRevenue_Raw[License Plate],1):SkiResort_ParkingRevenue_Raw[[#This Row],[License Plate]],SkiResort_ParkingRevenue_Raw[[#This Row],[License Plate]])=1,"New","Returning")</f>
        <v>New</v>
      </c>
      <c r="H173">
        <v>19.989999999999998</v>
      </c>
      <c r="I173">
        <v>1</v>
      </c>
      <c r="J173" t="str">
        <f t="shared" si="8"/>
        <v>All Season</v>
      </c>
    </row>
    <row r="174" spans="1:10" x14ac:dyDescent="0.25">
      <c r="A174" t="s">
        <v>677</v>
      </c>
      <c r="B174" t="str" cm="1">
        <f t="array" ref="B17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74" s="6">
        <v>45319.291666666664</v>
      </c>
      <c r="D174" t="str">
        <f t="shared" si="6"/>
        <v>Sunday</v>
      </c>
      <c r="E174" s="6">
        <v>45319.416666666664</v>
      </c>
      <c r="F174" s="6" t="str">
        <f t="shared" si="7"/>
        <v>Sunday</v>
      </c>
      <c r="G174" t="str">
        <f>IF(COUNTIF(INDEX(SkiResort_ParkingRevenue_Raw[License Plate],1):SkiResort_ParkingRevenue_Raw[[#This Row],[License Plate]],SkiResort_ParkingRevenue_Raw[[#This Row],[License Plate]])=1,"New","Returning")</f>
        <v>Returning</v>
      </c>
      <c r="H174">
        <v>49.98</v>
      </c>
      <c r="I174">
        <v>2</v>
      </c>
      <c r="J174" t="str">
        <f t="shared" si="8"/>
        <v>All Season</v>
      </c>
    </row>
    <row r="175" spans="1:10" x14ac:dyDescent="0.25">
      <c r="A175" t="s">
        <v>685</v>
      </c>
      <c r="B175" t="str" cm="1">
        <f t="array" ref="B17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75" s="6">
        <v>45319.291666666664</v>
      </c>
      <c r="D175" t="str">
        <f t="shared" si="6"/>
        <v>Sunday</v>
      </c>
      <c r="E175" s="6">
        <v>45319.416666666664</v>
      </c>
      <c r="F175" s="6" t="str">
        <f t="shared" si="7"/>
        <v>Sunday</v>
      </c>
      <c r="G175" t="str">
        <f>IF(COUNTIF(INDEX(SkiResort_ParkingRevenue_Raw[License Plate],1):SkiResort_ParkingRevenue_Raw[[#This Row],[License Plate]],SkiResort_ParkingRevenue_Raw[[#This Row],[License Plate]])=1,"New","Returning")</f>
        <v>Returning</v>
      </c>
      <c r="H175">
        <v>49.98</v>
      </c>
      <c r="I175">
        <v>2</v>
      </c>
      <c r="J175" t="str">
        <f t="shared" si="8"/>
        <v>All Season</v>
      </c>
    </row>
    <row r="176" spans="1:10" x14ac:dyDescent="0.25">
      <c r="A176" t="s">
        <v>494</v>
      </c>
      <c r="B176" t="str" cm="1">
        <f t="array" ref="B17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76" s="6">
        <v>45319.315034722225</v>
      </c>
      <c r="D176" t="str">
        <f t="shared" si="6"/>
        <v>Sunday</v>
      </c>
      <c r="E176" s="6">
        <v>45319.416666666664</v>
      </c>
      <c r="F176" s="6" t="str">
        <f t="shared" si="7"/>
        <v>Sunday</v>
      </c>
      <c r="G176" t="str">
        <f>IF(COUNTIF(INDEX(SkiResort_ParkingRevenue_Raw[License Plate],1):SkiResort_ParkingRevenue_Raw[[#This Row],[License Plate]],SkiResort_ParkingRevenue_Raw[[#This Row],[License Plate]])=1,"New","Returning")</f>
        <v>New</v>
      </c>
      <c r="H176">
        <v>24.99</v>
      </c>
      <c r="I176">
        <v>1</v>
      </c>
      <c r="J176" t="str">
        <f t="shared" si="8"/>
        <v>All Season</v>
      </c>
    </row>
    <row r="177" spans="1:10" x14ac:dyDescent="0.25">
      <c r="A177" t="s">
        <v>499</v>
      </c>
      <c r="B177" t="str" cm="1">
        <f t="array" ref="B17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77" s="6">
        <v>45320.291666666664</v>
      </c>
      <c r="D177" t="str">
        <f t="shared" si="6"/>
        <v>Monday</v>
      </c>
      <c r="E177" s="6">
        <v>45320.416666666664</v>
      </c>
      <c r="F177" s="6" t="str">
        <f t="shared" si="7"/>
        <v>Monday</v>
      </c>
      <c r="G177" t="str">
        <f>IF(COUNTIF(INDEX(SkiResort_ParkingRevenue_Raw[License Plate],1):SkiResort_ParkingRevenue_Raw[[#This Row],[License Plate]],SkiResort_ParkingRevenue_Raw[[#This Row],[License Plate]])=1,"New","Returning")</f>
        <v>New</v>
      </c>
      <c r="H177">
        <v>19.989999999999998</v>
      </c>
      <c r="I177">
        <v>1</v>
      </c>
      <c r="J177" t="str">
        <f t="shared" si="8"/>
        <v>All Season</v>
      </c>
    </row>
    <row r="178" spans="1:10" x14ac:dyDescent="0.25">
      <c r="A178" t="s">
        <v>604</v>
      </c>
      <c r="B178" t="str" cm="1">
        <f t="array" ref="B17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78" s="6">
        <v>45320.291666666664</v>
      </c>
      <c r="D178" t="str">
        <f t="shared" si="6"/>
        <v>Monday</v>
      </c>
      <c r="E178" s="6">
        <v>45320.416666666664</v>
      </c>
      <c r="F178" s="6" t="str">
        <f t="shared" si="7"/>
        <v>Monday</v>
      </c>
      <c r="G178" t="str">
        <f>IF(COUNTIF(INDEX(SkiResort_ParkingRevenue_Raw[License Plate],1):SkiResort_ParkingRevenue_Raw[[#This Row],[License Plate]],SkiResort_ParkingRevenue_Raw[[#This Row],[License Plate]])=1,"New","Returning")</f>
        <v>New</v>
      </c>
      <c r="H178">
        <v>19.989999999999998</v>
      </c>
      <c r="I178">
        <v>1</v>
      </c>
      <c r="J178" t="str">
        <f t="shared" si="8"/>
        <v>All Season</v>
      </c>
    </row>
    <row r="179" spans="1:10" x14ac:dyDescent="0.25">
      <c r="A179" t="s">
        <v>678</v>
      </c>
      <c r="B179" t="str" cm="1">
        <f t="array" ref="B17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79" s="6">
        <v>45320.291666666664</v>
      </c>
      <c r="D179" t="str">
        <f t="shared" si="6"/>
        <v>Monday</v>
      </c>
      <c r="E179" s="6">
        <v>45320.416666666664</v>
      </c>
      <c r="F179" s="6" t="str">
        <f t="shared" si="7"/>
        <v>Monday</v>
      </c>
      <c r="G179" t="str">
        <f>IF(COUNTIF(INDEX(SkiResort_ParkingRevenue_Raw[License Plate],1):SkiResort_ParkingRevenue_Raw[[#This Row],[License Plate]],SkiResort_ParkingRevenue_Raw[[#This Row],[License Plate]])=1,"New","Returning")</f>
        <v>Returning</v>
      </c>
      <c r="H179">
        <v>19.989999999999998</v>
      </c>
      <c r="I179">
        <v>1</v>
      </c>
      <c r="J179" t="str">
        <f t="shared" si="8"/>
        <v>All Season</v>
      </c>
    </row>
    <row r="180" spans="1:10" x14ac:dyDescent="0.25">
      <c r="A180" t="s">
        <v>691</v>
      </c>
      <c r="B180" t="str" cm="1">
        <f t="array" ref="B18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80" s="6">
        <v>45320.291666666664</v>
      </c>
      <c r="D180" t="str">
        <f t="shared" si="6"/>
        <v>Monday</v>
      </c>
      <c r="E180" s="6">
        <v>45320.416666666664</v>
      </c>
      <c r="F180" s="6" t="str">
        <f t="shared" si="7"/>
        <v>Monday</v>
      </c>
      <c r="G180" t="str">
        <f>IF(COUNTIF(INDEX(SkiResort_ParkingRevenue_Raw[License Plate],1):SkiResort_ParkingRevenue_Raw[[#This Row],[License Plate]],SkiResort_ParkingRevenue_Raw[[#This Row],[License Plate]])=1,"New","Returning")</f>
        <v>New</v>
      </c>
      <c r="H180">
        <v>39.979999999999997</v>
      </c>
      <c r="I180">
        <v>2</v>
      </c>
      <c r="J180" t="str">
        <f t="shared" si="8"/>
        <v>All Season</v>
      </c>
    </row>
    <row r="181" spans="1:10" x14ac:dyDescent="0.25">
      <c r="A181" t="s">
        <v>610</v>
      </c>
      <c r="B181" t="str" cm="1">
        <f t="array" ref="B18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81" s="6">
        <v>45321.291666666664</v>
      </c>
      <c r="D181" t="str">
        <f t="shared" si="6"/>
        <v>Tuesday</v>
      </c>
      <c r="E181" s="6">
        <v>45321.416666666664</v>
      </c>
      <c r="F181" s="6" t="str">
        <f t="shared" si="7"/>
        <v>Tuesday</v>
      </c>
      <c r="G181" t="str">
        <f>IF(COUNTIF(INDEX(SkiResort_ParkingRevenue_Raw[License Plate],1):SkiResort_ParkingRevenue_Raw[[#This Row],[License Plate]],SkiResort_ParkingRevenue_Raw[[#This Row],[License Plate]])=1,"New","Returning")</f>
        <v>Returning</v>
      </c>
      <c r="H181">
        <v>19.989999999999998</v>
      </c>
      <c r="I181">
        <v>1</v>
      </c>
      <c r="J181" t="str">
        <f t="shared" si="8"/>
        <v>All Season</v>
      </c>
    </row>
    <row r="182" spans="1:10" x14ac:dyDescent="0.25">
      <c r="A182" t="s">
        <v>669</v>
      </c>
      <c r="B182" t="str" cm="1">
        <f t="array" ref="B18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82" s="6">
        <v>45321.291666666664</v>
      </c>
      <c r="D182" t="str">
        <f t="shared" si="6"/>
        <v>Tuesday</v>
      </c>
      <c r="E182" s="6">
        <v>45321.416666666664</v>
      </c>
      <c r="F182" s="6" t="str">
        <f t="shared" si="7"/>
        <v>Tuesday</v>
      </c>
      <c r="G182" t="str">
        <f>IF(COUNTIF(INDEX(SkiResort_ParkingRevenue_Raw[License Plate],1):SkiResort_ParkingRevenue_Raw[[#This Row],[License Plate]],SkiResort_ParkingRevenue_Raw[[#This Row],[License Plate]])=1,"New","Returning")</f>
        <v>New</v>
      </c>
      <c r="H182">
        <v>19.989999999999998</v>
      </c>
      <c r="I182">
        <v>1</v>
      </c>
      <c r="J182" t="str">
        <f t="shared" si="8"/>
        <v>All Season</v>
      </c>
    </row>
    <row r="183" spans="1:10" x14ac:dyDescent="0.25">
      <c r="A183" t="s">
        <v>686</v>
      </c>
      <c r="B183" t="str" cm="1">
        <f t="array" ref="B18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83" s="6">
        <v>45321.291666666664</v>
      </c>
      <c r="D183" t="str">
        <f t="shared" si="6"/>
        <v>Tuesday</v>
      </c>
      <c r="E183" s="6">
        <v>45321.416666666664</v>
      </c>
      <c r="F183" s="6" t="str">
        <f t="shared" si="7"/>
        <v>Tuesday</v>
      </c>
      <c r="G183" t="str">
        <f>IF(COUNTIF(INDEX(SkiResort_ParkingRevenue_Raw[License Plate],1):SkiResort_ParkingRevenue_Raw[[#This Row],[License Plate]],SkiResort_ParkingRevenue_Raw[[#This Row],[License Plate]])=1,"New","Returning")</f>
        <v>Returning</v>
      </c>
      <c r="H183">
        <v>39.979999999999997</v>
      </c>
      <c r="I183">
        <v>2</v>
      </c>
      <c r="J183" t="str">
        <f t="shared" si="8"/>
        <v>All Season</v>
      </c>
    </row>
    <row r="184" spans="1:10" x14ac:dyDescent="0.25">
      <c r="A184" t="s">
        <v>525</v>
      </c>
      <c r="B184" t="str" cm="1">
        <f t="array" ref="B18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84" s="6">
        <v>45322.291666666664</v>
      </c>
      <c r="D184" t="str">
        <f t="shared" si="6"/>
        <v>Wednesday</v>
      </c>
      <c r="E184" s="6">
        <v>45322.416666666664</v>
      </c>
      <c r="F184" s="6" t="str">
        <f t="shared" si="7"/>
        <v>Wednesday</v>
      </c>
      <c r="G184" t="str">
        <f>IF(COUNTIF(INDEX(SkiResort_ParkingRevenue_Raw[License Plate],1):SkiResort_ParkingRevenue_Raw[[#This Row],[License Plate]],SkiResort_ParkingRevenue_Raw[[#This Row],[License Plate]])=1,"New","Returning")</f>
        <v>New</v>
      </c>
      <c r="H184">
        <v>19.989999999999998</v>
      </c>
      <c r="I184">
        <v>1</v>
      </c>
      <c r="J184" t="str">
        <f t="shared" si="8"/>
        <v>All Season</v>
      </c>
    </row>
    <row r="185" spans="1:10" x14ac:dyDescent="0.25">
      <c r="A185" t="s">
        <v>692</v>
      </c>
      <c r="B185" t="str" cm="1">
        <f t="array" ref="B18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85" s="6">
        <v>45322.291666666664</v>
      </c>
      <c r="D185" t="str">
        <f t="shared" si="6"/>
        <v>Wednesday</v>
      </c>
      <c r="E185" s="6">
        <v>45322.416666666664</v>
      </c>
      <c r="F185" s="6" t="str">
        <f t="shared" si="7"/>
        <v>Wednesday</v>
      </c>
      <c r="G185" t="str">
        <f>IF(COUNTIF(INDEX(SkiResort_ParkingRevenue_Raw[License Plate],1):SkiResort_ParkingRevenue_Raw[[#This Row],[License Plate]],SkiResort_ParkingRevenue_Raw[[#This Row],[License Plate]])=1,"New","Returning")</f>
        <v>Returning</v>
      </c>
      <c r="H185">
        <v>19.989999999999998</v>
      </c>
      <c r="I185">
        <v>1</v>
      </c>
      <c r="J185" t="str">
        <f t="shared" si="8"/>
        <v>All Season</v>
      </c>
    </row>
    <row r="186" spans="1:10" x14ac:dyDescent="0.25">
      <c r="A186" t="s">
        <v>694</v>
      </c>
      <c r="B186" t="str" cm="1">
        <f t="array" ref="B18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86" s="6">
        <v>45322.291666666664</v>
      </c>
      <c r="D186" t="str">
        <f t="shared" si="6"/>
        <v>Wednesday</v>
      </c>
      <c r="E186" s="6">
        <v>45322.416666666664</v>
      </c>
      <c r="F186" s="6" t="str">
        <f t="shared" si="7"/>
        <v>Wednesday</v>
      </c>
      <c r="G186" t="str">
        <f>IF(COUNTIF(INDEX(SkiResort_ParkingRevenue_Raw[License Plate],1):SkiResort_ParkingRevenue_Raw[[#This Row],[License Plate]],SkiResort_ParkingRevenue_Raw[[#This Row],[License Plate]])=1,"New","Returning")</f>
        <v>New</v>
      </c>
      <c r="H186">
        <v>19.989999999999998</v>
      </c>
      <c r="I186">
        <v>1</v>
      </c>
      <c r="J186" t="str">
        <f t="shared" si="8"/>
        <v>All Season</v>
      </c>
    </row>
    <row r="187" spans="1:10" x14ac:dyDescent="0.25">
      <c r="A187" t="s">
        <v>799</v>
      </c>
      <c r="B187" t="str" cm="1">
        <f t="array" ref="B18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87" s="6">
        <v>45324.291666666664</v>
      </c>
      <c r="D187" t="str">
        <f t="shared" si="6"/>
        <v>Friday</v>
      </c>
      <c r="E187" s="6">
        <v>45324.416666666664</v>
      </c>
      <c r="F187" s="6" t="str">
        <f t="shared" si="7"/>
        <v>Friday</v>
      </c>
      <c r="G187" t="str">
        <f>IF(COUNTIF(INDEX(SkiResort_ParkingRevenue_Raw[License Plate],1):SkiResort_ParkingRevenue_Raw[[#This Row],[License Plate]],SkiResort_ParkingRevenue_Raw[[#This Row],[License Plate]])=1,"New","Returning")</f>
        <v>New</v>
      </c>
      <c r="H187">
        <v>19.989999999999998</v>
      </c>
      <c r="I187">
        <v>1</v>
      </c>
      <c r="J187" t="str">
        <f t="shared" si="8"/>
        <v>All Season</v>
      </c>
    </row>
    <row r="188" spans="1:10" x14ac:dyDescent="0.25">
      <c r="A188" t="s">
        <v>834</v>
      </c>
      <c r="B188" t="str" cm="1">
        <f t="array" ref="B18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88" s="6">
        <v>45324.291666666664</v>
      </c>
      <c r="D188" t="str">
        <f t="shared" si="6"/>
        <v>Friday</v>
      </c>
      <c r="E188" s="6">
        <v>45324.416666666664</v>
      </c>
      <c r="F188" s="6" t="str">
        <f t="shared" si="7"/>
        <v>Friday</v>
      </c>
      <c r="G188" t="str">
        <f>IF(COUNTIF(INDEX(SkiResort_ParkingRevenue_Raw[License Plate],1):SkiResort_ParkingRevenue_Raw[[#This Row],[License Plate]],SkiResort_ParkingRevenue_Raw[[#This Row],[License Plate]])=1,"New","Returning")</f>
        <v>New</v>
      </c>
      <c r="H188">
        <v>19.989999999999998</v>
      </c>
      <c r="I188">
        <v>1</v>
      </c>
      <c r="J188" t="str">
        <f t="shared" si="8"/>
        <v>All Season</v>
      </c>
    </row>
    <row r="189" spans="1:10" x14ac:dyDescent="0.25">
      <c r="A189" t="s">
        <v>932</v>
      </c>
      <c r="B189" t="str" cm="1">
        <f t="array" ref="B18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89" s="6">
        <v>45324.291666666664</v>
      </c>
      <c r="D189" t="str">
        <f t="shared" si="6"/>
        <v>Friday</v>
      </c>
      <c r="E189" s="6">
        <v>45324.416666666664</v>
      </c>
      <c r="F189" s="6" t="str">
        <f t="shared" si="7"/>
        <v>Friday</v>
      </c>
      <c r="G189" t="str">
        <f>IF(COUNTIF(INDEX(SkiResort_ParkingRevenue_Raw[License Plate],1):SkiResort_ParkingRevenue_Raw[[#This Row],[License Plate]],SkiResort_ParkingRevenue_Raw[[#This Row],[License Plate]])=1,"New","Returning")</f>
        <v>New</v>
      </c>
      <c r="H189">
        <v>19.989999999999998</v>
      </c>
      <c r="I189">
        <v>1</v>
      </c>
      <c r="J189" t="str">
        <f t="shared" si="8"/>
        <v>All Season</v>
      </c>
    </row>
    <row r="190" spans="1:10" x14ac:dyDescent="0.25">
      <c r="A190" t="s">
        <v>774</v>
      </c>
      <c r="B190" t="str" cm="1">
        <f t="array" ref="B19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90" s="6">
        <v>45325.291666666664</v>
      </c>
      <c r="D190" t="str">
        <f t="shared" si="6"/>
        <v>Saturday</v>
      </c>
      <c r="E190" s="6">
        <v>45325.416666666664</v>
      </c>
      <c r="F190" s="6" t="str">
        <f t="shared" si="7"/>
        <v>Saturday</v>
      </c>
      <c r="G190" t="str">
        <f>IF(COUNTIF(INDEX(SkiResort_ParkingRevenue_Raw[License Plate],1):SkiResort_ParkingRevenue_Raw[[#This Row],[License Plate]],SkiResort_ParkingRevenue_Raw[[#This Row],[License Plate]])=1,"New","Returning")</f>
        <v>New</v>
      </c>
      <c r="H190">
        <v>24.99</v>
      </c>
      <c r="I190">
        <v>1</v>
      </c>
      <c r="J190" t="str">
        <f t="shared" si="8"/>
        <v>All Season</v>
      </c>
    </row>
    <row r="191" spans="1:10" x14ac:dyDescent="0.25">
      <c r="A191" t="s">
        <v>779</v>
      </c>
      <c r="B191" t="str" cm="1">
        <f t="array" ref="B19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91" s="6">
        <v>45325.291666666664</v>
      </c>
      <c r="D191" t="str">
        <f t="shared" si="6"/>
        <v>Saturday</v>
      </c>
      <c r="E191" s="6">
        <v>45325.416666666664</v>
      </c>
      <c r="F191" s="6" t="str">
        <f t="shared" si="7"/>
        <v>Saturday</v>
      </c>
      <c r="G191" t="str">
        <f>IF(COUNTIF(INDEX(SkiResort_ParkingRevenue_Raw[License Plate],1):SkiResort_ParkingRevenue_Raw[[#This Row],[License Plate]],SkiResort_ParkingRevenue_Raw[[#This Row],[License Plate]])=1,"New","Returning")</f>
        <v>New</v>
      </c>
      <c r="H191">
        <v>24.99</v>
      </c>
      <c r="I191">
        <v>1</v>
      </c>
      <c r="J191" t="str">
        <f t="shared" si="8"/>
        <v>All Season</v>
      </c>
    </row>
    <row r="192" spans="1:10" x14ac:dyDescent="0.25">
      <c r="A192" t="s">
        <v>794</v>
      </c>
      <c r="B192" t="str" cm="1">
        <f t="array" ref="B19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92" s="6">
        <v>45325.291666666664</v>
      </c>
      <c r="D192" t="str">
        <f t="shared" si="6"/>
        <v>Saturday</v>
      </c>
      <c r="E192" s="6">
        <v>45325.416666666664</v>
      </c>
      <c r="F192" s="6" t="str">
        <f t="shared" si="7"/>
        <v>Saturday</v>
      </c>
      <c r="G192" t="str">
        <f>IF(COUNTIF(INDEX(SkiResort_ParkingRevenue_Raw[License Plate],1):SkiResort_ParkingRevenue_Raw[[#This Row],[License Plate]],SkiResort_ParkingRevenue_Raw[[#This Row],[License Plate]])=1,"New","Returning")</f>
        <v>New</v>
      </c>
      <c r="H192">
        <v>19.989999999999998</v>
      </c>
      <c r="I192">
        <v>1</v>
      </c>
      <c r="J192" t="str">
        <f t="shared" si="8"/>
        <v>All Season</v>
      </c>
    </row>
    <row r="193" spans="1:10" x14ac:dyDescent="0.25">
      <c r="A193" t="s">
        <v>829</v>
      </c>
      <c r="B193" t="str" cm="1">
        <f t="array" ref="B19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93" s="6">
        <v>45325.291666666664</v>
      </c>
      <c r="D193" t="str">
        <f t="shared" si="6"/>
        <v>Saturday</v>
      </c>
      <c r="E193" s="6">
        <v>45325.416666666664</v>
      </c>
      <c r="F193" s="6" t="str">
        <f t="shared" si="7"/>
        <v>Saturday</v>
      </c>
      <c r="G193" t="str">
        <f>IF(COUNTIF(INDEX(SkiResort_ParkingRevenue_Raw[License Plate],1):SkiResort_ParkingRevenue_Raw[[#This Row],[License Plate]],SkiResort_ParkingRevenue_Raw[[#This Row],[License Plate]])=1,"New","Returning")</f>
        <v>Returning</v>
      </c>
      <c r="H193">
        <v>24.99</v>
      </c>
      <c r="I193">
        <v>1</v>
      </c>
      <c r="J193" t="str">
        <f t="shared" si="8"/>
        <v>All Season</v>
      </c>
    </row>
    <row r="194" spans="1:10" x14ac:dyDescent="0.25">
      <c r="A194" t="s">
        <v>922</v>
      </c>
      <c r="B194" t="str" cm="1">
        <f t="array" ref="B19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94" s="6">
        <v>45325.291666666664</v>
      </c>
      <c r="D194" t="str">
        <f t="shared" ref="D194:D257" si="9">_xlfn.TEXTBEFORE(TEXT(C194, "dddd, mmmm dd, yyyy"), ",")</f>
        <v>Saturday</v>
      </c>
      <c r="E194" s="6">
        <v>45325.416666666664</v>
      </c>
      <c r="F194" s="6" t="str">
        <f t="shared" si="7"/>
        <v>Saturday</v>
      </c>
      <c r="G194" t="str">
        <f>IF(COUNTIF(INDEX(SkiResort_ParkingRevenue_Raw[License Plate],1):SkiResort_ParkingRevenue_Raw[[#This Row],[License Plate]],SkiResort_ParkingRevenue_Raw[[#This Row],[License Plate]])=1,"New","Returning")</f>
        <v>Returning</v>
      </c>
      <c r="H194">
        <v>24.99</v>
      </c>
      <c r="I194">
        <v>1</v>
      </c>
      <c r="J194" t="str">
        <f t="shared" si="8"/>
        <v>All Season</v>
      </c>
    </row>
    <row r="195" spans="1:10" x14ac:dyDescent="0.25">
      <c r="A195" t="s">
        <v>924</v>
      </c>
      <c r="B195" t="str" cm="1">
        <f t="array" ref="B19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95" s="6">
        <v>45325.291666666664</v>
      </c>
      <c r="D195" t="str">
        <f t="shared" si="9"/>
        <v>Saturday</v>
      </c>
      <c r="E195" s="6">
        <v>45325.416666666664</v>
      </c>
      <c r="F195" s="6" t="str">
        <f t="shared" ref="F195:F258" si="10">_xlfn.TEXTBEFORE(TEXT(E195,"dddd, mmmm dd, yyyy"), ",")</f>
        <v>Saturday</v>
      </c>
      <c r="G195" t="str">
        <f>IF(COUNTIF(INDEX(SkiResort_ParkingRevenue_Raw[License Plate],1):SkiResort_ParkingRevenue_Raw[[#This Row],[License Plate]],SkiResort_ParkingRevenue_Raw[[#This Row],[License Plate]])=1,"New","Returning")</f>
        <v>New</v>
      </c>
      <c r="H195">
        <v>24.99</v>
      </c>
      <c r="I195">
        <v>1</v>
      </c>
      <c r="J195" t="str">
        <f t="shared" ref="J195:J258" si="11">IF(C195&lt;DATE(2025,1,17), "All Season", "Weekends/Holiday Only")</f>
        <v>All Season</v>
      </c>
    </row>
    <row r="196" spans="1:10" x14ac:dyDescent="0.25">
      <c r="A196" t="s">
        <v>938</v>
      </c>
      <c r="B196" t="str" cm="1">
        <f t="array" ref="B19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96" s="6">
        <v>45325.291666666664</v>
      </c>
      <c r="D196" t="str">
        <f t="shared" si="9"/>
        <v>Saturday</v>
      </c>
      <c r="E196" s="6">
        <v>45325.416666666664</v>
      </c>
      <c r="F196" s="6" t="str">
        <f t="shared" si="10"/>
        <v>Saturday</v>
      </c>
      <c r="G196" t="str">
        <f>IF(COUNTIF(INDEX(SkiResort_ParkingRevenue_Raw[License Plate],1):SkiResort_ParkingRevenue_Raw[[#This Row],[License Plate]],SkiResort_ParkingRevenue_Raw[[#This Row],[License Plate]])=1,"New","Returning")</f>
        <v>New</v>
      </c>
      <c r="H196">
        <v>24.99</v>
      </c>
      <c r="I196">
        <v>1</v>
      </c>
      <c r="J196" t="str">
        <f t="shared" si="11"/>
        <v>All Season</v>
      </c>
    </row>
    <row r="197" spans="1:10" x14ac:dyDescent="0.25">
      <c r="A197" t="s">
        <v>955</v>
      </c>
      <c r="B197" t="str" cm="1">
        <f t="array" ref="B19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97" s="6">
        <v>45325.291666666664</v>
      </c>
      <c r="D197" t="str">
        <f t="shared" si="9"/>
        <v>Saturday</v>
      </c>
      <c r="E197" s="6">
        <v>45325.416666666664</v>
      </c>
      <c r="F197" s="6" t="str">
        <f t="shared" si="10"/>
        <v>Saturday</v>
      </c>
      <c r="G197" t="str">
        <f>IF(COUNTIF(INDEX(SkiResort_ParkingRevenue_Raw[License Plate],1):SkiResort_ParkingRevenue_Raw[[#This Row],[License Plate]],SkiResort_ParkingRevenue_Raw[[#This Row],[License Plate]])=1,"New","Returning")</f>
        <v>Returning</v>
      </c>
      <c r="H197">
        <v>24.99</v>
      </c>
      <c r="I197">
        <v>1</v>
      </c>
      <c r="J197" t="str">
        <f t="shared" si="11"/>
        <v>All Season</v>
      </c>
    </row>
    <row r="198" spans="1:10" x14ac:dyDescent="0.25">
      <c r="A198" t="s">
        <v>1254</v>
      </c>
      <c r="B198" t="str" cm="1">
        <f t="array" ref="B19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98" s="6">
        <v>45325.291666666664</v>
      </c>
      <c r="D198" t="str">
        <f t="shared" si="9"/>
        <v>Saturday</v>
      </c>
      <c r="E198" s="6">
        <v>45325.416666666664</v>
      </c>
      <c r="F198" s="6" t="str">
        <f t="shared" si="10"/>
        <v>Saturday</v>
      </c>
      <c r="G198" t="str">
        <f>IF(COUNTIF(INDEX(SkiResort_ParkingRevenue_Raw[License Plate],1):SkiResort_ParkingRevenue_Raw[[#This Row],[License Plate]],SkiResort_ParkingRevenue_Raw[[#This Row],[License Plate]])=1,"New","Returning")</f>
        <v>New</v>
      </c>
      <c r="H198">
        <v>24.99</v>
      </c>
      <c r="I198">
        <v>1</v>
      </c>
      <c r="J198" t="str">
        <f t="shared" si="11"/>
        <v>All Season</v>
      </c>
    </row>
    <row r="199" spans="1:10" x14ac:dyDescent="0.25">
      <c r="A199" t="s">
        <v>949</v>
      </c>
      <c r="B199" t="str" cm="1">
        <f t="array" ref="B19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199" s="6">
        <v>45325.358402777776</v>
      </c>
      <c r="D199" t="str">
        <f t="shared" si="9"/>
        <v>Saturday</v>
      </c>
      <c r="E199" s="6">
        <v>45325.416666666664</v>
      </c>
      <c r="F199" s="6" t="str">
        <f t="shared" si="10"/>
        <v>Saturday</v>
      </c>
      <c r="G199" t="str">
        <f>IF(COUNTIF(INDEX(SkiResort_ParkingRevenue_Raw[License Plate],1):SkiResort_ParkingRevenue_Raw[[#This Row],[License Plate]],SkiResort_ParkingRevenue_Raw[[#This Row],[License Plate]])=1,"New","Returning")</f>
        <v>New</v>
      </c>
      <c r="H199">
        <v>24.99</v>
      </c>
      <c r="I199">
        <v>1</v>
      </c>
      <c r="J199" t="str">
        <f t="shared" si="11"/>
        <v>All Season</v>
      </c>
    </row>
    <row r="200" spans="1:10" x14ac:dyDescent="0.25">
      <c r="A200" t="s">
        <v>953</v>
      </c>
      <c r="B200" t="str" cm="1">
        <f t="array" ref="B20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00" s="6">
        <v>45325.358807870369</v>
      </c>
      <c r="D200" t="str">
        <f t="shared" si="9"/>
        <v>Saturday</v>
      </c>
      <c r="E200" s="6">
        <v>45325.416666666664</v>
      </c>
      <c r="F200" s="6" t="str">
        <f t="shared" si="10"/>
        <v>Saturday</v>
      </c>
      <c r="G200" t="str">
        <f>IF(COUNTIF(INDEX(SkiResort_ParkingRevenue_Raw[License Plate],1):SkiResort_ParkingRevenue_Raw[[#This Row],[License Plate]],SkiResort_ParkingRevenue_Raw[[#This Row],[License Plate]])=1,"New","Returning")</f>
        <v>Returning</v>
      </c>
      <c r="H200">
        <v>24.99</v>
      </c>
      <c r="I200">
        <v>1</v>
      </c>
      <c r="J200" t="str">
        <f t="shared" si="11"/>
        <v>All Season</v>
      </c>
    </row>
    <row r="201" spans="1:10" x14ac:dyDescent="0.25">
      <c r="A201" t="s">
        <v>930</v>
      </c>
      <c r="B201" t="str" cm="1">
        <f t="array" ref="B20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01" s="6">
        <v>45326.291666666664</v>
      </c>
      <c r="D201" t="str">
        <f t="shared" si="9"/>
        <v>Sunday</v>
      </c>
      <c r="E201" s="6">
        <v>45326.416666666664</v>
      </c>
      <c r="F201" s="6" t="str">
        <f t="shared" si="10"/>
        <v>Sunday</v>
      </c>
      <c r="G201" t="str">
        <f>IF(COUNTIF(INDEX(SkiResort_ParkingRevenue_Raw[License Plate],1):SkiResort_ParkingRevenue_Raw[[#This Row],[License Plate]],SkiResort_ParkingRevenue_Raw[[#This Row],[License Plate]])=1,"New","Returning")</f>
        <v>Returning</v>
      </c>
      <c r="H201">
        <v>24.99</v>
      </c>
      <c r="I201">
        <v>1</v>
      </c>
      <c r="J201" t="str">
        <f t="shared" si="11"/>
        <v>All Season</v>
      </c>
    </row>
    <row r="202" spans="1:10" x14ac:dyDescent="0.25">
      <c r="A202" t="s">
        <v>1186</v>
      </c>
      <c r="B202" t="str" cm="1">
        <f t="array" ref="B20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02" s="6">
        <v>45330.291666666664</v>
      </c>
      <c r="D202" t="str">
        <f t="shared" si="9"/>
        <v>Thursday</v>
      </c>
      <c r="E202" s="6">
        <v>45330.416666666664</v>
      </c>
      <c r="F202" s="6" t="str">
        <f t="shared" si="10"/>
        <v>Thursday</v>
      </c>
      <c r="G202" t="str">
        <f>IF(COUNTIF(INDEX(SkiResort_ParkingRevenue_Raw[License Plate],1):SkiResort_ParkingRevenue_Raw[[#This Row],[License Plate]],SkiResort_ParkingRevenue_Raw[[#This Row],[License Plate]])=1,"New","Returning")</f>
        <v>New</v>
      </c>
      <c r="H202">
        <v>19.989999999999998</v>
      </c>
      <c r="I202">
        <v>1</v>
      </c>
      <c r="J202" t="str">
        <f t="shared" si="11"/>
        <v>All Season</v>
      </c>
    </row>
    <row r="203" spans="1:10" x14ac:dyDescent="0.25">
      <c r="A203" t="s">
        <v>1191</v>
      </c>
      <c r="B203" t="str" cm="1">
        <f t="array" ref="B20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03" s="6">
        <v>45330.478819444441</v>
      </c>
      <c r="D203" t="str">
        <f t="shared" si="9"/>
        <v>Thursday</v>
      </c>
      <c r="E203" s="6">
        <v>45330.416666666664</v>
      </c>
      <c r="F203" s="6" t="str">
        <f t="shared" si="10"/>
        <v>Thursday</v>
      </c>
      <c r="G203" t="str">
        <f>IF(COUNTIF(INDEX(SkiResort_ParkingRevenue_Raw[License Plate],1):SkiResort_ParkingRevenue_Raw[[#This Row],[License Plate]],SkiResort_ParkingRevenue_Raw[[#This Row],[License Plate]])=1,"New","Returning")</f>
        <v>New</v>
      </c>
      <c r="H203">
        <v>19.989999999999998</v>
      </c>
      <c r="I203">
        <v>1</v>
      </c>
      <c r="J203" t="str">
        <f t="shared" si="11"/>
        <v>All Season</v>
      </c>
    </row>
    <row r="204" spans="1:10" x14ac:dyDescent="0.25">
      <c r="A204" t="s">
        <v>957</v>
      </c>
      <c r="B204" t="str" cm="1">
        <f t="array" ref="B20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04" s="6">
        <v>45331.291666666664</v>
      </c>
      <c r="D204" t="str">
        <f t="shared" si="9"/>
        <v>Friday</v>
      </c>
      <c r="E204" s="6">
        <v>45331.416666666664</v>
      </c>
      <c r="F204" s="6" t="str">
        <f t="shared" si="10"/>
        <v>Friday</v>
      </c>
      <c r="G204" t="str">
        <f>IF(COUNTIF(INDEX(SkiResort_ParkingRevenue_Raw[License Plate],1):SkiResort_ParkingRevenue_Raw[[#This Row],[License Plate]],SkiResort_ParkingRevenue_Raw[[#This Row],[License Plate]])=1,"New","Returning")</f>
        <v>New</v>
      </c>
      <c r="H204">
        <v>19.989999999999998</v>
      </c>
      <c r="I204">
        <v>1</v>
      </c>
      <c r="J204" t="str">
        <f t="shared" si="11"/>
        <v>All Season</v>
      </c>
    </row>
    <row r="205" spans="1:10" x14ac:dyDescent="0.25">
      <c r="A205" t="s">
        <v>1209</v>
      </c>
      <c r="B205" t="str" cm="1">
        <f t="array" ref="B20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05" s="6">
        <v>45331.291666666664</v>
      </c>
      <c r="D205" t="str">
        <f t="shared" si="9"/>
        <v>Friday</v>
      </c>
      <c r="E205" s="6">
        <v>45331.416666666664</v>
      </c>
      <c r="F205" s="6" t="str">
        <f t="shared" si="10"/>
        <v>Friday</v>
      </c>
      <c r="G205" t="str">
        <f>IF(COUNTIF(INDEX(SkiResort_ParkingRevenue_Raw[License Plate],1):SkiResort_ParkingRevenue_Raw[[#This Row],[License Plate]],SkiResort_ParkingRevenue_Raw[[#This Row],[License Plate]])=1,"New","Returning")</f>
        <v>New</v>
      </c>
      <c r="H205">
        <v>19.989999999999998</v>
      </c>
      <c r="I205">
        <v>1</v>
      </c>
      <c r="J205" t="str">
        <f t="shared" si="11"/>
        <v>All Season</v>
      </c>
    </row>
    <row r="206" spans="1:10" x14ac:dyDescent="0.25">
      <c r="A206" t="s">
        <v>977</v>
      </c>
      <c r="B206" t="str" cm="1">
        <f t="array" ref="B20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06" s="6">
        <v>45332.291666666664</v>
      </c>
      <c r="D206" t="str">
        <f t="shared" si="9"/>
        <v>Saturday</v>
      </c>
      <c r="E206" s="6">
        <v>45332.416666666664</v>
      </c>
      <c r="F206" s="6" t="str">
        <f t="shared" si="10"/>
        <v>Saturday</v>
      </c>
      <c r="G206" t="str">
        <f>IF(COUNTIF(INDEX(SkiResort_ParkingRevenue_Raw[License Plate],1):SkiResort_ParkingRevenue_Raw[[#This Row],[License Plate]],SkiResort_ParkingRevenue_Raw[[#This Row],[License Plate]])=1,"New","Returning")</f>
        <v>New</v>
      </c>
      <c r="H206">
        <v>24.99</v>
      </c>
      <c r="I206">
        <v>1</v>
      </c>
      <c r="J206" t="str">
        <f t="shared" si="11"/>
        <v>All Season</v>
      </c>
    </row>
    <row r="207" spans="1:10" x14ac:dyDescent="0.25">
      <c r="A207" t="s">
        <v>992</v>
      </c>
      <c r="B207" t="str" cm="1">
        <f t="array" ref="B20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07" s="6">
        <v>45332.291666666664</v>
      </c>
      <c r="D207" t="str">
        <f t="shared" si="9"/>
        <v>Saturday</v>
      </c>
      <c r="E207" s="6">
        <v>45332.416666666664</v>
      </c>
      <c r="F207" s="6" t="str">
        <f t="shared" si="10"/>
        <v>Saturday</v>
      </c>
      <c r="G207" t="str">
        <f>IF(COUNTIF(INDEX(SkiResort_ParkingRevenue_Raw[License Plate],1):SkiResort_ParkingRevenue_Raw[[#This Row],[License Plate]],SkiResort_ParkingRevenue_Raw[[#This Row],[License Plate]])=1,"New","Returning")</f>
        <v>New</v>
      </c>
      <c r="H207">
        <v>24.99</v>
      </c>
      <c r="I207">
        <v>1</v>
      </c>
      <c r="J207" t="str">
        <f t="shared" si="11"/>
        <v>All Season</v>
      </c>
    </row>
    <row r="208" spans="1:10" x14ac:dyDescent="0.25">
      <c r="A208" t="s">
        <v>1125</v>
      </c>
      <c r="B208" t="str" cm="1">
        <f t="array" ref="B20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08" s="6">
        <v>45332.291666666664</v>
      </c>
      <c r="D208" t="str">
        <f t="shared" si="9"/>
        <v>Saturday</v>
      </c>
      <c r="E208" s="6">
        <v>45332.416666666664</v>
      </c>
      <c r="F208" s="6" t="str">
        <f t="shared" si="10"/>
        <v>Saturday</v>
      </c>
      <c r="G208" t="str">
        <f>IF(COUNTIF(INDEX(SkiResort_ParkingRevenue_Raw[License Plate],1):SkiResort_ParkingRevenue_Raw[[#This Row],[License Plate]],SkiResort_ParkingRevenue_Raw[[#This Row],[License Plate]])=1,"New","Returning")</f>
        <v>New</v>
      </c>
      <c r="H208">
        <v>24.99</v>
      </c>
      <c r="I208">
        <v>1</v>
      </c>
      <c r="J208" t="str">
        <f t="shared" si="11"/>
        <v>All Season</v>
      </c>
    </row>
    <row r="209" spans="1:10" x14ac:dyDescent="0.25">
      <c r="A209" t="s">
        <v>1171</v>
      </c>
      <c r="B209" t="str" cm="1">
        <f t="array" ref="B20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09" s="6">
        <v>45332.291666666664</v>
      </c>
      <c r="D209" t="str">
        <f t="shared" si="9"/>
        <v>Saturday</v>
      </c>
      <c r="E209" s="6">
        <v>45332.416666666664</v>
      </c>
      <c r="F209" s="6" t="str">
        <f t="shared" si="10"/>
        <v>Saturday</v>
      </c>
      <c r="G209" t="str">
        <f>IF(COUNTIF(INDEX(SkiResort_ParkingRevenue_Raw[License Plate],1):SkiResort_ParkingRevenue_Raw[[#This Row],[License Plate]],SkiResort_ParkingRevenue_Raw[[#This Row],[License Plate]])=1,"New","Returning")</f>
        <v>New</v>
      </c>
      <c r="H209">
        <v>24.99</v>
      </c>
      <c r="I209">
        <v>1</v>
      </c>
      <c r="J209" t="str">
        <f t="shared" si="11"/>
        <v>All Season</v>
      </c>
    </row>
    <row r="210" spans="1:10" x14ac:dyDescent="0.25">
      <c r="A210" t="s">
        <v>1214</v>
      </c>
      <c r="B210" t="str" cm="1">
        <f t="array" ref="B21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10" s="6">
        <v>45332.291666666664</v>
      </c>
      <c r="D210" t="str">
        <f t="shared" si="9"/>
        <v>Saturday</v>
      </c>
      <c r="E210" s="6">
        <v>45332.416666666664</v>
      </c>
      <c r="F210" s="6" t="str">
        <f t="shared" si="10"/>
        <v>Saturday</v>
      </c>
      <c r="G210" t="str">
        <f>IF(COUNTIF(INDEX(SkiResort_ParkingRevenue_Raw[License Plate],1):SkiResort_ParkingRevenue_Raw[[#This Row],[License Plate]],SkiResort_ParkingRevenue_Raw[[#This Row],[License Plate]])=1,"New","Returning")</f>
        <v>New</v>
      </c>
      <c r="H210">
        <v>24.99</v>
      </c>
      <c r="I210">
        <v>1</v>
      </c>
      <c r="J210" t="str">
        <f t="shared" si="11"/>
        <v>All Season</v>
      </c>
    </row>
    <row r="211" spans="1:10" x14ac:dyDescent="0.25">
      <c r="A211" t="s">
        <v>1219</v>
      </c>
      <c r="B211" t="str" cm="1">
        <f t="array" ref="B21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11" s="6">
        <v>45332.291666666664</v>
      </c>
      <c r="D211" t="str">
        <f t="shared" si="9"/>
        <v>Saturday</v>
      </c>
      <c r="E211" s="6">
        <v>45332.416666666664</v>
      </c>
      <c r="F211" s="6" t="str">
        <f t="shared" si="10"/>
        <v>Saturday</v>
      </c>
      <c r="G211" t="str">
        <f>IF(COUNTIF(INDEX(SkiResort_ParkingRevenue_Raw[License Plate],1):SkiResort_ParkingRevenue_Raw[[#This Row],[License Plate]],SkiResort_ParkingRevenue_Raw[[#This Row],[License Plate]])=1,"New","Returning")</f>
        <v>New</v>
      </c>
      <c r="H211">
        <v>24.99</v>
      </c>
      <c r="I211">
        <v>1</v>
      </c>
      <c r="J211" t="str">
        <f t="shared" si="11"/>
        <v>All Season</v>
      </c>
    </row>
    <row r="212" spans="1:10" x14ac:dyDescent="0.25">
      <c r="A212" t="s">
        <v>1232</v>
      </c>
      <c r="B212" t="str" cm="1">
        <f t="array" ref="B21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12" s="6">
        <v>45332.291666666664</v>
      </c>
      <c r="D212" t="str">
        <f t="shared" si="9"/>
        <v>Saturday</v>
      </c>
      <c r="E212" s="6">
        <v>45332.416666666664</v>
      </c>
      <c r="F212" s="6" t="str">
        <f t="shared" si="10"/>
        <v>Saturday</v>
      </c>
      <c r="G212" t="str">
        <f>IF(COUNTIF(INDEX(SkiResort_ParkingRevenue_Raw[License Plate],1):SkiResort_ParkingRevenue_Raw[[#This Row],[License Plate]],SkiResort_ParkingRevenue_Raw[[#This Row],[License Plate]])=1,"New","Returning")</f>
        <v>New</v>
      </c>
      <c r="H212">
        <v>24.99</v>
      </c>
      <c r="I212">
        <v>1</v>
      </c>
      <c r="J212" t="str">
        <f t="shared" si="11"/>
        <v>All Season</v>
      </c>
    </row>
    <row r="213" spans="1:10" x14ac:dyDescent="0.25">
      <c r="A213" t="s">
        <v>1242</v>
      </c>
      <c r="B213" t="str" cm="1">
        <f t="array" ref="B21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13" s="6">
        <v>45332.291666666664</v>
      </c>
      <c r="D213" t="str">
        <f t="shared" si="9"/>
        <v>Saturday</v>
      </c>
      <c r="E213" s="6">
        <v>45332.416666666664</v>
      </c>
      <c r="F213" s="6" t="str">
        <f t="shared" si="10"/>
        <v>Saturday</v>
      </c>
      <c r="G213" t="str">
        <f>IF(COUNTIF(INDEX(SkiResort_ParkingRevenue_Raw[License Plate],1):SkiResort_ParkingRevenue_Raw[[#This Row],[License Plate]],SkiResort_ParkingRevenue_Raw[[#This Row],[License Plate]])=1,"New","Returning")</f>
        <v>New</v>
      </c>
      <c r="H213">
        <v>19.989999999999998</v>
      </c>
      <c r="I213">
        <v>1</v>
      </c>
      <c r="J213" t="str">
        <f t="shared" si="11"/>
        <v>All Season</v>
      </c>
    </row>
    <row r="214" spans="1:10" x14ac:dyDescent="0.25">
      <c r="A214" t="s">
        <v>1230</v>
      </c>
      <c r="B214" t="str" cm="1">
        <f t="array" ref="B21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14" s="6">
        <v>45332.396597222221</v>
      </c>
      <c r="D214" t="str">
        <f t="shared" si="9"/>
        <v>Saturday</v>
      </c>
      <c r="E214" s="6">
        <v>45332.416666666664</v>
      </c>
      <c r="F214" s="6" t="str">
        <f t="shared" si="10"/>
        <v>Saturday</v>
      </c>
      <c r="G214" t="str">
        <f>IF(COUNTIF(INDEX(SkiResort_ParkingRevenue_Raw[License Plate],1):SkiResort_ParkingRevenue_Raw[[#This Row],[License Plate]],SkiResort_ParkingRevenue_Raw[[#This Row],[License Plate]])=1,"New","Returning")</f>
        <v>Returning</v>
      </c>
      <c r="H214">
        <v>24.99</v>
      </c>
      <c r="I214">
        <v>1</v>
      </c>
      <c r="J214" t="str">
        <f t="shared" si="11"/>
        <v>All Season</v>
      </c>
    </row>
    <row r="215" spans="1:10" x14ac:dyDescent="0.25">
      <c r="A215" t="s">
        <v>1247</v>
      </c>
      <c r="B215" t="str" cm="1">
        <f t="array" ref="B21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15" s="6">
        <v>45333.291666666664</v>
      </c>
      <c r="D215" t="str">
        <f t="shared" si="9"/>
        <v>Sunday</v>
      </c>
      <c r="E215" s="6">
        <v>45333.416666666664</v>
      </c>
      <c r="F215" s="6" t="str">
        <f t="shared" si="10"/>
        <v>Sunday</v>
      </c>
      <c r="G215" t="str">
        <f>IF(COUNTIF(INDEX(SkiResort_ParkingRevenue_Raw[License Plate],1):SkiResort_ParkingRevenue_Raw[[#This Row],[License Plate]],SkiResort_ParkingRevenue_Raw[[#This Row],[License Plate]])=1,"New","Returning")</f>
        <v>Returning</v>
      </c>
      <c r="H215">
        <v>24.99</v>
      </c>
      <c r="I215">
        <v>1</v>
      </c>
      <c r="J215" t="str">
        <f t="shared" si="11"/>
        <v>All Season</v>
      </c>
    </row>
    <row r="216" spans="1:10" x14ac:dyDescent="0.25">
      <c r="A216" t="s">
        <v>815</v>
      </c>
      <c r="B216" t="str" cm="1">
        <f t="array" ref="B21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16" s="6">
        <v>45338.291666666664</v>
      </c>
      <c r="D216" t="str">
        <f t="shared" si="9"/>
        <v>Friday</v>
      </c>
      <c r="E216" s="6">
        <v>45338.416666666664</v>
      </c>
      <c r="F216" s="6" t="str">
        <f t="shared" si="10"/>
        <v>Friday</v>
      </c>
      <c r="G216" t="str">
        <f>IF(COUNTIF(INDEX(SkiResort_ParkingRevenue_Raw[License Plate],1):SkiResort_ParkingRevenue_Raw[[#This Row],[License Plate]],SkiResort_ParkingRevenue_Raw[[#This Row],[License Plate]])=1,"New","Returning")</f>
        <v>New</v>
      </c>
      <c r="H216">
        <v>19.989999999999998</v>
      </c>
      <c r="I216">
        <v>1</v>
      </c>
      <c r="J216" t="str">
        <f t="shared" si="11"/>
        <v>All Season</v>
      </c>
    </row>
    <row r="217" spans="1:10" x14ac:dyDescent="0.25">
      <c r="A217" t="s">
        <v>943</v>
      </c>
      <c r="B217" t="str" cm="1">
        <f t="array" ref="B21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17" s="6">
        <v>45338.291666666664</v>
      </c>
      <c r="D217" t="str">
        <f t="shared" si="9"/>
        <v>Friday</v>
      </c>
      <c r="E217" s="6">
        <v>45338.416666666664</v>
      </c>
      <c r="F217" s="6" t="str">
        <f t="shared" si="10"/>
        <v>Friday</v>
      </c>
      <c r="G217" t="str">
        <f>IF(COUNTIF(INDEX(SkiResort_ParkingRevenue_Raw[License Plate],1):SkiResort_ParkingRevenue_Raw[[#This Row],[License Plate]],SkiResort_ParkingRevenue_Raw[[#This Row],[License Plate]])=1,"New","Returning")</f>
        <v>New</v>
      </c>
      <c r="H217">
        <v>19.989999999999998</v>
      </c>
      <c r="I217">
        <v>1</v>
      </c>
      <c r="J217" t="str">
        <f t="shared" si="11"/>
        <v>All Season</v>
      </c>
    </row>
    <row r="218" spans="1:10" x14ac:dyDescent="0.25">
      <c r="A218" t="s">
        <v>790</v>
      </c>
      <c r="B218" t="str" cm="1">
        <f t="array" ref="B21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18" s="6">
        <v>45339.291666666664</v>
      </c>
      <c r="D218" t="str">
        <f t="shared" si="9"/>
        <v>Saturday</v>
      </c>
      <c r="E218" s="6">
        <v>45339.416666666664</v>
      </c>
      <c r="F218" s="6" t="str">
        <f t="shared" si="10"/>
        <v>Saturday</v>
      </c>
      <c r="G218" t="str">
        <f>IF(COUNTIF(INDEX(SkiResort_ParkingRevenue_Raw[License Plate],1):SkiResort_ParkingRevenue_Raw[[#This Row],[License Plate]],SkiResort_ParkingRevenue_Raw[[#This Row],[License Plate]])=1,"New","Returning")</f>
        <v>New</v>
      </c>
      <c r="H218">
        <v>49.98</v>
      </c>
      <c r="I218">
        <v>2</v>
      </c>
      <c r="J218" t="str">
        <f t="shared" si="11"/>
        <v>All Season</v>
      </c>
    </row>
    <row r="219" spans="1:10" x14ac:dyDescent="0.25">
      <c r="A219" t="s">
        <v>791</v>
      </c>
      <c r="B219" t="str" cm="1">
        <f t="array" ref="B21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19" s="6">
        <v>45339.291666666664</v>
      </c>
      <c r="D219" t="str">
        <f t="shared" si="9"/>
        <v>Saturday</v>
      </c>
      <c r="E219" s="6">
        <v>45339.416666666664</v>
      </c>
      <c r="F219" s="6" t="str">
        <f t="shared" si="10"/>
        <v>Saturday</v>
      </c>
      <c r="G219" t="str">
        <f>IF(COUNTIF(INDEX(SkiResort_ParkingRevenue_Raw[License Plate],1):SkiResort_ParkingRevenue_Raw[[#This Row],[License Plate]],SkiResort_ParkingRevenue_Raw[[#This Row],[License Plate]])=1,"New","Returning")</f>
        <v>Returning</v>
      </c>
      <c r="H219">
        <v>39.979999999999997</v>
      </c>
      <c r="I219">
        <v>2</v>
      </c>
      <c r="J219" t="str">
        <f t="shared" si="11"/>
        <v>All Season</v>
      </c>
    </row>
    <row r="220" spans="1:10" x14ac:dyDescent="0.25">
      <c r="A220" t="s">
        <v>825</v>
      </c>
      <c r="B220" t="str" cm="1">
        <f t="array" ref="B22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20" s="6">
        <v>45339.291666666664</v>
      </c>
      <c r="D220" t="str">
        <f t="shared" si="9"/>
        <v>Saturday</v>
      </c>
      <c r="E220" s="6">
        <v>45339.416666666664</v>
      </c>
      <c r="F220" s="6" t="str">
        <f t="shared" si="10"/>
        <v>Saturday</v>
      </c>
      <c r="G220" t="str">
        <f>IF(COUNTIF(INDEX(SkiResort_ParkingRevenue_Raw[License Plate],1):SkiResort_ParkingRevenue_Raw[[#This Row],[License Plate]],SkiResort_ParkingRevenue_Raw[[#This Row],[License Plate]])=1,"New","Returning")</f>
        <v>New</v>
      </c>
      <c r="H220">
        <v>24.99</v>
      </c>
      <c r="I220">
        <v>1</v>
      </c>
      <c r="J220" t="str">
        <f t="shared" si="11"/>
        <v>All Season</v>
      </c>
    </row>
    <row r="221" spans="1:10" x14ac:dyDescent="0.25">
      <c r="A221" t="s">
        <v>888</v>
      </c>
      <c r="B221" t="str" cm="1">
        <f t="array" ref="B22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21" s="6">
        <v>45339.291666666664</v>
      </c>
      <c r="D221" t="str">
        <f t="shared" si="9"/>
        <v>Saturday</v>
      </c>
      <c r="E221" s="6">
        <v>45339.416666666664</v>
      </c>
      <c r="F221" s="6" t="str">
        <f t="shared" si="10"/>
        <v>Saturday</v>
      </c>
      <c r="G221" t="str">
        <f>IF(COUNTIF(INDEX(SkiResort_ParkingRevenue_Raw[License Plate],1):SkiResort_ParkingRevenue_Raw[[#This Row],[License Plate]],SkiResort_ParkingRevenue_Raw[[#This Row],[License Plate]])=1,"New","Returning")</f>
        <v>New</v>
      </c>
      <c r="H221">
        <v>24.99</v>
      </c>
      <c r="I221">
        <v>1</v>
      </c>
      <c r="J221" t="str">
        <f t="shared" si="11"/>
        <v>All Season</v>
      </c>
    </row>
    <row r="222" spans="1:10" x14ac:dyDescent="0.25">
      <c r="A222" t="s">
        <v>893</v>
      </c>
      <c r="B222" t="str" cm="1">
        <f t="array" ref="B22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22" s="6">
        <v>45339.291666666664</v>
      </c>
      <c r="D222" t="str">
        <f t="shared" si="9"/>
        <v>Saturday</v>
      </c>
      <c r="E222" s="6">
        <v>45339.416666666664</v>
      </c>
      <c r="F222" s="6" t="str">
        <f t="shared" si="10"/>
        <v>Saturday</v>
      </c>
      <c r="G222" t="str">
        <f>IF(COUNTIF(INDEX(SkiResort_ParkingRevenue_Raw[License Plate],1):SkiResort_ParkingRevenue_Raw[[#This Row],[License Plate]],SkiResort_ParkingRevenue_Raw[[#This Row],[License Plate]])=1,"New","Returning")</f>
        <v>New</v>
      </c>
      <c r="H222">
        <v>24.99</v>
      </c>
      <c r="I222">
        <v>1</v>
      </c>
      <c r="J222" t="str">
        <f t="shared" si="11"/>
        <v>All Season</v>
      </c>
    </row>
    <row r="223" spans="1:10" x14ac:dyDescent="0.25">
      <c r="A223" t="s">
        <v>962</v>
      </c>
      <c r="B223" t="str" cm="1">
        <f t="array" ref="B22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23" s="6">
        <v>45339.291666666664</v>
      </c>
      <c r="D223" t="str">
        <f t="shared" si="9"/>
        <v>Saturday</v>
      </c>
      <c r="E223" s="6">
        <v>45339.416666666664</v>
      </c>
      <c r="F223" s="6" t="str">
        <f t="shared" si="10"/>
        <v>Saturday</v>
      </c>
      <c r="G223" t="str">
        <f>IF(COUNTIF(INDEX(SkiResort_ParkingRevenue_Raw[License Plate],1):SkiResort_ParkingRevenue_Raw[[#This Row],[License Plate]],SkiResort_ParkingRevenue_Raw[[#This Row],[License Plate]])=1,"New","Returning")</f>
        <v>New</v>
      </c>
      <c r="H223">
        <v>24.99</v>
      </c>
      <c r="I223">
        <v>1</v>
      </c>
      <c r="J223" t="str">
        <f t="shared" si="11"/>
        <v>All Season</v>
      </c>
    </row>
    <row r="224" spans="1:10" x14ac:dyDescent="0.25">
      <c r="A224" t="s">
        <v>972</v>
      </c>
      <c r="B224" t="str" cm="1">
        <f t="array" ref="B22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24" s="6">
        <v>45339.291666666664</v>
      </c>
      <c r="D224" t="str">
        <f t="shared" si="9"/>
        <v>Saturday</v>
      </c>
      <c r="E224" s="6">
        <v>45339.416666666664</v>
      </c>
      <c r="F224" s="6" t="str">
        <f t="shared" si="10"/>
        <v>Saturday</v>
      </c>
      <c r="G224" t="str">
        <f>IF(COUNTIF(INDEX(SkiResort_ParkingRevenue_Raw[License Plate],1):SkiResort_ParkingRevenue_Raw[[#This Row],[License Plate]],SkiResort_ParkingRevenue_Raw[[#This Row],[License Plate]])=1,"New","Returning")</f>
        <v>New</v>
      </c>
      <c r="H224">
        <v>24.99</v>
      </c>
      <c r="I224">
        <v>1</v>
      </c>
      <c r="J224" t="str">
        <f t="shared" si="11"/>
        <v>All Season</v>
      </c>
    </row>
    <row r="225" spans="1:10" x14ac:dyDescent="0.25">
      <c r="A225" t="s">
        <v>982</v>
      </c>
      <c r="B225" t="str" cm="1">
        <f t="array" ref="B22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25" s="6">
        <v>45339.291666666664</v>
      </c>
      <c r="D225" t="str">
        <f t="shared" si="9"/>
        <v>Saturday</v>
      </c>
      <c r="E225" s="6">
        <v>45339.416666666664</v>
      </c>
      <c r="F225" s="6" t="str">
        <f t="shared" si="10"/>
        <v>Saturday</v>
      </c>
      <c r="G225" t="str">
        <f>IF(COUNTIF(INDEX(SkiResort_ParkingRevenue_Raw[License Plate],1):SkiResort_ParkingRevenue_Raw[[#This Row],[License Plate]],SkiResort_ParkingRevenue_Raw[[#This Row],[License Plate]])=1,"New","Returning")</f>
        <v>New</v>
      </c>
      <c r="H225">
        <v>24.99</v>
      </c>
      <c r="I225">
        <v>1</v>
      </c>
      <c r="J225" t="str">
        <f t="shared" si="11"/>
        <v>All Season</v>
      </c>
    </row>
    <row r="226" spans="1:10" x14ac:dyDescent="0.25">
      <c r="A226" t="s">
        <v>987</v>
      </c>
      <c r="B226" t="str" cm="1">
        <f t="array" ref="B22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26" s="6">
        <v>45339.291666666664</v>
      </c>
      <c r="D226" t="str">
        <f t="shared" si="9"/>
        <v>Saturday</v>
      </c>
      <c r="E226" s="6">
        <v>45339.416666666664</v>
      </c>
      <c r="F226" s="6" t="str">
        <f t="shared" si="10"/>
        <v>Saturday</v>
      </c>
      <c r="G226" t="str">
        <f>IF(COUNTIF(INDEX(SkiResort_ParkingRevenue_Raw[License Plate],1):SkiResort_ParkingRevenue_Raw[[#This Row],[License Plate]],SkiResort_ParkingRevenue_Raw[[#This Row],[License Plate]])=1,"New","Returning")</f>
        <v>New</v>
      </c>
      <c r="H226">
        <v>24.99</v>
      </c>
      <c r="I226">
        <v>1</v>
      </c>
      <c r="J226" t="str">
        <f t="shared" si="11"/>
        <v>All Season</v>
      </c>
    </row>
    <row r="227" spans="1:10" x14ac:dyDescent="0.25">
      <c r="A227" t="s">
        <v>998</v>
      </c>
      <c r="B227" t="str" cm="1">
        <f t="array" ref="B22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27" s="6">
        <v>45339.291666666664</v>
      </c>
      <c r="D227" t="str">
        <f t="shared" si="9"/>
        <v>Saturday</v>
      </c>
      <c r="E227" s="6">
        <v>45339.416666666664</v>
      </c>
      <c r="F227" s="6" t="str">
        <f t="shared" si="10"/>
        <v>Saturday</v>
      </c>
      <c r="G227" t="str">
        <f>IF(COUNTIF(INDEX(SkiResort_ParkingRevenue_Raw[License Plate],1):SkiResort_ParkingRevenue_Raw[[#This Row],[License Plate]],SkiResort_ParkingRevenue_Raw[[#This Row],[License Plate]])=1,"New","Returning")</f>
        <v>New</v>
      </c>
      <c r="H227">
        <v>49.98</v>
      </c>
      <c r="I227">
        <v>2</v>
      </c>
      <c r="J227" t="str">
        <f t="shared" si="11"/>
        <v>All Season</v>
      </c>
    </row>
    <row r="228" spans="1:10" x14ac:dyDescent="0.25">
      <c r="A228" t="s">
        <v>1025</v>
      </c>
      <c r="B228" t="str" cm="1">
        <f t="array" ref="B22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28" s="6">
        <v>45339.291666666664</v>
      </c>
      <c r="D228" t="str">
        <f t="shared" si="9"/>
        <v>Saturday</v>
      </c>
      <c r="E228" s="6">
        <v>45339.416666666664</v>
      </c>
      <c r="F228" s="6" t="str">
        <f t="shared" si="10"/>
        <v>Saturday</v>
      </c>
      <c r="G228" t="str">
        <f>IF(COUNTIF(INDEX(SkiResort_ParkingRevenue_Raw[License Plate],1):SkiResort_ParkingRevenue_Raw[[#This Row],[License Plate]],SkiResort_ParkingRevenue_Raw[[#This Row],[License Plate]])=1,"New","Returning")</f>
        <v>New</v>
      </c>
      <c r="H228">
        <v>24.99</v>
      </c>
      <c r="I228">
        <v>1</v>
      </c>
      <c r="J228" t="str">
        <f t="shared" si="11"/>
        <v>All Season</v>
      </c>
    </row>
    <row r="229" spans="1:10" x14ac:dyDescent="0.25">
      <c r="A229" t="s">
        <v>1029</v>
      </c>
      <c r="B229" t="str" cm="1">
        <f t="array" ref="B22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29" s="6">
        <v>45339.291666666664</v>
      </c>
      <c r="D229" t="str">
        <f t="shared" si="9"/>
        <v>Saturday</v>
      </c>
      <c r="E229" s="6">
        <v>45339.416666666664</v>
      </c>
      <c r="F229" s="6" t="str">
        <f t="shared" si="10"/>
        <v>Saturday</v>
      </c>
      <c r="G229" t="str">
        <f>IF(COUNTIF(INDEX(SkiResort_ParkingRevenue_Raw[License Plate],1):SkiResort_ParkingRevenue_Raw[[#This Row],[License Plate]],SkiResort_ParkingRevenue_Raw[[#This Row],[License Plate]])=1,"New","Returning")</f>
        <v>Returning</v>
      </c>
      <c r="H229">
        <v>24.99</v>
      </c>
      <c r="I229">
        <v>1</v>
      </c>
      <c r="J229" t="str">
        <f t="shared" si="11"/>
        <v>All Season</v>
      </c>
    </row>
    <row r="230" spans="1:10" x14ac:dyDescent="0.25">
      <c r="A230" t="s">
        <v>1030</v>
      </c>
      <c r="B230" t="str" cm="1">
        <f t="array" ref="B23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30" s="6">
        <v>45339.291666666664</v>
      </c>
      <c r="D230" t="str">
        <f t="shared" si="9"/>
        <v>Saturday</v>
      </c>
      <c r="E230" s="6">
        <v>45339.416666666664</v>
      </c>
      <c r="F230" s="6" t="str">
        <f t="shared" si="10"/>
        <v>Saturday</v>
      </c>
      <c r="G230" t="str">
        <f>IF(COUNTIF(INDEX(SkiResort_ParkingRevenue_Raw[License Plate],1):SkiResort_ParkingRevenue_Raw[[#This Row],[License Plate]],SkiResort_ParkingRevenue_Raw[[#This Row],[License Plate]])=1,"New","Returning")</f>
        <v>Returning</v>
      </c>
      <c r="H230">
        <v>24.99</v>
      </c>
      <c r="I230">
        <v>1</v>
      </c>
      <c r="J230" t="str">
        <f t="shared" si="11"/>
        <v>All Season</v>
      </c>
    </row>
    <row r="231" spans="1:10" x14ac:dyDescent="0.25">
      <c r="A231" t="s">
        <v>1032</v>
      </c>
      <c r="B231" t="str" cm="1">
        <f t="array" ref="B23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31" s="6">
        <v>45339.291666666664</v>
      </c>
      <c r="D231" t="str">
        <f t="shared" si="9"/>
        <v>Saturday</v>
      </c>
      <c r="E231" s="6">
        <v>45339.416666666664</v>
      </c>
      <c r="F231" s="6" t="str">
        <f t="shared" si="10"/>
        <v>Saturday</v>
      </c>
      <c r="G231" t="str">
        <f>IF(COUNTIF(INDEX(SkiResort_ParkingRevenue_Raw[License Plate],1):SkiResort_ParkingRevenue_Raw[[#This Row],[License Plate]],SkiResort_ParkingRevenue_Raw[[#This Row],[License Plate]])=1,"New","Returning")</f>
        <v>New</v>
      </c>
      <c r="H231">
        <v>49.98</v>
      </c>
      <c r="I231">
        <v>2</v>
      </c>
      <c r="J231" t="str">
        <f t="shared" si="11"/>
        <v>All Season</v>
      </c>
    </row>
    <row r="232" spans="1:10" x14ac:dyDescent="0.25">
      <c r="A232" t="s">
        <v>1043</v>
      </c>
      <c r="B232" t="str" cm="1">
        <f t="array" ref="B23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32" s="6">
        <v>45339.291666666664</v>
      </c>
      <c r="D232" t="str">
        <f t="shared" si="9"/>
        <v>Saturday</v>
      </c>
      <c r="E232" s="6">
        <v>45339.416666666664</v>
      </c>
      <c r="F232" s="6" t="str">
        <f t="shared" si="10"/>
        <v>Saturday</v>
      </c>
      <c r="G232" t="str">
        <f>IF(COUNTIF(INDEX(SkiResort_ParkingRevenue_Raw[License Plate],1):SkiResort_ParkingRevenue_Raw[[#This Row],[License Plate]],SkiResort_ParkingRevenue_Raw[[#This Row],[License Plate]])=1,"New","Returning")</f>
        <v>New</v>
      </c>
      <c r="H232">
        <v>24.99</v>
      </c>
      <c r="I232">
        <v>1</v>
      </c>
      <c r="J232" t="str">
        <f t="shared" si="11"/>
        <v>All Season</v>
      </c>
    </row>
    <row r="233" spans="1:10" x14ac:dyDescent="0.25">
      <c r="A233" t="s">
        <v>1059</v>
      </c>
      <c r="B233" t="str" cm="1">
        <f t="array" ref="B23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33" s="6">
        <v>45339.291666666664</v>
      </c>
      <c r="D233" t="str">
        <f t="shared" si="9"/>
        <v>Saturday</v>
      </c>
      <c r="E233" s="6">
        <v>45339.416666666664</v>
      </c>
      <c r="F233" s="6" t="str">
        <f t="shared" si="10"/>
        <v>Saturday</v>
      </c>
      <c r="G233" t="str">
        <f>IF(COUNTIF(INDEX(SkiResort_ParkingRevenue_Raw[License Plate],1):SkiResort_ParkingRevenue_Raw[[#This Row],[License Plate]],SkiResort_ParkingRevenue_Raw[[#This Row],[License Plate]])=1,"New","Returning")</f>
        <v>New</v>
      </c>
      <c r="H233">
        <v>24.99</v>
      </c>
      <c r="I233">
        <v>1</v>
      </c>
      <c r="J233" t="str">
        <f t="shared" si="11"/>
        <v>All Season</v>
      </c>
    </row>
    <row r="234" spans="1:10" x14ac:dyDescent="0.25">
      <c r="A234" t="s">
        <v>1111</v>
      </c>
      <c r="B234" t="str" cm="1">
        <f t="array" ref="B23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34" s="6">
        <v>45339.291666666664</v>
      </c>
      <c r="D234" t="str">
        <f t="shared" si="9"/>
        <v>Saturday</v>
      </c>
      <c r="E234" s="6">
        <v>45339.416666666664</v>
      </c>
      <c r="F234" s="6" t="str">
        <f t="shared" si="10"/>
        <v>Saturday</v>
      </c>
      <c r="G234" t="str">
        <f>IF(COUNTIF(INDEX(SkiResort_ParkingRevenue_Raw[License Plate],1):SkiResort_ParkingRevenue_Raw[[#This Row],[License Plate]],SkiResort_ParkingRevenue_Raw[[#This Row],[License Plate]])=1,"New","Returning")</f>
        <v>Returning</v>
      </c>
      <c r="H234">
        <v>24.99</v>
      </c>
      <c r="I234">
        <v>1</v>
      </c>
      <c r="J234" t="str">
        <f t="shared" si="11"/>
        <v>All Season</v>
      </c>
    </row>
    <row r="235" spans="1:10" x14ac:dyDescent="0.25">
      <c r="A235" t="s">
        <v>1119</v>
      </c>
      <c r="B235" t="str" cm="1">
        <f t="array" ref="B23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35" s="6">
        <v>45339.291666666664</v>
      </c>
      <c r="D235" t="str">
        <f t="shared" si="9"/>
        <v>Saturday</v>
      </c>
      <c r="E235" s="6">
        <v>45339.416666666664</v>
      </c>
      <c r="F235" s="6" t="str">
        <f t="shared" si="10"/>
        <v>Saturday</v>
      </c>
      <c r="G235" t="str">
        <f>IF(COUNTIF(INDEX(SkiResort_ParkingRevenue_Raw[License Plate],1):SkiResort_ParkingRevenue_Raw[[#This Row],[License Plate]],SkiResort_ParkingRevenue_Raw[[#This Row],[License Plate]])=1,"New","Returning")</f>
        <v>New</v>
      </c>
      <c r="H235">
        <v>49.98</v>
      </c>
      <c r="I235">
        <v>2</v>
      </c>
      <c r="J235" t="str">
        <f t="shared" si="11"/>
        <v>All Season</v>
      </c>
    </row>
    <row r="236" spans="1:10" x14ac:dyDescent="0.25">
      <c r="A236" t="s">
        <v>1064</v>
      </c>
      <c r="B236" t="str" cm="1">
        <f t="array" ref="B23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36" s="6">
        <v>45339.430717592593</v>
      </c>
      <c r="D236" t="str">
        <f t="shared" si="9"/>
        <v>Saturday</v>
      </c>
      <c r="E236" s="6">
        <v>45339.416666666664</v>
      </c>
      <c r="F236" s="6" t="str">
        <f t="shared" si="10"/>
        <v>Saturday</v>
      </c>
      <c r="G236" t="str">
        <f>IF(COUNTIF(INDEX(SkiResort_ParkingRevenue_Raw[License Plate],1):SkiResort_ParkingRevenue_Raw[[#This Row],[License Plate]],SkiResort_ParkingRevenue_Raw[[#This Row],[License Plate]])=1,"New","Returning")</f>
        <v>New</v>
      </c>
      <c r="H236">
        <v>49.98</v>
      </c>
      <c r="I236">
        <v>2</v>
      </c>
      <c r="J236" t="str">
        <f t="shared" si="11"/>
        <v>All Season</v>
      </c>
    </row>
    <row r="237" spans="1:10" x14ac:dyDescent="0.25">
      <c r="A237" t="s">
        <v>785</v>
      </c>
      <c r="B237" t="str" cm="1">
        <f t="array" ref="B23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37" s="6">
        <v>45340.291666666664</v>
      </c>
      <c r="D237" t="str">
        <f t="shared" si="9"/>
        <v>Sunday</v>
      </c>
      <c r="E237" s="6">
        <v>45340.416666666664</v>
      </c>
      <c r="F237" s="6" t="str">
        <f t="shared" si="10"/>
        <v>Sunday</v>
      </c>
      <c r="G237" t="str">
        <f>IF(COUNTIF(INDEX(SkiResort_ParkingRevenue_Raw[License Plate],1):SkiResort_ParkingRevenue_Raw[[#This Row],[License Plate]],SkiResort_ParkingRevenue_Raw[[#This Row],[License Plate]])=1,"New","Returning")</f>
        <v>Returning</v>
      </c>
      <c r="H237">
        <v>49.98</v>
      </c>
      <c r="I237">
        <v>2</v>
      </c>
      <c r="J237" t="str">
        <f t="shared" si="11"/>
        <v>All Season</v>
      </c>
    </row>
    <row r="238" spans="1:10" x14ac:dyDescent="0.25">
      <c r="A238" t="s">
        <v>827</v>
      </c>
      <c r="B238" t="str" cm="1">
        <f t="array" ref="B23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38" s="6">
        <v>45340.291666666664</v>
      </c>
      <c r="D238" t="str">
        <f t="shared" si="9"/>
        <v>Sunday</v>
      </c>
      <c r="E238" s="6">
        <v>45340.416666666664</v>
      </c>
      <c r="F238" s="6" t="str">
        <f t="shared" si="10"/>
        <v>Sunday</v>
      </c>
      <c r="G238" t="str">
        <f>IF(COUNTIF(INDEX(SkiResort_ParkingRevenue_Raw[License Plate],1):SkiResort_ParkingRevenue_Raw[[#This Row],[License Plate]],SkiResort_ParkingRevenue_Raw[[#This Row],[License Plate]])=1,"New","Returning")</f>
        <v>Returning</v>
      </c>
      <c r="H238">
        <v>24.99</v>
      </c>
      <c r="I238">
        <v>1</v>
      </c>
      <c r="J238" t="str">
        <f t="shared" si="11"/>
        <v>All Season</v>
      </c>
    </row>
    <row r="239" spans="1:10" x14ac:dyDescent="0.25">
      <c r="A239" t="s">
        <v>896</v>
      </c>
      <c r="B239" t="str" cm="1">
        <f t="array" ref="B23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39" s="6">
        <v>45340.291666666664</v>
      </c>
      <c r="D239" t="str">
        <f t="shared" si="9"/>
        <v>Sunday</v>
      </c>
      <c r="E239" s="6">
        <v>45340.416666666664</v>
      </c>
      <c r="F239" s="6" t="str">
        <f t="shared" si="10"/>
        <v>Sunday</v>
      </c>
      <c r="G239" t="str">
        <f>IF(COUNTIF(INDEX(SkiResort_ParkingRevenue_Raw[License Plate],1):SkiResort_ParkingRevenue_Raw[[#This Row],[License Plate]],SkiResort_ParkingRevenue_Raw[[#This Row],[License Plate]])=1,"New","Returning")</f>
        <v>New</v>
      </c>
      <c r="H239">
        <v>24.99</v>
      </c>
      <c r="I239">
        <v>1</v>
      </c>
      <c r="J239" t="str">
        <f t="shared" si="11"/>
        <v>All Season</v>
      </c>
    </row>
    <row r="240" spans="1:10" x14ac:dyDescent="0.25">
      <c r="A240" t="s">
        <v>1003</v>
      </c>
      <c r="B240" t="str" cm="1">
        <f t="array" ref="B24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40" s="6">
        <v>45340.291666666664</v>
      </c>
      <c r="D240" t="str">
        <f t="shared" si="9"/>
        <v>Sunday</v>
      </c>
      <c r="E240" s="6">
        <v>45340.416666666664</v>
      </c>
      <c r="F240" s="6" t="str">
        <f t="shared" si="10"/>
        <v>Sunday</v>
      </c>
      <c r="G240" t="str">
        <f>IF(COUNTIF(INDEX(SkiResort_ParkingRevenue_Raw[License Plate],1):SkiResort_ParkingRevenue_Raw[[#This Row],[License Plate]],SkiResort_ParkingRevenue_Raw[[#This Row],[License Plate]])=1,"New","Returning")</f>
        <v>Returning</v>
      </c>
      <c r="H240">
        <v>49.98</v>
      </c>
      <c r="I240">
        <v>2</v>
      </c>
      <c r="J240" t="str">
        <f t="shared" si="11"/>
        <v>All Season</v>
      </c>
    </row>
    <row r="241" spans="1:10" x14ac:dyDescent="0.25">
      <c r="A241" t="s">
        <v>1004</v>
      </c>
      <c r="B241" t="str" cm="1">
        <f t="array" ref="B24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41" s="6">
        <v>45340.291666666664</v>
      </c>
      <c r="D241" t="str">
        <f t="shared" si="9"/>
        <v>Sunday</v>
      </c>
      <c r="E241" s="6">
        <v>45340.416666666664</v>
      </c>
      <c r="F241" s="6" t="str">
        <f t="shared" si="10"/>
        <v>Sunday</v>
      </c>
      <c r="G241" t="str">
        <f>IF(COUNTIF(INDEX(SkiResort_ParkingRevenue_Raw[License Plate],1):SkiResort_ParkingRevenue_Raw[[#This Row],[License Plate]],SkiResort_ParkingRevenue_Raw[[#This Row],[License Plate]])=1,"New","Returning")</f>
        <v>New</v>
      </c>
      <c r="H241">
        <v>24.99</v>
      </c>
      <c r="I241">
        <v>1</v>
      </c>
      <c r="J241" t="str">
        <f t="shared" si="11"/>
        <v>All Season</v>
      </c>
    </row>
    <row r="242" spans="1:10" x14ac:dyDescent="0.25">
      <c r="A242" t="s">
        <v>1020</v>
      </c>
      <c r="B242" t="str" cm="1">
        <f t="array" ref="B24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42" s="6">
        <v>45340.291666666664</v>
      </c>
      <c r="D242" t="str">
        <f t="shared" si="9"/>
        <v>Sunday</v>
      </c>
      <c r="E242" s="6">
        <v>45340.416666666664</v>
      </c>
      <c r="F242" s="6" t="str">
        <f t="shared" si="10"/>
        <v>Sunday</v>
      </c>
      <c r="G242" t="str">
        <f>IF(COUNTIF(INDEX(SkiResort_ParkingRevenue_Raw[License Plate],1):SkiResort_ParkingRevenue_Raw[[#This Row],[License Plate]],SkiResort_ParkingRevenue_Raw[[#This Row],[License Plate]])=1,"New","Returning")</f>
        <v>New</v>
      </c>
      <c r="H242">
        <v>24.99</v>
      </c>
      <c r="I242">
        <v>1</v>
      </c>
      <c r="J242" t="str">
        <f t="shared" si="11"/>
        <v>All Season</v>
      </c>
    </row>
    <row r="243" spans="1:10" x14ac:dyDescent="0.25">
      <c r="A243" t="s">
        <v>1037</v>
      </c>
      <c r="B243" t="str" cm="1">
        <f t="array" ref="B24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43" s="6">
        <v>45340.291666666664</v>
      </c>
      <c r="D243" t="str">
        <f t="shared" si="9"/>
        <v>Sunday</v>
      </c>
      <c r="E243" s="6">
        <v>45340.416666666664</v>
      </c>
      <c r="F243" s="6" t="str">
        <f t="shared" si="10"/>
        <v>Sunday</v>
      </c>
      <c r="G243" t="str">
        <f>IF(COUNTIF(INDEX(SkiResort_ParkingRevenue_Raw[License Plate],1):SkiResort_ParkingRevenue_Raw[[#This Row],[License Plate]],SkiResort_ParkingRevenue_Raw[[#This Row],[License Plate]])=1,"New","Returning")</f>
        <v>Returning</v>
      </c>
      <c r="H243">
        <v>49.98</v>
      </c>
      <c r="I243">
        <v>2</v>
      </c>
      <c r="J243" t="str">
        <f t="shared" si="11"/>
        <v>All Season</v>
      </c>
    </row>
    <row r="244" spans="1:10" x14ac:dyDescent="0.25">
      <c r="A244" t="s">
        <v>1038</v>
      </c>
      <c r="B244" t="str" cm="1">
        <f t="array" ref="B24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44" s="6">
        <v>45340.291666666664</v>
      </c>
      <c r="D244" t="str">
        <f t="shared" si="9"/>
        <v>Sunday</v>
      </c>
      <c r="E244" s="6">
        <v>45340.416666666664</v>
      </c>
      <c r="F244" s="6" t="str">
        <f t="shared" si="10"/>
        <v>Sunday</v>
      </c>
      <c r="G244" t="str">
        <f>IF(COUNTIF(INDEX(SkiResort_ParkingRevenue_Raw[License Plate],1):SkiResort_ParkingRevenue_Raw[[#This Row],[License Plate]],SkiResort_ParkingRevenue_Raw[[#This Row],[License Plate]])=1,"New","Returning")</f>
        <v>New</v>
      </c>
      <c r="H244">
        <v>24.99</v>
      </c>
      <c r="I244">
        <v>1</v>
      </c>
      <c r="J244" t="str">
        <f t="shared" si="11"/>
        <v>All Season</v>
      </c>
    </row>
    <row r="245" spans="1:10" x14ac:dyDescent="0.25">
      <c r="A245" t="s">
        <v>1048</v>
      </c>
      <c r="B245" t="str" cm="1">
        <f t="array" ref="B24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45" s="6">
        <v>45340.291666666664</v>
      </c>
      <c r="D245" t="str">
        <f t="shared" si="9"/>
        <v>Sunday</v>
      </c>
      <c r="E245" s="6">
        <v>45340.416666666664</v>
      </c>
      <c r="F245" s="6" t="str">
        <f t="shared" si="10"/>
        <v>Sunday</v>
      </c>
      <c r="G245" t="str">
        <f>IF(COUNTIF(INDEX(SkiResort_ParkingRevenue_Raw[License Plate],1):SkiResort_ParkingRevenue_Raw[[#This Row],[License Plate]],SkiResort_ParkingRevenue_Raw[[#This Row],[License Plate]])=1,"New","Returning")</f>
        <v>New</v>
      </c>
      <c r="H245">
        <v>24.99</v>
      </c>
      <c r="I245">
        <v>1</v>
      </c>
      <c r="J245" t="str">
        <f t="shared" si="11"/>
        <v>All Season</v>
      </c>
    </row>
    <row r="246" spans="1:10" x14ac:dyDescent="0.25">
      <c r="A246" t="s">
        <v>1069</v>
      </c>
      <c r="B246" t="str" cm="1">
        <f t="array" ref="B24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46" s="6">
        <v>45340.291666666664</v>
      </c>
      <c r="D246" t="str">
        <f t="shared" si="9"/>
        <v>Sunday</v>
      </c>
      <c r="E246" s="6">
        <v>45340.416666666664</v>
      </c>
      <c r="F246" s="6" t="str">
        <f t="shared" si="10"/>
        <v>Sunday</v>
      </c>
      <c r="G246" t="str">
        <f>IF(COUNTIF(INDEX(SkiResort_ParkingRevenue_Raw[License Plate],1):SkiResort_ParkingRevenue_Raw[[#This Row],[License Plate]],SkiResort_ParkingRevenue_Raw[[#This Row],[License Plate]])=1,"New","Returning")</f>
        <v>Returning</v>
      </c>
      <c r="H246">
        <v>49.98</v>
      </c>
      <c r="I246">
        <v>2</v>
      </c>
      <c r="J246" t="str">
        <f t="shared" si="11"/>
        <v>All Season</v>
      </c>
    </row>
    <row r="247" spans="1:10" x14ac:dyDescent="0.25">
      <c r="A247" t="s">
        <v>1070</v>
      </c>
      <c r="B247" t="str" cm="1">
        <f t="array" ref="B24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47" s="6">
        <v>45340.291666666664</v>
      </c>
      <c r="D247" t="str">
        <f t="shared" si="9"/>
        <v>Sunday</v>
      </c>
      <c r="E247" s="6">
        <v>45340.416666666664</v>
      </c>
      <c r="F247" s="6" t="str">
        <f t="shared" si="10"/>
        <v>Sunday</v>
      </c>
      <c r="G247" t="str">
        <f>IF(COUNTIF(INDEX(SkiResort_ParkingRevenue_Raw[License Plate],1):SkiResort_ParkingRevenue_Raw[[#This Row],[License Plate]],SkiResort_ParkingRevenue_Raw[[#This Row],[License Plate]])=1,"New","Returning")</f>
        <v>New</v>
      </c>
      <c r="H247">
        <v>24.99</v>
      </c>
      <c r="I247">
        <v>1</v>
      </c>
      <c r="J247" t="str">
        <f t="shared" si="11"/>
        <v>All Season</v>
      </c>
    </row>
    <row r="248" spans="1:10" x14ac:dyDescent="0.25">
      <c r="A248" t="s">
        <v>1081</v>
      </c>
      <c r="B248" t="str" cm="1">
        <f t="array" ref="B24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48" s="6">
        <v>45340.291666666664</v>
      </c>
      <c r="D248" t="str">
        <f t="shared" si="9"/>
        <v>Sunday</v>
      </c>
      <c r="E248" s="6">
        <v>45340.416666666664</v>
      </c>
      <c r="F248" s="6" t="str">
        <f t="shared" si="10"/>
        <v>Sunday</v>
      </c>
      <c r="G248" t="str">
        <f>IF(COUNTIF(INDEX(SkiResort_ParkingRevenue_Raw[License Plate],1):SkiResort_ParkingRevenue_Raw[[#This Row],[License Plate]],SkiResort_ParkingRevenue_Raw[[#This Row],[License Plate]])=1,"New","Returning")</f>
        <v>Returning</v>
      </c>
      <c r="H248">
        <v>24.99</v>
      </c>
      <c r="I248">
        <v>1</v>
      </c>
      <c r="J248" t="str">
        <f t="shared" si="11"/>
        <v>All Season</v>
      </c>
    </row>
    <row r="249" spans="1:10" x14ac:dyDescent="0.25">
      <c r="A249" t="s">
        <v>1083</v>
      </c>
      <c r="B249" t="str" cm="1">
        <f t="array" ref="B24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49" s="6">
        <v>45340.291666666664</v>
      </c>
      <c r="D249" t="str">
        <f t="shared" si="9"/>
        <v>Sunday</v>
      </c>
      <c r="E249" s="6">
        <v>45340.416666666664</v>
      </c>
      <c r="F249" s="6" t="str">
        <f t="shared" si="10"/>
        <v>Sunday</v>
      </c>
      <c r="G249" t="str">
        <f>IF(COUNTIF(INDEX(SkiResort_ParkingRevenue_Raw[License Plate],1):SkiResort_ParkingRevenue_Raw[[#This Row],[License Plate]],SkiResort_ParkingRevenue_Raw[[#This Row],[License Plate]])=1,"New","Returning")</f>
        <v>New</v>
      </c>
      <c r="H249">
        <v>24.99</v>
      </c>
      <c r="I249">
        <v>1</v>
      </c>
      <c r="J249" t="str">
        <f t="shared" si="11"/>
        <v>All Season</v>
      </c>
    </row>
    <row r="250" spans="1:10" x14ac:dyDescent="0.25">
      <c r="A250" t="s">
        <v>1088</v>
      </c>
      <c r="B250" t="str" cm="1">
        <f t="array" ref="B25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50" s="6">
        <v>45340.291666666664</v>
      </c>
      <c r="D250" t="str">
        <f t="shared" si="9"/>
        <v>Sunday</v>
      </c>
      <c r="E250" s="6">
        <v>45340.416666666664</v>
      </c>
      <c r="F250" s="6" t="str">
        <f t="shared" si="10"/>
        <v>Sunday</v>
      </c>
      <c r="G250" t="str">
        <f>IF(COUNTIF(INDEX(SkiResort_ParkingRevenue_Raw[License Plate],1):SkiResort_ParkingRevenue_Raw[[#This Row],[License Plate]],SkiResort_ParkingRevenue_Raw[[#This Row],[License Plate]])=1,"New","Returning")</f>
        <v>New</v>
      </c>
      <c r="H250">
        <v>24.99</v>
      </c>
      <c r="I250">
        <v>1</v>
      </c>
      <c r="J250" t="str">
        <f t="shared" si="11"/>
        <v>All Season</v>
      </c>
    </row>
    <row r="251" spans="1:10" x14ac:dyDescent="0.25">
      <c r="A251" t="s">
        <v>1093</v>
      </c>
      <c r="B251" t="str" cm="1">
        <f t="array" ref="B25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51" s="6">
        <v>45340.291666666664</v>
      </c>
      <c r="D251" t="str">
        <f t="shared" si="9"/>
        <v>Sunday</v>
      </c>
      <c r="E251" s="6">
        <v>45340.416666666664</v>
      </c>
      <c r="F251" s="6" t="str">
        <f t="shared" si="10"/>
        <v>Sunday</v>
      </c>
      <c r="G251" t="str">
        <f>IF(COUNTIF(INDEX(SkiResort_ParkingRevenue_Raw[License Plate],1):SkiResort_ParkingRevenue_Raw[[#This Row],[License Plate]],SkiResort_ParkingRevenue_Raw[[#This Row],[License Plate]])=1,"New","Returning")</f>
        <v>New</v>
      </c>
      <c r="H251">
        <v>24.99</v>
      </c>
      <c r="I251">
        <v>1</v>
      </c>
      <c r="J251" t="str">
        <f t="shared" si="11"/>
        <v>All Season</v>
      </c>
    </row>
    <row r="252" spans="1:10" x14ac:dyDescent="0.25">
      <c r="A252" t="s">
        <v>1096</v>
      </c>
      <c r="B252" t="str" cm="1">
        <f t="array" ref="B25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52" s="6">
        <v>45340.291666666664</v>
      </c>
      <c r="D252" t="str">
        <f t="shared" si="9"/>
        <v>Sunday</v>
      </c>
      <c r="E252" s="6">
        <v>45340.416666666664</v>
      </c>
      <c r="F252" s="6" t="str">
        <f t="shared" si="10"/>
        <v>Sunday</v>
      </c>
      <c r="G252" t="str">
        <f>IF(COUNTIF(INDEX(SkiResort_ParkingRevenue_Raw[License Plate],1):SkiResort_ParkingRevenue_Raw[[#This Row],[License Plate]],SkiResort_ParkingRevenue_Raw[[#This Row],[License Plate]])=1,"New","Returning")</f>
        <v>New</v>
      </c>
      <c r="H252">
        <v>24.99</v>
      </c>
      <c r="I252">
        <v>1</v>
      </c>
      <c r="J252" t="str">
        <f t="shared" si="11"/>
        <v>All Season</v>
      </c>
    </row>
    <row r="253" spans="1:10" x14ac:dyDescent="0.25">
      <c r="A253" t="s">
        <v>1101</v>
      </c>
      <c r="B253" t="str" cm="1">
        <f t="array" ref="B25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53" s="6">
        <v>45340.291666666664</v>
      </c>
      <c r="D253" t="str">
        <f t="shared" si="9"/>
        <v>Sunday</v>
      </c>
      <c r="E253" s="6">
        <v>45340.416666666664</v>
      </c>
      <c r="F253" s="6" t="str">
        <f t="shared" si="10"/>
        <v>Sunday</v>
      </c>
      <c r="G253" t="str">
        <f>IF(COUNTIF(INDEX(SkiResort_ParkingRevenue_Raw[License Plate],1):SkiResort_ParkingRevenue_Raw[[#This Row],[License Plate]],SkiResort_ParkingRevenue_Raw[[#This Row],[License Plate]])=1,"New","Returning")</f>
        <v>New</v>
      </c>
      <c r="H253">
        <v>24.99</v>
      </c>
      <c r="I253">
        <v>1</v>
      </c>
      <c r="J253" t="str">
        <f t="shared" si="11"/>
        <v>All Season</v>
      </c>
    </row>
    <row r="254" spans="1:10" x14ac:dyDescent="0.25">
      <c r="A254" t="s">
        <v>1124</v>
      </c>
      <c r="B254" t="str" cm="1">
        <f t="array" ref="B25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54" s="6">
        <v>45340.291666666664</v>
      </c>
      <c r="D254" t="str">
        <f t="shared" si="9"/>
        <v>Sunday</v>
      </c>
      <c r="E254" s="6">
        <v>45340.416666666664</v>
      </c>
      <c r="F254" s="6" t="str">
        <f t="shared" si="10"/>
        <v>Sunday</v>
      </c>
      <c r="G254" t="str">
        <f>IF(COUNTIF(INDEX(SkiResort_ParkingRevenue_Raw[License Plate],1):SkiResort_ParkingRevenue_Raw[[#This Row],[License Plate]],SkiResort_ParkingRevenue_Raw[[#This Row],[License Plate]])=1,"New","Returning")</f>
        <v>Returning</v>
      </c>
      <c r="H254">
        <v>49.98</v>
      </c>
      <c r="I254">
        <v>2</v>
      </c>
      <c r="J254" t="str">
        <f t="shared" si="11"/>
        <v>All Season</v>
      </c>
    </row>
    <row r="255" spans="1:10" x14ac:dyDescent="0.25">
      <c r="A255" t="s">
        <v>1156</v>
      </c>
      <c r="B255" t="str" cm="1">
        <f t="array" ref="B25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55" s="6">
        <v>45340.291666666664</v>
      </c>
      <c r="D255" t="str">
        <f t="shared" si="9"/>
        <v>Sunday</v>
      </c>
      <c r="E255" s="6">
        <v>45340.416666666664</v>
      </c>
      <c r="F255" s="6" t="str">
        <f t="shared" si="10"/>
        <v>Sunday</v>
      </c>
      <c r="G255" t="str">
        <f>IF(COUNTIF(INDEX(SkiResort_ParkingRevenue_Raw[License Plate],1):SkiResort_ParkingRevenue_Raw[[#This Row],[License Plate]],SkiResort_ParkingRevenue_Raw[[#This Row],[License Plate]])=1,"New","Returning")</f>
        <v>New</v>
      </c>
      <c r="H255">
        <v>24.99</v>
      </c>
      <c r="I255">
        <v>1</v>
      </c>
      <c r="J255" t="str">
        <f t="shared" si="11"/>
        <v>All Season</v>
      </c>
    </row>
    <row r="256" spans="1:10" x14ac:dyDescent="0.25">
      <c r="A256" t="s">
        <v>1225</v>
      </c>
      <c r="B256" t="str" cm="1">
        <f t="array" ref="B25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56" s="6">
        <v>45340.291666666664</v>
      </c>
      <c r="D256" t="str">
        <f t="shared" si="9"/>
        <v>Sunday</v>
      </c>
      <c r="E256" s="6">
        <v>45340.416666666664</v>
      </c>
      <c r="F256" s="6" t="str">
        <f t="shared" si="10"/>
        <v>Sunday</v>
      </c>
      <c r="G256" t="str">
        <f>IF(COUNTIF(INDEX(SkiResort_ParkingRevenue_Raw[License Plate],1):SkiResort_ParkingRevenue_Raw[[#This Row],[License Plate]],SkiResort_ParkingRevenue_Raw[[#This Row],[License Plate]])=1,"New","Returning")</f>
        <v>New</v>
      </c>
      <c r="H256">
        <v>24.99</v>
      </c>
      <c r="I256">
        <v>1</v>
      </c>
      <c r="J256" t="str">
        <f t="shared" si="11"/>
        <v>All Season</v>
      </c>
    </row>
    <row r="257" spans="1:10" x14ac:dyDescent="0.25">
      <c r="A257" t="s">
        <v>1237</v>
      </c>
      <c r="B257" t="str" cm="1">
        <f t="array" ref="B25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57" s="6">
        <v>45340.291666666664</v>
      </c>
      <c r="D257" t="str">
        <f t="shared" si="9"/>
        <v>Sunday</v>
      </c>
      <c r="E257" s="6">
        <v>45340.416666666664</v>
      </c>
      <c r="F257" s="6" t="str">
        <f t="shared" si="10"/>
        <v>Sunday</v>
      </c>
      <c r="G257" t="str">
        <f>IF(COUNTIF(INDEX(SkiResort_ParkingRevenue_Raw[License Plate],1):SkiResort_ParkingRevenue_Raw[[#This Row],[License Plate]],SkiResort_ParkingRevenue_Raw[[#This Row],[License Plate]])=1,"New","Returning")</f>
        <v>New</v>
      </c>
      <c r="H257">
        <v>24.99</v>
      </c>
      <c r="I257">
        <v>1</v>
      </c>
      <c r="J257" t="str">
        <f t="shared" si="11"/>
        <v>All Season</v>
      </c>
    </row>
    <row r="258" spans="1:10" x14ac:dyDescent="0.25">
      <c r="A258" t="s">
        <v>1249</v>
      </c>
      <c r="B258" t="str" cm="1">
        <f t="array" ref="B25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58" s="6">
        <v>45340.291666666664</v>
      </c>
      <c r="D258" t="str">
        <f t="shared" ref="D258:D321" si="12">_xlfn.TEXTBEFORE(TEXT(C258, "dddd, mmmm dd, yyyy"), ",")</f>
        <v>Sunday</v>
      </c>
      <c r="E258" s="6">
        <v>45340.416666666664</v>
      </c>
      <c r="F258" s="6" t="str">
        <f t="shared" si="10"/>
        <v>Sunday</v>
      </c>
      <c r="G258" t="str">
        <f>IF(COUNTIF(INDEX(SkiResort_ParkingRevenue_Raw[License Plate],1):SkiResort_ParkingRevenue_Raw[[#This Row],[License Plate]],SkiResort_ParkingRevenue_Raw[[#This Row],[License Plate]])=1,"New","Returning")</f>
        <v>New</v>
      </c>
      <c r="H258">
        <v>24.99</v>
      </c>
      <c r="I258">
        <v>1</v>
      </c>
      <c r="J258" t="str">
        <f t="shared" si="11"/>
        <v>All Season</v>
      </c>
    </row>
    <row r="259" spans="1:10" x14ac:dyDescent="0.25">
      <c r="A259" t="s">
        <v>1106</v>
      </c>
      <c r="B259" t="str" cm="1">
        <f t="array" ref="B25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59" s="6">
        <v>45340.529131944444</v>
      </c>
      <c r="D259" t="str">
        <f t="shared" si="12"/>
        <v>Sunday</v>
      </c>
      <c r="E259" s="6">
        <v>45340.416666666664</v>
      </c>
      <c r="F259" s="6" t="str">
        <f t="shared" ref="F259:F322" si="13">_xlfn.TEXTBEFORE(TEXT(E259,"dddd, mmmm dd, yyyy"), ",")</f>
        <v>Sunday</v>
      </c>
      <c r="G259" t="str">
        <f>IF(COUNTIF(INDEX(SkiResort_ParkingRevenue_Raw[License Plate],1):SkiResort_ParkingRevenue_Raw[[#This Row],[License Plate]],SkiResort_ParkingRevenue_Raw[[#This Row],[License Plate]])=1,"New","Returning")</f>
        <v>New</v>
      </c>
      <c r="H259">
        <v>24.99</v>
      </c>
      <c r="I259">
        <v>1</v>
      </c>
      <c r="J259" t="str">
        <f t="shared" ref="J259:J322" si="14">IF(C259&lt;DATE(2025,1,17), "All Season", "Weekends/Holiday Only")</f>
        <v>All Season</v>
      </c>
    </row>
    <row r="260" spans="1:10" x14ac:dyDescent="0.25">
      <c r="A260" t="s">
        <v>793</v>
      </c>
      <c r="B260" t="str" cm="1">
        <f t="array" ref="B26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60" s="6">
        <v>45341.291666666664</v>
      </c>
      <c r="D260" t="str">
        <f t="shared" si="12"/>
        <v>Monday</v>
      </c>
      <c r="E260" s="6">
        <v>45341.416666666664</v>
      </c>
      <c r="F260" s="6" t="str">
        <f t="shared" si="13"/>
        <v>Monday</v>
      </c>
      <c r="G260" t="str">
        <f>IF(COUNTIF(INDEX(SkiResort_ParkingRevenue_Raw[License Plate],1):SkiResort_ParkingRevenue_Raw[[#This Row],[License Plate]],SkiResort_ParkingRevenue_Raw[[#This Row],[License Plate]])=1,"New","Returning")</f>
        <v>Returning</v>
      </c>
      <c r="H260">
        <v>39.979999999999997</v>
      </c>
      <c r="I260">
        <v>2</v>
      </c>
      <c r="J260" t="str">
        <f t="shared" si="14"/>
        <v>All Season</v>
      </c>
    </row>
    <row r="261" spans="1:10" x14ac:dyDescent="0.25">
      <c r="A261" t="s">
        <v>820</v>
      </c>
      <c r="B261" t="str" cm="1">
        <f t="array" ref="B26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61" s="6">
        <v>45341.291666666664</v>
      </c>
      <c r="D261" t="str">
        <f t="shared" si="12"/>
        <v>Monday</v>
      </c>
      <c r="E261" s="6">
        <v>45341.416666666664</v>
      </c>
      <c r="F261" s="6" t="str">
        <f t="shared" si="13"/>
        <v>Monday</v>
      </c>
      <c r="G261" t="str">
        <f>IF(COUNTIF(INDEX(SkiResort_ParkingRevenue_Raw[License Plate],1):SkiResort_ParkingRevenue_Raw[[#This Row],[License Plate]],SkiResort_ParkingRevenue_Raw[[#This Row],[License Plate]])=1,"New","Returning")</f>
        <v>Returning</v>
      </c>
      <c r="H261">
        <v>19.989999999999998</v>
      </c>
      <c r="I261">
        <v>1</v>
      </c>
      <c r="J261" t="str">
        <f t="shared" si="14"/>
        <v>All Season</v>
      </c>
    </row>
    <row r="262" spans="1:10" x14ac:dyDescent="0.25">
      <c r="A262" t="s">
        <v>917</v>
      </c>
      <c r="B262" t="str" cm="1">
        <f t="array" ref="B26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62" s="6">
        <v>45341.291666666664</v>
      </c>
      <c r="D262" t="str">
        <f t="shared" si="12"/>
        <v>Monday</v>
      </c>
      <c r="E262" s="6">
        <v>45341.416666666664</v>
      </c>
      <c r="F262" s="6" t="str">
        <f t="shared" si="13"/>
        <v>Monday</v>
      </c>
      <c r="G262" t="str">
        <f>IF(COUNTIF(INDEX(SkiResort_ParkingRevenue_Raw[License Plate],1):SkiResort_ParkingRevenue_Raw[[#This Row],[License Plate]],SkiResort_ParkingRevenue_Raw[[#This Row],[License Plate]])=1,"New","Returning")</f>
        <v>New</v>
      </c>
      <c r="H262">
        <v>19.989999999999998</v>
      </c>
      <c r="I262">
        <v>1</v>
      </c>
      <c r="J262" t="str">
        <f t="shared" si="14"/>
        <v>All Season</v>
      </c>
    </row>
    <row r="263" spans="1:10" x14ac:dyDescent="0.25">
      <c r="A263" t="s">
        <v>967</v>
      </c>
      <c r="B263" t="str" cm="1">
        <f t="array" ref="B26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63" s="6">
        <v>45341.291666666664</v>
      </c>
      <c r="D263" t="str">
        <f t="shared" si="12"/>
        <v>Monday</v>
      </c>
      <c r="E263" s="6">
        <v>45341.416666666664</v>
      </c>
      <c r="F263" s="6" t="str">
        <f t="shared" si="13"/>
        <v>Monday</v>
      </c>
      <c r="G263" t="str">
        <f>IF(COUNTIF(INDEX(SkiResort_ParkingRevenue_Raw[License Plate],1):SkiResort_ParkingRevenue_Raw[[#This Row],[License Plate]],SkiResort_ParkingRevenue_Raw[[#This Row],[License Plate]])=1,"New","Returning")</f>
        <v>New</v>
      </c>
      <c r="H263">
        <v>19.989999999999998</v>
      </c>
      <c r="I263">
        <v>1</v>
      </c>
      <c r="J263" t="str">
        <f t="shared" si="14"/>
        <v>All Season</v>
      </c>
    </row>
    <row r="264" spans="1:10" x14ac:dyDescent="0.25">
      <c r="A264" t="s">
        <v>1009</v>
      </c>
      <c r="B264" t="str" cm="1">
        <f t="array" ref="B26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64" s="6">
        <v>45341.291666666664</v>
      </c>
      <c r="D264" t="str">
        <f t="shared" si="12"/>
        <v>Monday</v>
      </c>
      <c r="E264" s="6">
        <v>45341.416666666664</v>
      </c>
      <c r="F264" s="6" t="str">
        <f t="shared" si="13"/>
        <v>Monday</v>
      </c>
      <c r="G264" t="str">
        <f>IF(COUNTIF(INDEX(SkiResort_ParkingRevenue_Raw[License Plate],1):SkiResort_ParkingRevenue_Raw[[#This Row],[License Plate]],SkiResort_ParkingRevenue_Raw[[#This Row],[License Plate]])=1,"New","Returning")</f>
        <v>New</v>
      </c>
      <c r="H264">
        <v>19.989999999999998</v>
      </c>
      <c r="I264">
        <v>1</v>
      </c>
      <c r="J264" t="str">
        <f t="shared" si="14"/>
        <v>All Season</v>
      </c>
    </row>
    <row r="265" spans="1:10" x14ac:dyDescent="0.25">
      <c r="A265" t="s">
        <v>1054</v>
      </c>
      <c r="B265" t="str" cm="1">
        <f t="array" ref="B26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65" s="6">
        <v>45341.291666666664</v>
      </c>
      <c r="D265" t="str">
        <f t="shared" si="12"/>
        <v>Monday</v>
      </c>
      <c r="E265" s="6">
        <v>45341.416666666664</v>
      </c>
      <c r="F265" s="6" t="str">
        <f t="shared" si="13"/>
        <v>Monday</v>
      </c>
      <c r="G265" t="str">
        <f>IF(COUNTIF(INDEX(SkiResort_ParkingRevenue_Raw[License Plate],1):SkiResort_ParkingRevenue_Raw[[#This Row],[License Plate]],SkiResort_ParkingRevenue_Raw[[#This Row],[License Plate]])=1,"New","Returning")</f>
        <v>New</v>
      </c>
      <c r="H265">
        <v>19.989999999999998</v>
      </c>
      <c r="I265">
        <v>1</v>
      </c>
      <c r="J265" t="str">
        <f t="shared" si="14"/>
        <v>All Season</v>
      </c>
    </row>
    <row r="266" spans="1:10" x14ac:dyDescent="0.25">
      <c r="A266" t="s">
        <v>1076</v>
      </c>
      <c r="B266" t="str" cm="1">
        <f t="array" ref="B26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66" s="6">
        <v>45341.291666666664</v>
      </c>
      <c r="D266" t="str">
        <f t="shared" si="12"/>
        <v>Monday</v>
      </c>
      <c r="E266" s="6">
        <v>45341.416666666664</v>
      </c>
      <c r="F266" s="6" t="str">
        <f t="shared" si="13"/>
        <v>Monday</v>
      </c>
      <c r="G266" t="str">
        <f>IF(COUNTIF(INDEX(SkiResort_ParkingRevenue_Raw[License Plate],1):SkiResort_ParkingRevenue_Raw[[#This Row],[License Plate]],SkiResort_ParkingRevenue_Raw[[#This Row],[License Plate]])=1,"New","Returning")</f>
        <v>New</v>
      </c>
      <c r="H266">
        <v>19.989999999999998</v>
      </c>
      <c r="I266">
        <v>1</v>
      </c>
      <c r="J266" t="str">
        <f t="shared" si="14"/>
        <v>All Season</v>
      </c>
    </row>
    <row r="267" spans="1:10" x14ac:dyDescent="0.25">
      <c r="A267" t="s">
        <v>1113</v>
      </c>
      <c r="B267" t="str" cm="1">
        <f t="array" ref="B26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67" s="6">
        <v>45341.291666666664</v>
      </c>
      <c r="D267" t="str">
        <f t="shared" si="12"/>
        <v>Monday</v>
      </c>
      <c r="E267" s="6">
        <v>45341.416666666664</v>
      </c>
      <c r="F267" s="6" t="str">
        <f t="shared" si="13"/>
        <v>Monday</v>
      </c>
      <c r="G267" t="str">
        <f>IF(COUNTIF(INDEX(SkiResort_ParkingRevenue_Raw[License Plate],1):SkiResort_ParkingRevenue_Raw[[#This Row],[License Plate]],SkiResort_ParkingRevenue_Raw[[#This Row],[License Plate]])=1,"New","Returning")</f>
        <v>New</v>
      </c>
      <c r="H267">
        <v>39.979999999999997</v>
      </c>
      <c r="I267">
        <v>2</v>
      </c>
      <c r="J267" t="str">
        <f t="shared" si="14"/>
        <v>All Season</v>
      </c>
    </row>
    <row r="268" spans="1:10" x14ac:dyDescent="0.25">
      <c r="A268" t="s">
        <v>1130</v>
      </c>
      <c r="B268" t="str" cm="1">
        <f t="array" ref="B26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68" s="6">
        <v>45341.291666666664</v>
      </c>
      <c r="D268" t="str">
        <f t="shared" si="12"/>
        <v>Monday</v>
      </c>
      <c r="E268" s="6">
        <v>45341.416666666664</v>
      </c>
      <c r="F268" s="6" t="str">
        <f t="shared" si="13"/>
        <v>Monday</v>
      </c>
      <c r="G268" t="str">
        <f>IF(COUNTIF(INDEX(SkiResort_ParkingRevenue_Raw[License Plate],1):SkiResort_ParkingRevenue_Raw[[#This Row],[License Plate]],SkiResort_ParkingRevenue_Raw[[#This Row],[License Plate]])=1,"New","Returning")</f>
        <v>New</v>
      </c>
      <c r="H268">
        <v>19.989999999999998</v>
      </c>
      <c r="I268">
        <v>1</v>
      </c>
      <c r="J268" t="str">
        <f t="shared" si="14"/>
        <v>All Season</v>
      </c>
    </row>
    <row r="269" spans="1:10" x14ac:dyDescent="0.25">
      <c r="A269" t="s">
        <v>1146</v>
      </c>
      <c r="B269" t="str" cm="1">
        <f t="array" ref="B26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69" s="6">
        <v>45341.291666666664</v>
      </c>
      <c r="D269" t="str">
        <f t="shared" si="12"/>
        <v>Monday</v>
      </c>
      <c r="E269" s="6">
        <v>45341.416666666664</v>
      </c>
      <c r="F269" s="6" t="str">
        <f t="shared" si="13"/>
        <v>Monday</v>
      </c>
      <c r="G269" t="str">
        <f>IF(COUNTIF(INDEX(SkiResort_ParkingRevenue_Raw[License Plate],1):SkiResort_ParkingRevenue_Raw[[#This Row],[License Plate]],SkiResort_ParkingRevenue_Raw[[#This Row],[License Plate]])=1,"New","Returning")</f>
        <v>New</v>
      </c>
      <c r="H269">
        <v>19.989999999999998</v>
      </c>
      <c r="I269">
        <v>1</v>
      </c>
      <c r="J269" t="str">
        <f t="shared" si="14"/>
        <v>All Season</v>
      </c>
    </row>
    <row r="270" spans="1:10" x14ac:dyDescent="0.25">
      <c r="A270" t="s">
        <v>1151</v>
      </c>
      <c r="B270" t="str" cm="1">
        <f t="array" ref="B27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70" s="6">
        <v>45341.291666666664</v>
      </c>
      <c r="D270" t="str">
        <f t="shared" si="12"/>
        <v>Monday</v>
      </c>
      <c r="E270" s="6">
        <v>45341.416666666664</v>
      </c>
      <c r="F270" s="6" t="str">
        <f t="shared" si="13"/>
        <v>Monday</v>
      </c>
      <c r="G270" t="str">
        <f>IF(COUNTIF(INDEX(SkiResort_ParkingRevenue_Raw[License Plate],1):SkiResort_ParkingRevenue_Raw[[#This Row],[License Plate]],SkiResort_ParkingRevenue_Raw[[#This Row],[License Plate]])=1,"New","Returning")</f>
        <v>New</v>
      </c>
      <c r="H270">
        <v>19.989999999999998</v>
      </c>
      <c r="I270">
        <v>1</v>
      </c>
      <c r="J270" t="str">
        <f t="shared" si="14"/>
        <v>All Season</v>
      </c>
    </row>
    <row r="271" spans="1:10" x14ac:dyDescent="0.25">
      <c r="A271" t="s">
        <v>1161</v>
      </c>
      <c r="B271" t="str" cm="1">
        <f t="array" ref="B27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71" s="6">
        <v>45341.392210648148</v>
      </c>
      <c r="D271" t="str">
        <f t="shared" si="12"/>
        <v>Monday</v>
      </c>
      <c r="E271" s="6">
        <v>45341.416666666664</v>
      </c>
      <c r="F271" s="6" t="str">
        <f t="shared" si="13"/>
        <v>Monday</v>
      </c>
      <c r="G271" t="str">
        <f>IF(COUNTIF(INDEX(SkiResort_ParkingRevenue_Raw[License Plate],1):SkiResort_ParkingRevenue_Raw[[#This Row],[License Plate]],SkiResort_ParkingRevenue_Raw[[#This Row],[License Plate]])=1,"New","Returning")</f>
        <v>New</v>
      </c>
      <c r="H271">
        <v>19.989999999999998</v>
      </c>
      <c r="I271">
        <v>1</v>
      </c>
      <c r="J271" t="str">
        <f t="shared" si="14"/>
        <v>All Season</v>
      </c>
    </row>
    <row r="272" spans="1:10" x14ac:dyDescent="0.25">
      <c r="A272" t="s">
        <v>1166</v>
      </c>
      <c r="B272" t="str" cm="1">
        <f t="array" ref="B27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72" s="6">
        <v>45341.462025462963</v>
      </c>
      <c r="D272" t="str">
        <f t="shared" si="12"/>
        <v>Monday</v>
      </c>
      <c r="E272" s="6">
        <v>45341.416666666664</v>
      </c>
      <c r="F272" s="6" t="str">
        <f t="shared" si="13"/>
        <v>Monday</v>
      </c>
      <c r="G272" t="str">
        <f>IF(COUNTIF(INDEX(SkiResort_ParkingRevenue_Raw[License Plate],1):SkiResort_ParkingRevenue_Raw[[#This Row],[License Plate]],SkiResort_ParkingRevenue_Raw[[#This Row],[License Plate]])=1,"New","Returning")</f>
        <v>New</v>
      </c>
      <c r="H272">
        <v>24.99</v>
      </c>
      <c r="I272">
        <v>1</v>
      </c>
      <c r="J272" t="str">
        <f t="shared" si="14"/>
        <v>All Season</v>
      </c>
    </row>
    <row r="273" spans="1:10" x14ac:dyDescent="0.25">
      <c r="A273" t="s">
        <v>901</v>
      </c>
      <c r="B273" t="str" cm="1">
        <f t="array" ref="B27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73" s="6">
        <v>45342.291666666664</v>
      </c>
      <c r="D273" t="str">
        <f t="shared" si="12"/>
        <v>Tuesday</v>
      </c>
      <c r="E273" s="6">
        <v>45342.416666666664</v>
      </c>
      <c r="F273" s="6" t="str">
        <f t="shared" si="13"/>
        <v>Tuesday</v>
      </c>
      <c r="G273" t="str">
        <f>IF(COUNTIF(INDEX(SkiResort_ParkingRevenue_Raw[License Plate],1):SkiResort_ParkingRevenue_Raw[[#This Row],[License Plate]],SkiResort_ParkingRevenue_Raw[[#This Row],[License Plate]])=1,"New","Returning")</f>
        <v>New</v>
      </c>
      <c r="H273">
        <v>39.979999999999997</v>
      </c>
      <c r="I273">
        <v>2</v>
      </c>
      <c r="J273" t="str">
        <f t="shared" si="14"/>
        <v>All Season</v>
      </c>
    </row>
    <row r="274" spans="1:10" x14ac:dyDescent="0.25">
      <c r="A274" t="s">
        <v>1118</v>
      </c>
      <c r="B274" t="str" cm="1">
        <f t="array" ref="B27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74" s="6">
        <v>45342.291666666664</v>
      </c>
      <c r="D274" t="str">
        <f t="shared" si="12"/>
        <v>Tuesday</v>
      </c>
      <c r="E274" s="6">
        <v>45342.416666666664</v>
      </c>
      <c r="F274" s="6" t="str">
        <f t="shared" si="13"/>
        <v>Tuesday</v>
      </c>
      <c r="G274" t="str">
        <f>IF(COUNTIF(INDEX(SkiResort_ParkingRevenue_Raw[License Plate],1):SkiResort_ParkingRevenue_Raw[[#This Row],[License Plate]],SkiResort_ParkingRevenue_Raw[[#This Row],[License Plate]])=1,"New","Returning")</f>
        <v>Returning</v>
      </c>
      <c r="H274">
        <v>39.979999999999997</v>
      </c>
      <c r="I274">
        <v>2</v>
      </c>
      <c r="J274" t="str">
        <f t="shared" si="14"/>
        <v>All Season</v>
      </c>
    </row>
    <row r="275" spans="1:10" x14ac:dyDescent="0.25">
      <c r="A275" t="s">
        <v>906</v>
      </c>
      <c r="B275" t="str" cm="1">
        <f t="array" ref="B27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75" s="6">
        <v>45343.291666666664</v>
      </c>
      <c r="D275" t="str">
        <f t="shared" si="12"/>
        <v>Wednesday</v>
      </c>
      <c r="E275" s="6">
        <v>45343.416666666664</v>
      </c>
      <c r="F275" s="6" t="str">
        <f t="shared" si="13"/>
        <v>Wednesday</v>
      </c>
      <c r="G275" t="str">
        <f>IF(COUNTIF(INDEX(SkiResort_ParkingRevenue_Raw[License Plate],1):SkiResort_ParkingRevenue_Raw[[#This Row],[License Plate]],SkiResort_ParkingRevenue_Raw[[#This Row],[License Plate]])=1,"New","Returning")</f>
        <v>Returning</v>
      </c>
      <c r="H275">
        <v>39.979999999999997</v>
      </c>
      <c r="I275">
        <v>2</v>
      </c>
      <c r="J275" t="str">
        <f t="shared" si="14"/>
        <v>All Season</v>
      </c>
    </row>
    <row r="276" spans="1:10" x14ac:dyDescent="0.25">
      <c r="A276" t="s">
        <v>1203</v>
      </c>
      <c r="B276" t="str" cm="1">
        <f t="array" ref="B27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76" s="6">
        <v>45343.291666666664</v>
      </c>
      <c r="D276" t="str">
        <f t="shared" si="12"/>
        <v>Wednesday</v>
      </c>
      <c r="E276" s="6">
        <v>45343.416666666664</v>
      </c>
      <c r="F276" s="6" t="str">
        <f t="shared" si="13"/>
        <v>Wednesday</v>
      </c>
      <c r="G276" t="str">
        <f>IF(COUNTIF(INDEX(SkiResort_ParkingRevenue_Raw[License Plate],1):SkiResort_ParkingRevenue_Raw[[#This Row],[License Plate]],SkiResort_ParkingRevenue_Raw[[#This Row],[License Plate]])=1,"New","Returning")</f>
        <v>New</v>
      </c>
      <c r="H276">
        <v>19.989999999999998</v>
      </c>
      <c r="I276">
        <v>1</v>
      </c>
      <c r="J276" t="str">
        <f t="shared" si="14"/>
        <v>All Season</v>
      </c>
    </row>
    <row r="277" spans="1:10" x14ac:dyDescent="0.25">
      <c r="A277" t="s">
        <v>1196</v>
      </c>
      <c r="B277" t="str" cm="1">
        <f t="array" ref="B27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77" s="6">
        <v>45343.356076388889</v>
      </c>
      <c r="D277" t="str">
        <f t="shared" si="12"/>
        <v>Wednesday</v>
      </c>
      <c r="E277" s="6">
        <v>45343.416666666664</v>
      </c>
      <c r="F277" s="6" t="str">
        <f t="shared" si="13"/>
        <v>Wednesday</v>
      </c>
      <c r="G277" t="str">
        <f>IF(COUNTIF(INDEX(SkiResort_ParkingRevenue_Raw[License Plate],1):SkiResort_ParkingRevenue_Raw[[#This Row],[License Plate]],SkiResort_ParkingRevenue_Raw[[#This Row],[License Plate]])=1,"New","Returning")</f>
        <v>New</v>
      </c>
      <c r="H277">
        <v>19.989999999999998</v>
      </c>
      <c r="I277">
        <v>1</v>
      </c>
      <c r="J277" t="str">
        <f t="shared" si="14"/>
        <v>All Season</v>
      </c>
    </row>
    <row r="278" spans="1:10" x14ac:dyDescent="0.25">
      <c r="A278" t="s">
        <v>807</v>
      </c>
      <c r="B278" t="str" cm="1">
        <f t="array" ref="B27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78" s="6">
        <v>45344.291666666664</v>
      </c>
      <c r="D278" t="str">
        <f t="shared" si="12"/>
        <v>Thursday</v>
      </c>
      <c r="E278" s="6">
        <v>45344.416666666664</v>
      </c>
      <c r="F278" s="6" t="str">
        <f t="shared" si="13"/>
        <v>Thursday</v>
      </c>
      <c r="G278" t="str">
        <f>IF(COUNTIF(INDEX(SkiResort_ParkingRevenue_Raw[License Plate],1):SkiResort_ParkingRevenue_Raw[[#This Row],[License Plate]],SkiResort_ParkingRevenue_Raw[[#This Row],[License Plate]])=1,"New","Returning")</f>
        <v>New</v>
      </c>
      <c r="H278">
        <v>39.979999999999997</v>
      </c>
      <c r="I278">
        <v>2</v>
      </c>
      <c r="J278" t="str">
        <f t="shared" si="14"/>
        <v>All Season</v>
      </c>
    </row>
    <row r="279" spans="1:10" x14ac:dyDescent="0.25">
      <c r="A279" t="s">
        <v>1181</v>
      </c>
      <c r="B279" t="str" cm="1">
        <f t="array" ref="B27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79" s="6">
        <v>45344.291666666664</v>
      </c>
      <c r="D279" t="str">
        <f t="shared" si="12"/>
        <v>Thursday</v>
      </c>
      <c r="E279" s="6">
        <v>45344.416666666664</v>
      </c>
      <c r="F279" s="6" t="str">
        <f t="shared" si="13"/>
        <v>Thursday</v>
      </c>
      <c r="G279" t="str">
        <f>IF(COUNTIF(INDEX(SkiResort_ParkingRevenue_Raw[License Plate],1):SkiResort_ParkingRevenue_Raw[[#This Row],[License Plate]],SkiResort_ParkingRevenue_Raw[[#This Row],[License Plate]])=1,"New","Returning")</f>
        <v>New</v>
      </c>
      <c r="H279">
        <v>19.989999999999998</v>
      </c>
      <c r="I279">
        <v>1</v>
      </c>
      <c r="J279" t="str">
        <f t="shared" si="14"/>
        <v>All Season</v>
      </c>
    </row>
    <row r="280" spans="1:10" x14ac:dyDescent="0.25">
      <c r="A280" t="s">
        <v>802</v>
      </c>
      <c r="B280" t="str" cm="1">
        <f t="array" ref="B28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80" s="6">
        <v>45344.351446759261</v>
      </c>
      <c r="D280" t="str">
        <f t="shared" si="12"/>
        <v>Thursday</v>
      </c>
      <c r="E280" s="6">
        <v>45344.416666666664</v>
      </c>
      <c r="F280" s="6" t="str">
        <f t="shared" si="13"/>
        <v>Thursday</v>
      </c>
      <c r="G280" t="str">
        <f>IF(COUNTIF(INDEX(SkiResort_ParkingRevenue_Raw[License Plate],1):SkiResort_ParkingRevenue_Raw[[#This Row],[License Plate]],SkiResort_ParkingRevenue_Raw[[#This Row],[License Plate]])=1,"New","Returning")</f>
        <v>Returning</v>
      </c>
      <c r="H280">
        <v>19.989999999999998</v>
      </c>
      <c r="I280">
        <v>1</v>
      </c>
      <c r="J280" t="str">
        <f t="shared" si="14"/>
        <v>All Season</v>
      </c>
    </row>
    <row r="281" spans="1:10" x14ac:dyDescent="0.25">
      <c r="A281" t="s">
        <v>812</v>
      </c>
      <c r="B281" t="str" cm="1">
        <f t="array" ref="B28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81" s="6">
        <v>45345.291666666664</v>
      </c>
      <c r="D281" t="str">
        <f t="shared" si="12"/>
        <v>Friday</v>
      </c>
      <c r="E281" s="6">
        <v>45345.416666666664</v>
      </c>
      <c r="F281" s="6" t="str">
        <f t="shared" si="13"/>
        <v>Friday</v>
      </c>
      <c r="G281" t="str">
        <f>IF(COUNTIF(INDEX(SkiResort_ParkingRevenue_Raw[License Plate],1):SkiResort_ParkingRevenue_Raw[[#This Row],[License Plate]],SkiResort_ParkingRevenue_Raw[[#This Row],[License Plate]])=1,"New","Returning")</f>
        <v>Returning</v>
      </c>
      <c r="H281">
        <v>39.979999999999997</v>
      </c>
      <c r="I281">
        <v>2</v>
      </c>
      <c r="J281" t="str">
        <f t="shared" si="14"/>
        <v>All Season</v>
      </c>
    </row>
    <row r="282" spans="1:10" x14ac:dyDescent="0.25">
      <c r="A282" t="s">
        <v>836</v>
      </c>
      <c r="B282" t="str" cm="1">
        <f t="array" ref="B28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82" s="6">
        <v>45345.291666666664</v>
      </c>
      <c r="D282" t="str">
        <f t="shared" si="12"/>
        <v>Friday</v>
      </c>
      <c r="E282" s="6">
        <v>45345.416666666664</v>
      </c>
      <c r="F282" s="6" t="str">
        <f t="shared" si="13"/>
        <v>Friday</v>
      </c>
      <c r="G282" t="str">
        <f>IF(COUNTIF(INDEX(SkiResort_ParkingRevenue_Raw[License Plate],1):SkiResort_ParkingRevenue_Raw[[#This Row],[License Plate]],SkiResort_ParkingRevenue_Raw[[#This Row],[License Plate]])=1,"New","Returning")</f>
        <v>New</v>
      </c>
      <c r="H282">
        <v>19.989999999999998</v>
      </c>
      <c r="I282">
        <v>1</v>
      </c>
      <c r="J282" t="str">
        <f t="shared" si="14"/>
        <v>All Season</v>
      </c>
    </row>
    <row r="283" spans="1:10" x14ac:dyDescent="0.25">
      <c r="A283" t="s">
        <v>769</v>
      </c>
      <c r="B283" t="str" cm="1">
        <f t="array" ref="B28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83" s="6">
        <v>45346.291666666664</v>
      </c>
      <c r="D283" t="str">
        <f t="shared" si="12"/>
        <v>Saturday</v>
      </c>
      <c r="E283" s="6">
        <v>45346.416666666664</v>
      </c>
      <c r="F283" s="6" t="str">
        <f t="shared" si="13"/>
        <v>Saturday</v>
      </c>
      <c r="G283" t="str">
        <f>IF(COUNTIF(INDEX(SkiResort_ParkingRevenue_Raw[License Plate],1):SkiResort_ParkingRevenue_Raw[[#This Row],[License Plate]],SkiResort_ParkingRevenue_Raw[[#This Row],[License Plate]])=1,"New","Returning")</f>
        <v>New</v>
      </c>
      <c r="H283">
        <v>24.99</v>
      </c>
      <c r="I283">
        <v>1</v>
      </c>
      <c r="J283" t="str">
        <f t="shared" si="14"/>
        <v>All Season</v>
      </c>
    </row>
    <row r="284" spans="1:10" x14ac:dyDescent="0.25">
      <c r="A284" t="s">
        <v>773</v>
      </c>
      <c r="B284" t="str" cm="1">
        <f t="array" ref="B28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84" s="6">
        <v>45346.291666666664</v>
      </c>
      <c r="D284" t="str">
        <f t="shared" si="12"/>
        <v>Saturday</v>
      </c>
      <c r="E284" s="6">
        <v>45346.416666666664</v>
      </c>
      <c r="F284" s="6" t="str">
        <f t="shared" si="13"/>
        <v>Saturday</v>
      </c>
      <c r="G284" t="str">
        <f>IF(COUNTIF(INDEX(SkiResort_ParkingRevenue_Raw[License Plate],1):SkiResort_ParkingRevenue_Raw[[#This Row],[License Plate]],SkiResort_ParkingRevenue_Raw[[#This Row],[License Plate]])=1,"New","Returning")</f>
        <v>Returning</v>
      </c>
      <c r="H284">
        <v>24.99</v>
      </c>
      <c r="I284">
        <v>1</v>
      </c>
      <c r="J284" t="str">
        <f t="shared" si="14"/>
        <v>All Season</v>
      </c>
    </row>
    <row r="285" spans="1:10" x14ac:dyDescent="0.25">
      <c r="A285" t="s">
        <v>813</v>
      </c>
      <c r="B285" t="str" cm="1">
        <f t="array" ref="B28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85" s="6">
        <v>45346.291666666664</v>
      </c>
      <c r="D285" t="str">
        <f t="shared" si="12"/>
        <v>Saturday</v>
      </c>
      <c r="E285" s="6">
        <v>45346.416666666664</v>
      </c>
      <c r="F285" s="6" t="str">
        <f t="shared" si="13"/>
        <v>Saturday</v>
      </c>
      <c r="G285" t="str">
        <f>IF(COUNTIF(INDEX(SkiResort_ParkingRevenue_Raw[License Plate],1):SkiResort_ParkingRevenue_Raw[[#This Row],[License Plate]],SkiResort_ParkingRevenue_Raw[[#This Row],[License Plate]])=1,"New","Returning")</f>
        <v>Returning</v>
      </c>
      <c r="H285">
        <v>24.99</v>
      </c>
      <c r="I285">
        <v>1</v>
      </c>
      <c r="J285" t="str">
        <f t="shared" si="14"/>
        <v>All Season</v>
      </c>
    </row>
    <row r="286" spans="1:10" x14ac:dyDescent="0.25">
      <c r="A286" t="s">
        <v>841</v>
      </c>
      <c r="B286" t="str" cm="1">
        <f t="array" ref="B28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86" s="6">
        <v>45346.291666666664</v>
      </c>
      <c r="D286" t="str">
        <f t="shared" si="12"/>
        <v>Saturday</v>
      </c>
      <c r="E286" s="6">
        <v>45346.416666666664</v>
      </c>
      <c r="F286" s="6" t="str">
        <f t="shared" si="13"/>
        <v>Saturday</v>
      </c>
      <c r="G286" t="str">
        <f>IF(COUNTIF(INDEX(SkiResort_ParkingRevenue_Raw[License Plate],1):SkiResort_ParkingRevenue_Raw[[#This Row],[License Plate]],SkiResort_ParkingRevenue_Raw[[#This Row],[License Plate]])=1,"New","Returning")</f>
        <v>New</v>
      </c>
      <c r="H286">
        <v>24.99</v>
      </c>
      <c r="I286">
        <v>1</v>
      </c>
      <c r="J286" t="str">
        <f t="shared" si="14"/>
        <v>All Season</v>
      </c>
    </row>
    <row r="287" spans="1:10" x14ac:dyDescent="0.25">
      <c r="A287" t="s">
        <v>846</v>
      </c>
      <c r="B287" t="str" cm="1">
        <f t="array" ref="B28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87" s="6">
        <v>45346.291666666664</v>
      </c>
      <c r="D287" t="str">
        <f t="shared" si="12"/>
        <v>Saturday</v>
      </c>
      <c r="E287" s="6">
        <v>45346.416666666664</v>
      </c>
      <c r="F287" s="6" t="str">
        <f t="shared" si="13"/>
        <v>Saturday</v>
      </c>
      <c r="G287" t="str">
        <f>IF(COUNTIF(INDEX(SkiResort_ParkingRevenue_Raw[License Plate],1):SkiResort_ParkingRevenue_Raw[[#This Row],[License Plate]],SkiResort_ParkingRevenue_Raw[[#This Row],[License Plate]])=1,"New","Returning")</f>
        <v>New</v>
      </c>
      <c r="H287">
        <v>24.99</v>
      </c>
      <c r="I287">
        <v>1</v>
      </c>
      <c r="J287" t="str">
        <f t="shared" si="14"/>
        <v>All Season</v>
      </c>
    </row>
    <row r="288" spans="1:10" x14ac:dyDescent="0.25">
      <c r="A288" t="s">
        <v>851</v>
      </c>
      <c r="B288" t="str" cm="1">
        <f t="array" ref="B28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88" s="6">
        <v>45346.291666666664</v>
      </c>
      <c r="D288" t="str">
        <f t="shared" si="12"/>
        <v>Saturday</v>
      </c>
      <c r="E288" s="6">
        <v>45346.416666666664</v>
      </c>
      <c r="F288" s="6" t="str">
        <f t="shared" si="13"/>
        <v>Saturday</v>
      </c>
      <c r="G288" t="str">
        <f>IF(COUNTIF(INDEX(SkiResort_ParkingRevenue_Raw[License Plate],1):SkiResort_ParkingRevenue_Raw[[#This Row],[License Plate]],SkiResort_ParkingRevenue_Raw[[#This Row],[License Plate]])=1,"New","Returning")</f>
        <v>New</v>
      </c>
      <c r="H288">
        <v>24.99</v>
      </c>
      <c r="I288">
        <v>1</v>
      </c>
      <c r="J288" t="str">
        <f t="shared" si="14"/>
        <v>All Season</v>
      </c>
    </row>
    <row r="289" spans="1:10" x14ac:dyDescent="0.25">
      <c r="A289" t="s">
        <v>856</v>
      </c>
      <c r="B289" t="str" cm="1">
        <f t="array" ref="B28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89" s="6">
        <v>45346.291666666664</v>
      </c>
      <c r="D289" t="str">
        <f t="shared" si="12"/>
        <v>Saturday</v>
      </c>
      <c r="E289" s="6">
        <v>45346.416666666664</v>
      </c>
      <c r="F289" s="6" t="str">
        <f t="shared" si="13"/>
        <v>Saturday</v>
      </c>
      <c r="G289" t="str">
        <f>IF(COUNTIF(INDEX(SkiResort_ParkingRevenue_Raw[License Plate],1):SkiResort_ParkingRevenue_Raw[[#This Row],[License Plate]],SkiResort_ParkingRevenue_Raw[[#This Row],[License Plate]])=1,"New","Returning")</f>
        <v>New</v>
      </c>
      <c r="H289">
        <v>24.99</v>
      </c>
      <c r="I289">
        <v>1</v>
      </c>
      <c r="J289" t="str">
        <f t="shared" si="14"/>
        <v>All Season</v>
      </c>
    </row>
    <row r="290" spans="1:10" x14ac:dyDescent="0.25">
      <c r="A290" t="s">
        <v>861</v>
      </c>
      <c r="B290" t="str" cm="1">
        <f t="array" ref="B29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90" s="6">
        <v>45346.291666666664</v>
      </c>
      <c r="D290" t="str">
        <f t="shared" si="12"/>
        <v>Saturday</v>
      </c>
      <c r="E290" s="6">
        <v>45346.416666666664</v>
      </c>
      <c r="F290" s="6" t="str">
        <f t="shared" si="13"/>
        <v>Saturday</v>
      </c>
      <c r="G290" t="str">
        <f>IF(COUNTIF(INDEX(SkiResort_ParkingRevenue_Raw[License Plate],1):SkiResort_ParkingRevenue_Raw[[#This Row],[License Plate]],SkiResort_ParkingRevenue_Raw[[#This Row],[License Plate]])=1,"New","Returning")</f>
        <v>New</v>
      </c>
      <c r="H290">
        <v>24.99</v>
      </c>
      <c r="I290">
        <v>1</v>
      </c>
      <c r="J290" t="str">
        <f t="shared" si="14"/>
        <v>All Season</v>
      </c>
    </row>
    <row r="291" spans="1:10" x14ac:dyDescent="0.25">
      <c r="A291" t="s">
        <v>865</v>
      </c>
      <c r="B291" t="str" cm="1">
        <f t="array" ref="B29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91" s="6">
        <v>45346.291666666664</v>
      </c>
      <c r="D291" t="str">
        <f t="shared" si="12"/>
        <v>Saturday</v>
      </c>
      <c r="E291" s="6">
        <v>45346.416666666664</v>
      </c>
      <c r="F291" s="6" t="str">
        <f t="shared" si="13"/>
        <v>Saturday</v>
      </c>
      <c r="G291" t="str">
        <f>IF(COUNTIF(INDEX(SkiResort_ParkingRevenue_Raw[License Plate],1):SkiResort_ParkingRevenue_Raw[[#This Row],[License Plate]],SkiResort_ParkingRevenue_Raw[[#This Row],[License Plate]])=1,"New","Returning")</f>
        <v>Returning</v>
      </c>
      <c r="H291">
        <v>24.99</v>
      </c>
      <c r="I291">
        <v>1</v>
      </c>
      <c r="J291" t="str">
        <f t="shared" si="14"/>
        <v>All Season</v>
      </c>
    </row>
    <row r="292" spans="1:10" x14ac:dyDescent="0.25">
      <c r="A292" t="s">
        <v>866</v>
      </c>
      <c r="B292" t="str" cm="1">
        <f t="array" ref="B29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92" s="6">
        <v>45346.291666666664</v>
      </c>
      <c r="D292" t="str">
        <f t="shared" si="12"/>
        <v>Saturday</v>
      </c>
      <c r="E292" s="6">
        <v>45346.416666666664</v>
      </c>
      <c r="F292" s="6" t="str">
        <f t="shared" si="13"/>
        <v>Saturday</v>
      </c>
      <c r="G292" t="str">
        <f>IF(COUNTIF(INDEX(SkiResort_ParkingRevenue_Raw[License Plate],1):SkiResort_ParkingRevenue_Raw[[#This Row],[License Plate]],SkiResort_ParkingRevenue_Raw[[#This Row],[License Plate]])=1,"New","Returning")</f>
        <v>Returning</v>
      </c>
      <c r="H292">
        <v>24.99</v>
      </c>
      <c r="I292">
        <v>1</v>
      </c>
      <c r="J292" t="str">
        <f t="shared" si="14"/>
        <v>All Season</v>
      </c>
    </row>
    <row r="293" spans="1:10" x14ac:dyDescent="0.25">
      <c r="A293" t="s">
        <v>873</v>
      </c>
      <c r="B293" t="str" cm="1">
        <f t="array" ref="B29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93" s="6">
        <v>45346.291666666664</v>
      </c>
      <c r="D293" t="str">
        <f t="shared" si="12"/>
        <v>Saturday</v>
      </c>
      <c r="E293" s="6">
        <v>45346.416666666664</v>
      </c>
      <c r="F293" s="6" t="str">
        <f t="shared" si="13"/>
        <v>Saturday</v>
      </c>
      <c r="G293" t="str">
        <f>IF(COUNTIF(INDEX(SkiResort_ParkingRevenue_Raw[License Plate],1):SkiResort_ParkingRevenue_Raw[[#This Row],[License Plate]],SkiResort_ParkingRevenue_Raw[[#This Row],[License Plate]])=1,"New","Returning")</f>
        <v>New</v>
      </c>
      <c r="H293">
        <v>24.99</v>
      </c>
      <c r="I293">
        <v>1</v>
      </c>
      <c r="J293" t="str">
        <f t="shared" si="14"/>
        <v>All Season</v>
      </c>
    </row>
    <row r="294" spans="1:10" x14ac:dyDescent="0.25">
      <c r="A294" t="s">
        <v>878</v>
      </c>
      <c r="B294" t="str" cm="1">
        <f t="array" ref="B29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94" s="6">
        <v>45346.291666666664</v>
      </c>
      <c r="D294" t="str">
        <f t="shared" si="12"/>
        <v>Saturday</v>
      </c>
      <c r="E294" s="6">
        <v>45346.416666666664</v>
      </c>
      <c r="F294" s="6" t="str">
        <f t="shared" si="13"/>
        <v>Saturday</v>
      </c>
      <c r="G294" t="str">
        <f>IF(COUNTIF(INDEX(SkiResort_ParkingRevenue_Raw[License Plate],1):SkiResort_ParkingRevenue_Raw[[#This Row],[License Plate]],SkiResort_ParkingRevenue_Raw[[#This Row],[License Plate]])=1,"New","Returning")</f>
        <v>New</v>
      </c>
      <c r="H294">
        <v>24.99</v>
      </c>
      <c r="I294">
        <v>1</v>
      </c>
      <c r="J294" t="str">
        <f t="shared" si="14"/>
        <v>All Season</v>
      </c>
    </row>
    <row r="295" spans="1:10" x14ac:dyDescent="0.25">
      <c r="A295" t="s">
        <v>1198</v>
      </c>
      <c r="B295" t="str" cm="1">
        <f t="array" ref="B29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95" s="6">
        <v>45346.291666666664</v>
      </c>
      <c r="D295" t="str">
        <f t="shared" si="12"/>
        <v>Saturday</v>
      </c>
      <c r="E295" s="6">
        <v>45346.416666666664</v>
      </c>
      <c r="F295" s="6" t="str">
        <f t="shared" si="13"/>
        <v>Saturday</v>
      </c>
      <c r="G295" t="str">
        <f>IF(COUNTIF(INDEX(SkiResort_ParkingRevenue_Raw[License Plate],1):SkiResort_ParkingRevenue_Raw[[#This Row],[License Plate]],SkiResort_ParkingRevenue_Raw[[#This Row],[License Plate]])=1,"New","Returning")</f>
        <v>New</v>
      </c>
      <c r="H295">
        <v>24.99</v>
      </c>
      <c r="I295">
        <v>1</v>
      </c>
      <c r="J295" t="str">
        <f t="shared" si="14"/>
        <v>All Season</v>
      </c>
    </row>
    <row r="296" spans="1:10" x14ac:dyDescent="0.25">
      <c r="A296" t="s">
        <v>868</v>
      </c>
      <c r="B296" t="str" cm="1">
        <f t="array" ref="B29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96" s="6">
        <v>45346.408078703702</v>
      </c>
      <c r="D296" t="str">
        <f t="shared" si="12"/>
        <v>Saturday</v>
      </c>
      <c r="E296" s="6">
        <v>45346.416666666664</v>
      </c>
      <c r="F296" s="6" t="str">
        <f t="shared" si="13"/>
        <v>Saturday</v>
      </c>
      <c r="G296" t="str">
        <f>IF(COUNTIF(INDEX(SkiResort_ParkingRevenue_Raw[License Plate],1):SkiResort_ParkingRevenue_Raw[[#This Row],[License Plate]],SkiResort_ParkingRevenue_Raw[[#This Row],[License Plate]])=1,"New","Returning")</f>
        <v>New</v>
      </c>
      <c r="H296">
        <v>24.99</v>
      </c>
      <c r="I296">
        <v>1</v>
      </c>
      <c r="J296" t="str">
        <f t="shared" si="14"/>
        <v>All Season</v>
      </c>
    </row>
    <row r="297" spans="1:10" x14ac:dyDescent="0.25">
      <c r="A297" t="s">
        <v>883</v>
      </c>
      <c r="B297" t="str" cm="1">
        <f t="array" ref="B29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97" s="6">
        <v>45346.546655092592</v>
      </c>
      <c r="D297" t="str">
        <f t="shared" si="12"/>
        <v>Saturday</v>
      </c>
      <c r="E297" s="6">
        <v>45346.416666666664</v>
      </c>
      <c r="F297" s="6" t="str">
        <f t="shared" si="13"/>
        <v>Saturday</v>
      </c>
      <c r="G297" t="str">
        <f>IF(COUNTIF(INDEX(SkiResort_ParkingRevenue_Raw[License Plate],1):SkiResort_ParkingRevenue_Raw[[#This Row],[License Plate]],SkiResort_ParkingRevenue_Raw[[#This Row],[License Plate]])=1,"New","Returning")</f>
        <v>New</v>
      </c>
      <c r="H297">
        <v>24.99</v>
      </c>
      <c r="I297">
        <v>1</v>
      </c>
      <c r="J297" t="str">
        <f t="shared" si="14"/>
        <v>All Season</v>
      </c>
    </row>
    <row r="298" spans="1:10" x14ac:dyDescent="0.25">
      <c r="A298" t="s">
        <v>907</v>
      </c>
      <c r="B298" t="str" cm="1">
        <f t="array" ref="B29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98" s="6">
        <v>45347.291666666664</v>
      </c>
      <c r="D298" t="str">
        <f t="shared" si="12"/>
        <v>Sunday</v>
      </c>
      <c r="E298" s="6">
        <v>45347.416666666664</v>
      </c>
      <c r="F298" s="6" t="str">
        <f t="shared" si="13"/>
        <v>Sunday</v>
      </c>
      <c r="G298" t="str">
        <f>IF(COUNTIF(INDEX(SkiResort_ParkingRevenue_Raw[License Plate],1):SkiResort_ParkingRevenue_Raw[[#This Row],[License Plate]],SkiResort_ParkingRevenue_Raw[[#This Row],[License Plate]])=1,"New","Returning")</f>
        <v>New</v>
      </c>
      <c r="H298">
        <v>24.99</v>
      </c>
      <c r="I298">
        <v>1</v>
      </c>
      <c r="J298" t="str">
        <f t="shared" si="14"/>
        <v>All Season</v>
      </c>
    </row>
    <row r="299" spans="1:10" x14ac:dyDescent="0.25">
      <c r="A299" t="s">
        <v>1135</v>
      </c>
      <c r="B299" t="str" cm="1">
        <f t="array" ref="B29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299" s="6">
        <v>45350.291666666664</v>
      </c>
      <c r="D299" t="str">
        <f t="shared" si="12"/>
        <v>Wednesday</v>
      </c>
      <c r="E299" s="6">
        <v>45350.416666666664</v>
      </c>
      <c r="F299" s="6" t="str">
        <f t="shared" si="13"/>
        <v>Wednesday</v>
      </c>
      <c r="G299" t="str">
        <f>IF(COUNTIF(INDEX(SkiResort_ParkingRevenue_Raw[License Plate],1):SkiResort_ParkingRevenue_Raw[[#This Row],[License Plate]],SkiResort_ParkingRevenue_Raw[[#This Row],[License Plate]])=1,"New","Returning")</f>
        <v>New</v>
      </c>
      <c r="H299">
        <v>59.97</v>
      </c>
      <c r="I299">
        <v>3</v>
      </c>
      <c r="J299" t="str">
        <f t="shared" si="14"/>
        <v>All Season</v>
      </c>
    </row>
    <row r="300" spans="1:10" x14ac:dyDescent="0.25">
      <c r="A300" t="s">
        <v>1141</v>
      </c>
      <c r="B300" t="str" cm="1">
        <f t="array" ref="B30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00" s="6">
        <v>45350.484212962961</v>
      </c>
      <c r="D300" t="str">
        <f t="shared" si="12"/>
        <v>Wednesday</v>
      </c>
      <c r="E300" s="6">
        <v>45350.416666666664</v>
      </c>
      <c r="F300" s="6" t="str">
        <f t="shared" si="13"/>
        <v>Wednesday</v>
      </c>
      <c r="G300" t="str">
        <f>IF(COUNTIF(INDEX(SkiResort_ParkingRevenue_Raw[License Plate],1):SkiResort_ParkingRevenue_Raw[[#This Row],[License Plate]],SkiResort_ParkingRevenue_Raw[[#This Row],[License Plate]])=1,"New","Returning")</f>
        <v>New</v>
      </c>
      <c r="H300">
        <v>19.989999999999998</v>
      </c>
      <c r="I300">
        <v>1</v>
      </c>
      <c r="J300" t="str">
        <f t="shared" si="14"/>
        <v>All Season</v>
      </c>
    </row>
    <row r="301" spans="1:10" x14ac:dyDescent="0.25">
      <c r="A301" t="s">
        <v>912</v>
      </c>
      <c r="B301" t="str" cm="1">
        <f t="array" ref="B30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01" s="6">
        <v>45351.291666666664</v>
      </c>
      <c r="D301" t="str">
        <f t="shared" si="12"/>
        <v>Thursday</v>
      </c>
      <c r="E301" s="6">
        <v>45351.416666666664</v>
      </c>
      <c r="F301" s="6" t="str">
        <f t="shared" si="13"/>
        <v>Thursday</v>
      </c>
      <c r="G301" t="str">
        <f>IF(COUNTIF(INDEX(SkiResort_ParkingRevenue_Raw[License Plate],1):SkiResort_ParkingRevenue_Raw[[#This Row],[License Plate]],SkiResort_ParkingRevenue_Raw[[#This Row],[License Plate]])=1,"New","Returning")</f>
        <v>New</v>
      </c>
      <c r="H301">
        <v>19.989999999999998</v>
      </c>
      <c r="I301">
        <v>1</v>
      </c>
      <c r="J301" t="str">
        <f t="shared" si="14"/>
        <v>All Season</v>
      </c>
    </row>
    <row r="302" spans="1:10" x14ac:dyDescent="0.25">
      <c r="A302" t="s">
        <v>1014</v>
      </c>
      <c r="B302" t="str" cm="1">
        <f t="array" ref="B30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02" s="6">
        <v>45351.291666666664</v>
      </c>
      <c r="D302" t="str">
        <f t="shared" si="12"/>
        <v>Thursday</v>
      </c>
      <c r="E302" s="6">
        <v>45351.416666666664</v>
      </c>
      <c r="F302" s="6" t="str">
        <f t="shared" si="13"/>
        <v>Thursday</v>
      </c>
      <c r="G302" t="str">
        <f>IF(COUNTIF(INDEX(SkiResort_ParkingRevenue_Raw[License Plate],1):SkiResort_ParkingRevenue_Raw[[#This Row],[License Plate]],SkiResort_ParkingRevenue_Raw[[#This Row],[License Plate]])=1,"New","Returning")</f>
        <v>New</v>
      </c>
      <c r="H302">
        <v>19.989999999999998</v>
      </c>
      <c r="I302">
        <v>1</v>
      </c>
      <c r="J302" t="str">
        <f t="shared" si="14"/>
        <v>All Season</v>
      </c>
    </row>
    <row r="303" spans="1:10" x14ac:dyDescent="0.25">
      <c r="A303" t="s">
        <v>1140</v>
      </c>
      <c r="B303" t="str" cm="1">
        <f t="array" ref="B30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03" s="6">
        <v>45351.291666666664</v>
      </c>
      <c r="D303" t="str">
        <f t="shared" si="12"/>
        <v>Thursday</v>
      </c>
      <c r="E303" s="6">
        <v>45351.416666666664</v>
      </c>
      <c r="F303" s="6" t="str">
        <f t="shared" si="13"/>
        <v>Thursday</v>
      </c>
      <c r="G303" t="str">
        <f>IF(COUNTIF(INDEX(SkiResort_ParkingRevenue_Raw[License Plate],1):SkiResort_ParkingRevenue_Raw[[#This Row],[License Plate]],SkiResort_ParkingRevenue_Raw[[#This Row],[License Plate]])=1,"New","Returning")</f>
        <v>Returning</v>
      </c>
      <c r="H303">
        <v>59.97</v>
      </c>
      <c r="I303">
        <v>3</v>
      </c>
      <c r="J303" t="str">
        <f t="shared" si="14"/>
        <v>All Season</v>
      </c>
    </row>
    <row r="304" spans="1:10" x14ac:dyDescent="0.25">
      <c r="A304" t="s">
        <v>1176</v>
      </c>
      <c r="B304" t="str" cm="1">
        <f t="array" ref="B30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04" s="6">
        <v>45351.371180555558</v>
      </c>
      <c r="D304" t="str">
        <f t="shared" si="12"/>
        <v>Thursday</v>
      </c>
      <c r="E304" s="6">
        <v>45351.416666666664</v>
      </c>
      <c r="F304" s="6" t="str">
        <f t="shared" si="13"/>
        <v>Thursday</v>
      </c>
      <c r="G304" t="str">
        <f>IF(COUNTIF(INDEX(SkiResort_ParkingRevenue_Raw[License Plate],1):SkiResort_ParkingRevenue_Raw[[#This Row],[License Plate]],SkiResort_ParkingRevenue_Raw[[#This Row],[License Plate]])=1,"New","Returning")</f>
        <v>New</v>
      </c>
      <c r="H304">
        <v>19.989999999999998</v>
      </c>
      <c r="I304">
        <v>1</v>
      </c>
      <c r="J304" t="str">
        <f t="shared" si="14"/>
        <v>All Season</v>
      </c>
    </row>
    <row r="305" spans="1:10" x14ac:dyDescent="0.25">
      <c r="A305" t="s">
        <v>1539</v>
      </c>
      <c r="B305" t="str" cm="1">
        <f t="array" ref="B30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05" s="6">
        <v>45352.291666666664</v>
      </c>
      <c r="D305" t="str">
        <f t="shared" si="12"/>
        <v>Friday</v>
      </c>
      <c r="E305" s="6">
        <v>45352.416666666664</v>
      </c>
      <c r="F305" s="6" t="str">
        <f t="shared" si="13"/>
        <v>Friday</v>
      </c>
      <c r="G305" t="str">
        <f>IF(COUNTIF(INDEX(SkiResort_ParkingRevenue_Raw[License Plate],1):SkiResort_ParkingRevenue_Raw[[#This Row],[License Plate]],SkiResort_ParkingRevenue_Raw[[#This Row],[License Plate]])=1,"New","Returning")</f>
        <v>New</v>
      </c>
      <c r="H305">
        <v>19.989999999999998</v>
      </c>
      <c r="I305">
        <v>1</v>
      </c>
      <c r="J305" t="str">
        <f t="shared" si="14"/>
        <v>All Season</v>
      </c>
    </row>
    <row r="306" spans="1:10" x14ac:dyDescent="0.25">
      <c r="A306" t="s">
        <v>1582</v>
      </c>
      <c r="B306" t="str" cm="1">
        <f t="array" ref="B30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06" s="6">
        <v>45352.291666666664</v>
      </c>
      <c r="D306" t="str">
        <f t="shared" si="12"/>
        <v>Friday</v>
      </c>
      <c r="E306" s="6">
        <v>45352.416666666664</v>
      </c>
      <c r="F306" s="6" t="str">
        <f t="shared" si="13"/>
        <v>Friday</v>
      </c>
      <c r="G306" t="str">
        <f>IF(COUNTIF(INDEX(SkiResort_ParkingRevenue_Raw[License Plate],1):SkiResort_ParkingRevenue_Raw[[#This Row],[License Plate]],SkiResort_ParkingRevenue_Raw[[#This Row],[License Plate]])=1,"New","Returning")</f>
        <v>New</v>
      </c>
      <c r="H306">
        <v>19.989999999999998</v>
      </c>
      <c r="I306">
        <v>1</v>
      </c>
      <c r="J306" t="str">
        <f t="shared" si="14"/>
        <v>All Season</v>
      </c>
    </row>
    <row r="307" spans="1:10" x14ac:dyDescent="0.25">
      <c r="A307" t="s">
        <v>1592</v>
      </c>
      <c r="B307" t="str" cm="1">
        <f t="array" ref="B30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07" s="6">
        <v>45352.291666666664</v>
      </c>
      <c r="D307" t="str">
        <f t="shared" si="12"/>
        <v>Friday</v>
      </c>
      <c r="E307" s="6">
        <v>45352.416666666664</v>
      </c>
      <c r="F307" s="6" t="str">
        <f t="shared" si="13"/>
        <v>Friday</v>
      </c>
      <c r="G307" t="str">
        <f>IF(COUNTIF(INDEX(SkiResort_ParkingRevenue_Raw[License Plate],1):SkiResort_ParkingRevenue_Raw[[#This Row],[License Plate]],SkiResort_ParkingRevenue_Raw[[#This Row],[License Plate]])=1,"New","Returning")</f>
        <v>Returning</v>
      </c>
      <c r="H307">
        <v>19.989999999999998</v>
      </c>
      <c r="I307">
        <v>1</v>
      </c>
      <c r="J307" t="str">
        <f t="shared" si="14"/>
        <v>All Season</v>
      </c>
    </row>
    <row r="308" spans="1:10" x14ac:dyDescent="0.25">
      <c r="A308" t="s">
        <v>1688</v>
      </c>
      <c r="B308" t="str" cm="1">
        <f t="array" ref="B30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08" s="6">
        <v>45352.291666666664</v>
      </c>
      <c r="D308" t="str">
        <f t="shared" si="12"/>
        <v>Friday</v>
      </c>
      <c r="E308" s="6">
        <v>45352.416666666664</v>
      </c>
      <c r="F308" s="6" t="str">
        <f t="shared" si="13"/>
        <v>Friday</v>
      </c>
      <c r="G308" t="str">
        <f>IF(COUNTIF(INDEX(SkiResort_ParkingRevenue_Raw[License Plate],1):SkiResort_ParkingRevenue_Raw[[#This Row],[License Plate]],SkiResort_ParkingRevenue_Raw[[#This Row],[License Plate]])=1,"New","Returning")</f>
        <v>Returning</v>
      </c>
      <c r="H308">
        <v>59.97</v>
      </c>
      <c r="I308">
        <v>3</v>
      </c>
      <c r="J308" t="str">
        <f t="shared" si="14"/>
        <v>All Season</v>
      </c>
    </row>
    <row r="309" spans="1:10" x14ac:dyDescent="0.25">
      <c r="A309" t="s">
        <v>1703</v>
      </c>
      <c r="B309" t="str" cm="1">
        <f t="array" ref="B30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09" s="6">
        <v>45352.291666666664</v>
      </c>
      <c r="D309" t="str">
        <f t="shared" si="12"/>
        <v>Friday</v>
      </c>
      <c r="E309" s="6">
        <v>45352.416666666664</v>
      </c>
      <c r="F309" s="6" t="str">
        <f t="shared" si="13"/>
        <v>Friday</v>
      </c>
      <c r="G309" t="str">
        <f>IF(COUNTIF(INDEX(SkiResort_ParkingRevenue_Raw[License Plate],1):SkiResort_ParkingRevenue_Raw[[#This Row],[License Plate]],SkiResort_ParkingRevenue_Raw[[#This Row],[License Plate]])=1,"New","Returning")</f>
        <v>New</v>
      </c>
      <c r="H309">
        <v>19.989999999999998</v>
      </c>
      <c r="I309">
        <v>1</v>
      </c>
      <c r="J309" t="str">
        <f t="shared" si="14"/>
        <v>All Season</v>
      </c>
    </row>
    <row r="310" spans="1:10" x14ac:dyDescent="0.25">
      <c r="A310" t="s">
        <v>1708</v>
      </c>
      <c r="B310" t="str" cm="1">
        <f t="array" ref="B31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10" s="6">
        <v>45352.291666666664</v>
      </c>
      <c r="D310" t="str">
        <f t="shared" si="12"/>
        <v>Friday</v>
      </c>
      <c r="E310" s="6">
        <v>45352.416666666664</v>
      </c>
      <c r="F310" s="6" t="str">
        <f t="shared" si="13"/>
        <v>Friday</v>
      </c>
      <c r="G310" t="str">
        <f>IF(COUNTIF(INDEX(SkiResort_ParkingRevenue_Raw[License Plate],1):SkiResort_ParkingRevenue_Raw[[#This Row],[License Plate]],SkiResort_ParkingRevenue_Raw[[#This Row],[License Plate]])=1,"New","Returning")</f>
        <v>New</v>
      </c>
      <c r="H310">
        <v>19.989999999999998</v>
      </c>
      <c r="I310">
        <v>1</v>
      </c>
      <c r="J310" t="str">
        <f t="shared" si="14"/>
        <v>All Season</v>
      </c>
    </row>
    <row r="311" spans="1:10" x14ac:dyDescent="0.25">
      <c r="A311" t="s">
        <v>1710</v>
      </c>
      <c r="B311" t="str" cm="1">
        <f t="array" ref="B31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11" s="6">
        <v>45352.291666666664</v>
      </c>
      <c r="D311" t="str">
        <f t="shared" si="12"/>
        <v>Friday</v>
      </c>
      <c r="E311" s="6">
        <v>45352.416666666664</v>
      </c>
      <c r="F311" s="6" t="str">
        <f t="shared" si="13"/>
        <v>Friday</v>
      </c>
      <c r="G311" t="str">
        <f>IF(COUNTIF(INDEX(SkiResort_ParkingRevenue_Raw[License Plate],1):SkiResort_ParkingRevenue_Raw[[#This Row],[License Plate]],SkiResort_ParkingRevenue_Raw[[#This Row],[License Plate]])=1,"New","Returning")</f>
        <v>New</v>
      </c>
      <c r="H311">
        <v>19.989999999999998</v>
      </c>
      <c r="I311">
        <v>1</v>
      </c>
      <c r="J311" t="str">
        <f t="shared" si="14"/>
        <v>All Season</v>
      </c>
    </row>
    <row r="312" spans="1:10" x14ac:dyDescent="0.25">
      <c r="A312" t="s">
        <v>1767</v>
      </c>
      <c r="B312" t="str" cm="1">
        <f t="array" ref="B31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12" s="6">
        <v>45352.291666666664</v>
      </c>
      <c r="D312" t="str">
        <f t="shared" si="12"/>
        <v>Friday</v>
      </c>
      <c r="E312" s="6">
        <v>45352.416666666664</v>
      </c>
      <c r="F312" s="6" t="str">
        <f t="shared" si="13"/>
        <v>Friday</v>
      </c>
      <c r="G312" t="str">
        <f>IF(COUNTIF(INDEX(SkiResort_ParkingRevenue_Raw[License Plate],1):SkiResort_ParkingRevenue_Raw[[#This Row],[License Plate]],SkiResort_ParkingRevenue_Raw[[#This Row],[License Plate]])=1,"New","Returning")</f>
        <v>New</v>
      </c>
      <c r="H312">
        <v>19.989999999999998</v>
      </c>
      <c r="I312">
        <v>1</v>
      </c>
      <c r="J312" t="str">
        <f t="shared" si="14"/>
        <v>All Season</v>
      </c>
    </row>
    <row r="313" spans="1:10" x14ac:dyDescent="0.25">
      <c r="A313" t="s">
        <v>1786</v>
      </c>
      <c r="B313" t="str" cm="1">
        <f t="array" ref="B31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13" s="6">
        <v>45352.291666666664</v>
      </c>
      <c r="D313" t="str">
        <f t="shared" si="12"/>
        <v>Friday</v>
      </c>
      <c r="E313" s="6">
        <v>45352.416666666664</v>
      </c>
      <c r="F313" s="6" t="str">
        <f t="shared" si="13"/>
        <v>Friday</v>
      </c>
      <c r="G313" t="str">
        <f>IF(COUNTIF(INDEX(SkiResort_ParkingRevenue_Raw[License Plate],1):SkiResort_ParkingRevenue_Raw[[#This Row],[License Plate]],SkiResort_ParkingRevenue_Raw[[#This Row],[License Plate]])=1,"New","Returning")</f>
        <v>New</v>
      </c>
      <c r="H313">
        <v>19.989999999999998</v>
      </c>
      <c r="I313">
        <v>1</v>
      </c>
      <c r="J313" t="str">
        <f t="shared" si="14"/>
        <v>All Season</v>
      </c>
    </row>
    <row r="314" spans="1:10" x14ac:dyDescent="0.25">
      <c r="A314" t="s">
        <v>1815</v>
      </c>
      <c r="B314" t="str" cm="1">
        <f t="array" ref="B31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14" s="6">
        <v>45352.291666666664</v>
      </c>
      <c r="D314" t="str">
        <f t="shared" si="12"/>
        <v>Friday</v>
      </c>
      <c r="E314" s="6">
        <v>45352.416666666664</v>
      </c>
      <c r="F314" s="6" t="str">
        <f t="shared" si="13"/>
        <v>Friday</v>
      </c>
      <c r="G314" t="str">
        <f>IF(COUNTIF(INDEX(SkiResort_ParkingRevenue_Raw[License Plate],1):SkiResort_ParkingRevenue_Raw[[#This Row],[License Plate]],SkiResort_ParkingRevenue_Raw[[#This Row],[License Plate]])=1,"New","Returning")</f>
        <v>New</v>
      </c>
      <c r="H314">
        <v>19.989999999999998</v>
      </c>
      <c r="I314">
        <v>1</v>
      </c>
      <c r="J314" t="str">
        <f t="shared" si="14"/>
        <v>All Season</v>
      </c>
    </row>
    <row r="315" spans="1:10" x14ac:dyDescent="0.25">
      <c r="A315" t="s">
        <v>1820</v>
      </c>
      <c r="B315" t="str" cm="1">
        <f t="array" ref="B31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15" s="6">
        <v>45352.369479166664</v>
      </c>
      <c r="D315" t="str">
        <f t="shared" si="12"/>
        <v>Friday</v>
      </c>
      <c r="E315" s="6">
        <v>45352.416666666664</v>
      </c>
      <c r="F315" s="6" t="str">
        <f t="shared" si="13"/>
        <v>Friday</v>
      </c>
      <c r="G315" t="str">
        <f>IF(COUNTIF(INDEX(SkiResort_ParkingRevenue_Raw[License Plate],1):SkiResort_ParkingRevenue_Raw[[#This Row],[License Plate]],SkiResort_ParkingRevenue_Raw[[#This Row],[License Plate]])=1,"New","Returning")</f>
        <v>Returning</v>
      </c>
      <c r="H315">
        <v>19.989999999999998</v>
      </c>
      <c r="I315">
        <v>1</v>
      </c>
      <c r="J315" t="str">
        <f t="shared" si="14"/>
        <v>All Season</v>
      </c>
    </row>
    <row r="316" spans="1:10" x14ac:dyDescent="0.25">
      <c r="A316" t="s">
        <v>1822</v>
      </c>
      <c r="B316" t="str" cm="1">
        <f t="array" ref="B31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16" s="6">
        <v>45352.373877314814</v>
      </c>
      <c r="D316" t="str">
        <f t="shared" si="12"/>
        <v>Friday</v>
      </c>
      <c r="E316" s="6">
        <v>45352.416666666664</v>
      </c>
      <c r="F316" s="6" t="str">
        <f t="shared" si="13"/>
        <v>Friday</v>
      </c>
      <c r="G316" t="str">
        <f>IF(COUNTIF(INDEX(SkiResort_ParkingRevenue_Raw[License Plate],1):SkiResort_ParkingRevenue_Raw[[#This Row],[License Plate]],SkiResort_ParkingRevenue_Raw[[#This Row],[License Plate]])=1,"New","Returning")</f>
        <v>Returning</v>
      </c>
      <c r="H316">
        <v>19.989999999999998</v>
      </c>
      <c r="I316">
        <v>1</v>
      </c>
      <c r="J316" t="str">
        <f t="shared" si="14"/>
        <v>All Season</v>
      </c>
    </row>
    <row r="317" spans="1:10" x14ac:dyDescent="0.25">
      <c r="A317" t="s">
        <v>1830</v>
      </c>
      <c r="B317" t="str" cm="1">
        <f t="array" ref="B31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17" s="6">
        <v>45352.437326388892</v>
      </c>
      <c r="D317" t="str">
        <f t="shared" si="12"/>
        <v>Friday</v>
      </c>
      <c r="E317" s="6">
        <v>45352.416666666664</v>
      </c>
      <c r="F317" s="6" t="str">
        <f t="shared" si="13"/>
        <v>Friday</v>
      </c>
      <c r="G317" t="str">
        <f>IF(COUNTIF(INDEX(SkiResort_ParkingRevenue_Raw[License Plate],1):SkiResort_ParkingRevenue_Raw[[#This Row],[License Plate]],SkiResort_ParkingRevenue_Raw[[#This Row],[License Plate]])=1,"New","Returning")</f>
        <v>New</v>
      </c>
      <c r="H317">
        <v>19.989999999999998</v>
      </c>
      <c r="I317">
        <v>1</v>
      </c>
      <c r="J317" t="str">
        <f t="shared" si="14"/>
        <v>All Season</v>
      </c>
    </row>
    <row r="318" spans="1:10" x14ac:dyDescent="0.25">
      <c r="A318" t="s">
        <v>1837</v>
      </c>
      <c r="B318" t="str" cm="1">
        <f t="array" ref="B31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18" s="6">
        <v>45352.4453587963</v>
      </c>
      <c r="D318" t="str">
        <f t="shared" si="12"/>
        <v>Friday</v>
      </c>
      <c r="E318" s="6">
        <v>45352.416666666664</v>
      </c>
      <c r="F318" s="6" t="str">
        <f t="shared" si="13"/>
        <v>Friday</v>
      </c>
      <c r="G318" t="str">
        <f>IF(COUNTIF(INDEX(SkiResort_ParkingRevenue_Raw[License Plate],1):SkiResort_ParkingRevenue_Raw[[#This Row],[License Plate]],SkiResort_ParkingRevenue_Raw[[#This Row],[License Plate]])=1,"New","Returning")</f>
        <v>New</v>
      </c>
      <c r="H318">
        <v>19.989999999999998</v>
      </c>
      <c r="I318">
        <v>1</v>
      </c>
      <c r="J318" t="str">
        <f t="shared" si="14"/>
        <v>All Season</v>
      </c>
    </row>
    <row r="319" spans="1:10" x14ac:dyDescent="0.25">
      <c r="A319" t="s">
        <v>1260</v>
      </c>
      <c r="B319" t="str" cm="1">
        <f t="array" ref="B31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19" s="6">
        <v>45353</v>
      </c>
      <c r="D319" t="str">
        <f t="shared" si="12"/>
        <v>Saturday</v>
      </c>
      <c r="E319" s="6">
        <v>45353.125</v>
      </c>
      <c r="F319" s="6" t="str">
        <f t="shared" si="13"/>
        <v>Saturday</v>
      </c>
      <c r="G319" t="str">
        <f>IF(COUNTIF(INDEX(SkiResort_ParkingRevenue_Raw[License Plate],1):SkiResort_ParkingRevenue_Raw[[#This Row],[License Plate]],SkiResort_ParkingRevenue_Raw[[#This Row],[License Plate]])=1,"New","Returning")</f>
        <v>Returning</v>
      </c>
      <c r="H319">
        <v>24.99</v>
      </c>
      <c r="I319">
        <v>1</v>
      </c>
      <c r="J319" t="str">
        <f t="shared" si="14"/>
        <v>All Season</v>
      </c>
    </row>
    <row r="320" spans="1:10" x14ac:dyDescent="0.25">
      <c r="A320" t="s">
        <v>1271</v>
      </c>
      <c r="B320" t="str" cm="1">
        <f t="array" ref="B32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20" s="6">
        <v>45353.291666666664</v>
      </c>
      <c r="D320" t="str">
        <f t="shared" si="12"/>
        <v>Saturday</v>
      </c>
      <c r="E320" s="6">
        <v>45353.416666666664</v>
      </c>
      <c r="F320" s="6" t="str">
        <f t="shared" si="13"/>
        <v>Saturday</v>
      </c>
      <c r="G320" t="str">
        <f>IF(COUNTIF(INDEX(SkiResort_ParkingRevenue_Raw[License Plate],1):SkiResort_ParkingRevenue_Raw[[#This Row],[License Plate]],SkiResort_ParkingRevenue_Raw[[#This Row],[License Plate]])=1,"New","Returning")</f>
        <v>New</v>
      </c>
      <c r="H320">
        <v>49.98</v>
      </c>
      <c r="I320">
        <v>2</v>
      </c>
      <c r="J320" t="str">
        <f t="shared" si="14"/>
        <v>All Season</v>
      </c>
    </row>
    <row r="321" spans="1:10" x14ac:dyDescent="0.25">
      <c r="A321" t="s">
        <v>1505</v>
      </c>
      <c r="B321" t="str" cm="1">
        <f t="array" ref="B32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21" s="6">
        <v>45353.291666666664</v>
      </c>
      <c r="D321" t="str">
        <f t="shared" si="12"/>
        <v>Saturday</v>
      </c>
      <c r="E321" s="6">
        <v>45353.416666666664</v>
      </c>
      <c r="F321" s="6" t="str">
        <f t="shared" si="13"/>
        <v>Saturday</v>
      </c>
      <c r="G321" t="str">
        <f>IF(COUNTIF(INDEX(SkiResort_ParkingRevenue_Raw[License Plate],1):SkiResort_ParkingRevenue_Raw[[#This Row],[License Plate]],SkiResort_ParkingRevenue_Raw[[#This Row],[License Plate]])=1,"New","Returning")</f>
        <v>Returning</v>
      </c>
      <c r="H321">
        <v>49.98</v>
      </c>
      <c r="I321">
        <v>2</v>
      </c>
      <c r="J321" t="str">
        <f t="shared" si="14"/>
        <v>All Season</v>
      </c>
    </row>
    <row r="322" spans="1:10" x14ac:dyDescent="0.25">
      <c r="A322" t="s">
        <v>1677</v>
      </c>
      <c r="B322" t="str" cm="1">
        <f t="array" ref="B32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22" s="6">
        <v>45353.291666666664</v>
      </c>
      <c r="D322" t="str">
        <f t="shared" ref="D322:D385" si="15">_xlfn.TEXTBEFORE(TEXT(C322, "dddd, mmmm dd, yyyy"), ",")</f>
        <v>Saturday</v>
      </c>
      <c r="E322" s="6">
        <v>45353.416666666664</v>
      </c>
      <c r="F322" s="6" t="str">
        <f t="shared" si="13"/>
        <v>Saturday</v>
      </c>
      <c r="G322" t="str">
        <f>IF(COUNTIF(INDEX(SkiResort_ParkingRevenue_Raw[License Plate],1):SkiResort_ParkingRevenue_Raw[[#This Row],[License Plate]],SkiResort_ParkingRevenue_Raw[[#This Row],[License Plate]])=1,"New","Returning")</f>
        <v>Returning</v>
      </c>
      <c r="H322">
        <v>49.98</v>
      </c>
      <c r="I322">
        <v>2</v>
      </c>
      <c r="J322" t="str">
        <f t="shared" si="14"/>
        <v>All Season</v>
      </c>
    </row>
    <row r="323" spans="1:10" x14ac:dyDescent="0.25">
      <c r="A323" t="s">
        <v>1689</v>
      </c>
      <c r="B323" t="str" cm="1">
        <f t="array" ref="B32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23" s="6">
        <v>45353.291666666664</v>
      </c>
      <c r="D323" t="str">
        <f t="shared" si="15"/>
        <v>Saturday</v>
      </c>
      <c r="E323" s="6">
        <v>45353.416666666664</v>
      </c>
      <c r="F323" s="6" t="str">
        <f t="shared" ref="F323:F386" si="16">_xlfn.TEXTBEFORE(TEXT(E323,"dddd, mmmm dd, yyyy"), ",")</f>
        <v>Saturday</v>
      </c>
      <c r="G323" t="str">
        <f>IF(COUNTIF(INDEX(SkiResort_ParkingRevenue_Raw[License Plate],1):SkiResort_ParkingRevenue_Raw[[#This Row],[License Plate]],SkiResort_ParkingRevenue_Raw[[#This Row],[License Plate]])=1,"New","Returning")</f>
        <v>Returning</v>
      </c>
      <c r="H323">
        <v>24.99</v>
      </c>
      <c r="I323">
        <v>1</v>
      </c>
      <c r="J323" t="str">
        <f t="shared" ref="J323:J386" si="17">IF(C323&lt;DATE(2025,1,17), "All Season", "Weekends/Holiday Only")</f>
        <v>All Season</v>
      </c>
    </row>
    <row r="324" spans="1:10" x14ac:dyDescent="0.25">
      <c r="A324" t="s">
        <v>1715</v>
      </c>
      <c r="B324" t="str" cm="1">
        <f t="array" ref="B32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24" s="6">
        <v>45353.291666666664</v>
      </c>
      <c r="D324" t="str">
        <f t="shared" si="15"/>
        <v>Saturday</v>
      </c>
      <c r="E324" s="6">
        <v>45353.416666666664</v>
      </c>
      <c r="F324" s="6" t="str">
        <f t="shared" si="16"/>
        <v>Saturday</v>
      </c>
      <c r="G324" t="str">
        <f>IF(COUNTIF(INDEX(SkiResort_ParkingRevenue_Raw[License Plate],1):SkiResort_ParkingRevenue_Raw[[#This Row],[License Plate]],SkiResort_ParkingRevenue_Raw[[#This Row],[License Plate]])=1,"New","Returning")</f>
        <v>Returning</v>
      </c>
      <c r="H324">
        <v>49.98</v>
      </c>
      <c r="I324">
        <v>2</v>
      </c>
      <c r="J324" t="str">
        <f t="shared" si="17"/>
        <v>All Season</v>
      </c>
    </row>
    <row r="325" spans="1:10" x14ac:dyDescent="0.25">
      <c r="A325" t="s">
        <v>1722</v>
      </c>
      <c r="B325" t="str" cm="1">
        <f t="array" ref="B32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25" s="6">
        <v>45353.291666666664</v>
      </c>
      <c r="D325" t="str">
        <f t="shared" si="15"/>
        <v>Saturday</v>
      </c>
      <c r="E325" s="6">
        <v>45353.416666666664</v>
      </c>
      <c r="F325" s="6" t="str">
        <f t="shared" si="16"/>
        <v>Saturday</v>
      </c>
      <c r="G325" t="str">
        <f>IF(COUNTIF(INDEX(SkiResort_ParkingRevenue_Raw[License Plate],1):SkiResort_ParkingRevenue_Raw[[#This Row],[License Plate]],SkiResort_ParkingRevenue_Raw[[#This Row],[License Plate]])=1,"New","Returning")</f>
        <v>New</v>
      </c>
      <c r="H325">
        <v>24.99</v>
      </c>
      <c r="I325">
        <v>1</v>
      </c>
      <c r="J325" t="str">
        <f t="shared" si="17"/>
        <v>All Season</v>
      </c>
    </row>
    <row r="326" spans="1:10" x14ac:dyDescent="0.25">
      <c r="A326" t="s">
        <v>1752</v>
      </c>
      <c r="B326" t="str" cm="1">
        <f t="array" ref="B32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26" s="6">
        <v>45353.291666666664</v>
      </c>
      <c r="D326" t="str">
        <f t="shared" si="15"/>
        <v>Saturday</v>
      </c>
      <c r="E326" s="6">
        <v>45353.416666666664</v>
      </c>
      <c r="F326" s="6" t="str">
        <f t="shared" si="16"/>
        <v>Saturday</v>
      </c>
      <c r="G326" t="str">
        <f>IF(COUNTIF(INDEX(SkiResort_ParkingRevenue_Raw[License Plate],1):SkiResort_ParkingRevenue_Raw[[#This Row],[License Plate]],SkiResort_ParkingRevenue_Raw[[#This Row],[License Plate]])=1,"New","Returning")</f>
        <v>New</v>
      </c>
      <c r="H326">
        <v>24.99</v>
      </c>
      <c r="I326">
        <v>1</v>
      </c>
      <c r="J326" t="str">
        <f t="shared" si="17"/>
        <v>All Season</v>
      </c>
    </row>
    <row r="327" spans="1:10" x14ac:dyDescent="0.25">
      <c r="A327" t="s">
        <v>1762</v>
      </c>
      <c r="B327" t="str" cm="1">
        <f t="array" ref="B32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27" s="6">
        <v>45353.291666666664</v>
      </c>
      <c r="D327" t="str">
        <f t="shared" si="15"/>
        <v>Saturday</v>
      </c>
      <c r="E327" s="6">
        <v>45353.416666666664</v>
      </c>
      <c r="F327" s="6" t="str">
        <f t="shared" si="16"/>
        <v>Saturday</v>
      </c>
      <c r="G327" t="str">
        <f>IF(COUNTIF(INDEX(SkiResort_ParkingRevenue_Raw[License Plate],1):SkiResort_ParkingRevenue_Raw[[#This Row],[License Plate]],SkiResort_ParkingRevenue_Raw[[#This Row],[License Plate]])=1,"New","Returning")</f>
        <v>New</v>
      </c>
      <c r="H327">
        <v>24.99</v>
      </c>
      <c r="I327">
        <v>1</v>
      </c>
      <c r="J327" t="str">
        <f t="shared" si="17"/>
        <v>All Season</v>
      </c>
    </row>
    <row r="328" spans="1:10" x14ac:dyDescent="0.25">
      <c r="A328" t="s">
        <v>1772</v>
      </c>
      <c r="B328" t="str" cm="1">
        <f t="array" ref="B32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28" s="6">
        <v>45353.291666666664</v>
      </c>
      <c r="D328" t="str">
        <f t="shared" si="15"/>
        <v>Saturday</v>
      </c>
      <c r="E328" s="6">
        <v>45353.416666666664</v>
      </c>
      <c r="F328" s="6" t="str">
        <f t="shared" si="16"/>
        <v>Saturday</v>
      </c>
      <c r="G328" t="str">
        <f>IF(COUNTIF(INDEX(SkiResort_ParkingRevenue_Raw[License Plate],1):SkiResort_ParkingRevenue_Raw[[#This Row],[License Plate]],SkiResort_ParkingRevenue_Raw[[#This Row],[License Plate]])=1,"New","Returning")</f>
        <v>New</v>
      </c>
      <c r="H328">
        <v>24.99</v>
      </c>
      <c r="I328">
        <v>1</v>
      </c>
      <c r="J328" t="str">
        <f t="shared" si="17"/>
        <v>All Season</v>
      </c>
    </row>
    <row r="329" spans="1:10" x14ac:dyDescent="0.25">
      <c r="A329" t="s">
        <v>1781</v>
      </c>
      <c r="B329" t="str" cm="1">
        <f t="array" ref="B32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29" s="6">
        <v>45353.291666666664</v>
      </c>
      <c r="D329" t="str">
        <f t="shared" si="15"/>
        <v>Saturday</v>
      </c>
      <c r="E329" s="6">
        <v>45353.416666666664</v>
      </c>
      <c r="F329" s="6" t="str">
        <f t="shared" si="16"/>
        <v>Saturday</v>
      </c>
      <c r="G329" t="str">
        <f>IF(COUNTIF(INDEX(SkiResort_ParkingRevenue_Raw[License Plate],1):SkiResort_ParkingRevenue_Raw[[#This Row],[License Plate]],SkiResort_ParkingRevenue_Raw[[#This Row],[License Plate]])=1,"New","Returning")</f>
        <v>New</v>
      </c>
      <c r="H329">
        <v>24.99</v>
      </c>
      <c r="I329">
        <v>1</v>
      </c>
      <c r="J329" t="str">
        <f t="shared" si="17"/>
        <v>All Season</v>
      </c>
    </row>
    <row r="330" spans="1:10" x14ac:dyDescent="0.25">
      <c r="A330" t="s">
        <v>1791</v>
      </c>
      <c r="B330" t="str" cm="1">
        <f t="array" ref="B33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30" s="6">
        <v>45353.291666666664</v>
      </c>
      <c r="D330" t="str">
        <f t="shared" si="15"/>
        <v>Saturday</v>
      </c>
      <c r="E330" s="6">
        <v>45353.416666666664</v>
      </c>
      <c r="F330" s="6" t="str">
        <f t="shared" si="16"/>
        <v>Saturday</v>
      </c>
      <c r="G330" t="str">
        <f>IF(COUNTIF(INDEX(SkiResort_ParkingRevenue_Raw[License Plate],1):SkiResort_ParkingRevenue_Raw[[#This Row],[License Plate]],SkiResort_ParkingRevenue_Raw[[#This Row],[License Plate]])=1,"New","Returning")</f>
        <v>New</v>
      </c>
      <c r="H330">
        <v>24.99</v>
      </c>
      <c r="I330">
        <v>1</v>
      </c>
      <c r="J330" t="str">
        <f t="shared" si="17"/>
        <v>All Season</v>
      </c>
    </row>
    <row r="331" spans="1:10" x14ac:dyDescent="0.25">
      <c r="A331" t="s">
        <v>1806</v>
      </c>
      <c r="B331" t="str" cm="1">
        <f t="array" ref="B33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31" s="6">
        <v>45353.291666666664</v>
      </c>
      <c r="D331" t="str">
        <f t="shared" si="15"/>
        <v>Saturday</v>
      </c>
      <c r="E331" s="6">
        <v>45353.416666666664</v>
      </c>
      <c r="F331" s="6" t="str">
        <f t="shared" si="16"/>
        <v>Saturday</v>
      </c>
      <c r="G331" t="str">
        <f>IF(COUNTIF(INDEX(SkiResort_ParkingRevenue_Raw[License Plate],1):SkiResort_ParkingRevenue_Raw[[#This Row],[License Plate]],SkiResort_ParkingRevenue_Raw[[#This Row],[License Plate]])=1,"New","Returning")</f>
        <v>Returning</v>
      </c>
      <c r="H331">
        <v>24.99</v>
      </c>
      <c r="I331">
        <v>1</v>
      </c>
      <c r="J331" t="str">
        <f t="shared" si="17"/>
        <v>All Season</v>
      </c>
    </row>
    <row r="332" spans="1:10" x14ac:dyDescent="0.25">
      <c r="A332" t="s">
        <v>1824</v>
      </c>
      <c r="B332" t="str" cm="1">
        <f t="array" ref="B33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32" s="6">
        <v>45353.291666666664</v>
      </c>
      <c r="D332" t="str">
        <f t="shared" si="15"/>
        <v>Saturday</v>
      </c>
      <c r="E332" s="6">
        <v>45353.416666666664</v>
      </c>
      <c r="F332" s="6" t="str">
        <f t="shared" si="16"/>
        <v>Saturday</v>
      </c>
      <c r="G332" t="str">
        <f>IF(COUNTIF(INDEX(SkiResort_ParkingRevenue_Raw[License Plate],1):SkiResort_ParkingRevenue_Raw[[#This Row],[License Plate]],SkiResort_ParkingRevenue_Raw[[#This Row],[License Plate]])=1,"New","Returning")</f>
        <v>Returning</v>
      </c>
      <c r="H332">
        <v>24.99</v>
      </c>
      <c r="I332">
        <v>1</v>
      </c>
      <c r="J332" t="str">
        <f t="shared" si="17"/>
        <v>All Season</v>
      </c>
    </row>
    <row r="333" spans="1:10" x14ac:dyDescent="0.25">
      <c r="A333" t="s">
        <v>1854</v>
      </c>
      <c r="B333" t="str" cm="1">
        <f t="array" ref="B33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33" s="6">
        <v>45353.291666666664</v>
      </c>
      <c r="D333" t="str">
        <f t="shared" si="15"/>
        <v>Saturday</v>
      </c>
      <c r="E333" s="6">
        <v>45353.416666666664</v>
      </c>
      <c r="F333" s="6" t="str">
        <f t="shared" si="16"/>
        <v>Saturday</v>
      </c>
      <c r="G333" t="str">
        <f>IF(COUNTIF(INDEX(SkiResort_ParkingRevenue_Raw[License Plate],1):SkiResort_ParkingRevenue_Raw[[#This Row],[License Plate]],SkiResort_ParkingRevenue_Raw[[#This Row],[License Plate]])=1,"New","Returning")</f>
        <v>New</v>
      </c>
      <c r="H333">
        <v>24.99</v>
      </c>
      <c r="I333">
        <v>1</v>
      </c>
      <c r="J333" t="str">
        <f t="shared" si="17"/>
        <v>All Season</v>
      </c>
    </row>
    <row r="334" spans="1:10" x14ac:dyDescent="0.25">
      <c r="A334" t="s">
        <v>1859</v>
      </c>
      <c r="B334" t="str" cm="1">
        <f t="array" ref="B33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34" s="6">
        <v>45353.291666666664</v>
      </c>
      <c r="D334" t="str">
        <f t="shared" si="15"/>
        <v>Saturday</v>
      </c>
      <c r="E334" s="6">
        <v>45353.416666666664</v>
      </c>
      <c r="F334" s="6" t="str">
        <f t="shared" si="16"/>
        <v>Saturday</v>
      </c>
      <c r="G334" t="str">
        <f>IF(COUNTIF(INDEX(SkiResort_ParkingRevenue_Raw[License Plate],1):SkiResort_ParkingRevenue_Raw[[#This Row],[License Plate]],SkiResort_ParkingRevenue_Raw[[#This Row],[License Plate]])=1,"New","Returning")</f>
        <v>New</v>
      </c>
      <c r="H334">
        <v>24.99</v>
      </c>
      <c r="I334">
        <v>1</v>
      </c>
      <c r="J334" t="str">
        <f t="shared" si="17"/>
        <v>All Season</v>
      </c>
    </row>
    <row r="335" spans="1:10" x14ac:dyDescent="0.25">
      <c r="A335" t="s">
        <v>1864</v>
      </c>
      <c r="B335" t="str" cm="1">
        <f t="array" ref="B33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35" s="6">
        <v>45353.291666666664</v>
      </c>
      <c r="D335" t="str">
        <f t="shared" si="15"/>
        <v>Saturday</v>
      </c>
      <c r="E335" s="6">
        <v>45353.416666666664</v>
      </c>
      <c r="F335" s="6" t="str">
        <f t="shared" si="16"/>
        <v>Saturday</v>
      </c>
      <c r="G335" t="str">
        <f>IF(COUNTIF(INDEX(SkiResort_ParkingRevenue_Raw[License Plate],1):SkiResort_ParkingRevenue_Raw[[#This Row],[License Plate]],SkiResort_ParkingRevenue_Raw[[#This Row],[License Plate]])=1,"New","Returning")</f>
        <v>New</v>
      </c>
      <c r="H335">
        <v>24.99</v>
      </c>
      <c r="I335">
        <v>1</v>
      </c>
      <c r="J335" t="str">
        <f t="shared" si="17"/>
        <v>All Season</v>
      </c>
    </row>
    <row r="336" spans="1:10" x14ac:dyDescent="0.25">
      <c r="A336" t="s">
        <v>1869</v>
      </c>
      <c r="B336" t="str" cm="1">
        <f t="array" ref="B33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36" s="6">
        <v>45353.291666666664</v>
      </c>
      <c r="D336" t="str">
        <f t="shared" si="15"/>
        <v>Saturday</v>
      </c>
      <c r="E336" s="6">
        <v>45353.416666666664</v>
      </c>
      <c r="F336" s="6" t="str">
        <f t="shared" si="16"/>
        <v>Saturday</v>
      </c>
      <c r="G336" t="str">
        <f>IF(COUNTIF(INDEX(SkiResort_ParkingRevenue_Raw[License Plate],1):SkiResort_ParkingRevenue_Raw[[#This Row],[License Plate]],SkiResort_ParkingRevenue_Raw[[#This Row],[License Plate]])=1,"New","Returning")</f>
        <v>New</v>
      </c>
      <c r="H336">
        <v>24.99</v>
      </c>
      <c r="I336">
        <v>1</v>
      </c>
      <c r="J336" t="str">
        <f t="shared" si="17"/>
        <v>All Season</v>
      </c>
    </row>
    <row r="337" spans="1:10" x14ac:dyDescent="0.25">
      <c r="A337" t="s">
        <v>1875</v>
      </c>
      <c r="B337" t="str" cm="1">
        <f t="array" ref="B33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37" s="6">
        <v>45353.291666666664</v>
      </c>
      <c r="D337" t="str">
        <f t="shared" si="15"/>
        <v>Saturday</v>
      </c>
      <c r="E337" s="6">
        <v>45353.416666666664</v>
      </c>
      <c r="F337" s="6" t="str">
        <f t="shared" si="16"/>
        <v>Saturday</v>
      </c>
      <c r="G337" t="str">
        <f>IF(COUNTIF(INDEX(SkiResort_ParkingRevenue_Raw[License Plate],1):SkiResort_ParkingRevenue_Raw[[#This Row],[License Plate]],SkiResort_ParkingRevenue_Raw[[#This Row],[License Plate]])=1,"New","Returning")</f>
        <v>Returning</v>
      </c>
      <c r="H337">
        <v>24.99</v>
      </c>
      <c r="I337">
        <v>1</v>
      </c>
      <c r="J337" t="str">
        <f t="shared" si="17"/>
        <v>All Season</v>
      </c>
    </row>
    <row r="338" spans="1:10" x14ac:dyDescent="0.25">
      <c r="A338" t="s">
        <v>1883</v>
      </c>
      <c r="B338" t="str" cm="1">
        <f t="array" ref="B33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38" s="6">
        <v>45353.291666666664</v>
      </c>
      <c r="D338" t="str">
        <f t="shared" si="15"/>
        <v>Saturday</v>
      </c>
      <c r="E338" s="6">
        <v>45353.416666666664</v>
      </c>
      <c r="F338" s="6" t="str">
        <f t="shared" si="16"/>
        <v>Saturday</v>
      </c>
      <c r="G338" t="str">
        <f>IF(COUNTIF(INDEX(SkiResort_ParkingRevenue_Raw[License Plate],1):SkiResort_ParkingRevenue_Raw[[#This Row],[License Plate]],SkiResort_ParkingRevenue_Raw[[#This Row],[License Plate]])=1,"New","Returning")</f>
        <v>New</v>
      </c>
      <c r="H338">
        <v>24.99</v>
      </c>
      <c r="I338">
        <v>1</v>
      </c>
      <c r="J338" t="str">
        <f t="shared" si="17"/>
        <v>All Season</v>
      </c>
    </row>
    <row r="339" spans="1:10" x14ac:dyDescent="0.25">
      <c r="A339" t="s">
        <v>1910</v>
      </c>
      <c r="B339" t="str" cm="1">
        <f t="array" ref="B33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39" s="6">
        <v>45353.291666666664</v>
      </c>
      <c r="D339" t="str">
        <f t="shared" si="15"/>
        <v>Saturday</v>
      </c>
      <c r="E339" s="6">
        <v>45353.416666666664</v>
      </c>
      <c r="F339" s="6" t="str">
        <f t="shared" si="16"/>
        <v>Saturday</v>
      </c>
      <c r="G339" t="str">
        <f>IF(COUNTIF(INDEX(SkiResort_ParkingRevenue_Raw[License Plate],1):SkiResort_ParkingRevenue_Raw[[#This Row],[License Plate]],SkiResort_ParkingRevenue_Raw[[#This Row],[License Plate]])=1,"New","Returning")</f>
        <v>New</v>
      </c>
      <c r="H339">
        <v>24.99</v>
      </c>
      <c r="I339">
        <v>1</v>
      </c>
      <c r="J339" t="str">
        <f t="shared" si="17"/>
        <v>All Season</v>
      </c>
    </row>
    <row r="340" spans="1:10" x14ac:dyDescent="0.25">
      <c r="A340" t="s">
        <v>1877</v>
      </c>
      <c r="B340" t="str" cm="1">
        <f t="array" ref="B34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40" s="6">
        <v>45353.360567129632</v>
      </c>
      <c r="D340" t="str">
        <f t="shared" si="15"/>
        <v>Saturday</v>
      </c>
      <c r="E340" s="6">
        <v>45353.416666666664</v>
      </c>
      <c r="F340" s="6" t="str">
        <f t="shared" si="16"/>
        <v>Saturday</v>
      </c>
      <c r="G340" t="str">
        <f>IF(COUNTIF(INDEX(SkiResort_ParkingRevenue_Raw[License Plate],1):SkiResort_ParkingRevenue_Raw[[#This Row],[License Plate]],SkiResort_ParkingRevenue_Raw[[#This Row],[License Plate]])=1,"New","Returning")</f>
        <v>Returning</v>
      </c>
      <c r="H340">
        <v>24.99</v>
      </c>
      <c r="I340">
        <v>1</v>
      </c>
      <c r="J340" t="str">
        <f t="shared" si="17"/>
        <v>All Season</v>
      </c>
    </row>
    <row r="341" spans="1:10" x14ac:dyDescent="0.25">
      <c r="A341" t="s">
        <v>1879</v>
      </c>
      <c r="B341" t="str" cm="1">
        <f t="array" ref="B34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41" s="6">
        <v>45353.36855324074</v>
      </c>
      <c r="D341" t="str">
        <f t="shared" si="15"/>
        <v>Saturday</v>
      </c>
      <c r="E341" s="6">
        <v>45353.416666666664</v>
      </c>
      <c r="F341" s="6" t="str">
        <f t="shared" si="16"/>
        <v>Saturday</v>
      </c>
      <c r="G341" t="str">
        <f>IF(COUNTIF(INDEX(SkiResort_ParkingRevenue_Raw[License Plate],1):SkiResort_ParkingRevenue_Raw[[#This Row],[License Plate]],SkiResort_ParkingRevenue_Raw[[#This Row],[License Plate]])=1,"New","Returning")</f>
        <v>Returning</v>
      </c>
      <c r="H341">
        <v>24.99</v>
      </c>
      <c r="I341">
        <v>1</v>
      </c>
      <c r="J341" t="str">
        <f t="shared" si="17"/>
        <v>All Season</v>
      </c>
    </row>
    <row r="342" spans="1:10" x14ac:dyDescent="0.25">
      <c r="A342" t="s">
        <v>1888</v>
      </c>
      <c r="B342" t="str" cm="1">
        <f t="array" ref="B34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42" s="6">
        <v>45353.426770833335</v>
      </c>
      <c r="D342" t="str">
        <f t="shared" si="15"/>
        <v>Saturday</v>
      </c>
      <c r="E342" s="6">
        <v>45353.416666666664</v>
      </c>
      <c r="F342" s="6" t="str">
        <f t="shared" si="16"/>
        <v>Saturday</v>
      </c>
      <c r="G342" t="str">
        <f>IF(COUNTIF(INDEX(SkiResort_ParkingRevenue_Raw[License Plate],1):SkiResort_ParkingRevenue_Raw[[#This Row],[License Plate]],SkiResort_ParkingRevenue_Raw[[#This Row],[License Plate]])=1,"New","Returning")</f>
        <v>New</v>
      </c>
      <c r="H342">
        <v>24.99</v>
      </c>
      <c r="I342">
        <v>1</v>
      </c>
      <c r="J342" t="str">
        <f t="shared" si="17"/>
        <v>All Season</v>
      </c>
    </row>
    <row r="343" spans="1:10" x14ac:dyDescent="0.25">
      <c r="A343" t="s">
        <v>1905</v>
      </c>
      <c r="B343" t="str" cm="1">
        <f t="array" ref="B34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43" s="6">
        <v>45353.441724537035</v>
      </c>
      <c r="D343" t="str">
        <f t="shared" si="15"/>
        <v>Saturday</v>
      </c>
      <c r="E343" s="6">
        <v>45353.416666666664</v>
      </c>
      <c r="F343" s="6" t="str">
        <f t="shared" si="16"/>
        <v>Saturday</v>
      </c>
      <c r="G343" t="str">
        <f>IF(COUNTIF(INDEX(SkiResort_ParkingRevenue_Raw[License Plate],1):SkiResort_ParkingRevenue_Raw[[#This Row],[License Plate]],SkiResort_ParkingRevenue_Raw[[#This Row],[License Plate]])=1,"New","Returning")</f>
        <v>New</v>
      </c>
      <c r="H343">
        <v>24.99</v>
      </c>
      <c r="I343">
        <v>1</v>
      </c>
      <c r="J343" t="str">
        <f t="shared" si="17"/>
        <v>All Season</v>
      </c>
    </row>
    <row r="344" spans="1:10" x14ac:dyDescent="0.25">
      <c r="A344" t="s">
        <v>1277</v>
      </c>
      <c r="B344" t="str" cm="1">
        <f t="array" ref="B34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44" s="6">
        <v>45354.291666666664</v>
      </c>
      <c r="D344" t="str">
        <f t="shared" si="15"/>
        <v>Sunday</v>
      </c>
      <c r="E344" s="6">
        <v>45354.416666666664</v>
      </c>
      <c r="F344" s="6" t="str">
        <f t="shared" si="16"/>
        <v>Sunday</v>
      </c>
      <c r="G344" t="str">
        <f>IF(COUNTIF(INDEX(SkiResort_ParkingRevenue_Raw[License Plate],1):SkiResort_ParkingRevenue_Raw[[#This Row],[License Plate]],SkiResort_ParkingRevenue_Raw[[#This Row],[License Plate]])=1,"New","Returning")</f>
        <v>Returning</v>
      </c>
      <c r="H344">
        <v>49.98</v>
      </c>
      <c r="I344">
        <v>2</v>
      </c>
      <c r="J344" t="str">
        <f t="shared" si="17"/>
        <v>All Season</v>
      </c>
    </row>
    <row r="345" spans="1:10" x14ac:dyDescent="0.25">
      <c r="A345" t="s">
        <v>1510</v>
      </c>
      <c r="B345" t="str" cm="1">
        <f t="array" ref="B34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45" s="6">
        <v>45354.291666666664</v>
      </c>
      <c r="D345" t="str">
        <f t="shared" si="15"/>
        <v>Sunday</v>
      </c>
      <c r="E345" s="6">
        <v>45354.416666666664</v>
      </c>
      <c r="F345" s="6" t="str">
        <f t="shared" si="16"/>
        <v>Sunday</v>
      </c>
      <c r="G345" t="str">
        <f>IF(COUNTIF(INDEX(SkiResort_ParkingRevenue_Raw[License Plate],1):SkiResort_ParkingRevenue_Raw[[#This Row],[License Plate]],SkiResort_ParkingRevenue_Raw[[#This Row],[License Plate]])=1,"New","Returning")</f>
        <v>Returning</v>
      </c>
      <c r="H345">
        <v>49.98</v>
      </c>
      <c r="I345">
        <v>2</v>
      </c>
      <c r="J345" t="str">
        <f t="shared" si="17"/>
        <v>All Season</v>
      </c>
    </row>
    <row r="346" spans="1:10" x14ac:dyDescent="0.25">
      <c r="A346" t="s">
        <v>1682</v>
      </c>
      <c r="B346" t="str" cm="1">
        <f t="array" ref="B34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46" s="6">
        <v>45354.291666666664</v>
      </c>
      <c r="D346" t="str">
        <f t="shared" si="15"/>
        <v>Sunday</v>
      </c>
      <c r="E346" s="6">
        <v>45354.416666666664</v>
      </c>
      <c r="F346" s="6" t="str">
        <f t="shared" si="16"/>
        <v>Sunday</v>
      </c>
      <c r="G346" t="str">
        <f>IF(COUNTIF(INDEX(SkiResort_ParkingRevenue_Raw[License Plate],1):SkiResort_ParkingRevenue_Raw[[#This Row],[License Plate]],SkiResort_ParkingRevenue_Raw[[#This Row],[License Plate]])=1,"New","Returning")</f>
        <v>Returning</v>
      </c>
      <c r="H346">
        <v>49.98</v>
      </c>
      <c r="I346">
        <v>2</v>
      </c>
      <c r="J346" t="str">
        <f t="shared" si="17"/>
        <v>All Season</v>
      </c>
    </row>
    <row r="347" spans="1:10" x14ac:dyDescent="0.25">
      <c r="A347" t="s">
        <v>1717</v>
      </c>
      <c r="B347" t="str" cm="1">
        <f t="array" ref="B34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47" s="6">
        <v>45354.291666666664</v>
      </c>
      <c r="D347" t="str">
        <f t="shared" si="15"/>
        <v>Sunday</v>
      </c>
      <c r="E347" s="6">
        <v>45354.416666666664</v>
      </c>
      <c r="F347" s="6" t="str">
        <f t="shared" si="16"/>
        <v>Sunday</v>
      </c>
      <c r="G347" t="str">
        <f>IF(COUNTIF(INDEX(SkiResort_ParkingRevenue_Raw[License Plate],1):SkiResort_ParkingRevenue_Raw[[#This Row],[License Plate]],SkiResort_ParkingRevenue_Raw[[#This Row],[License Plate]])=1,"New","Returning")</f>
        <v>Returning</v>
      </c>
      <c r="H347">
        <v>49.98</v>
      </c>
      <c r="I347">
        <v>2</v>
      </c>
      <c r="J347" t="str">
        <f t="shared" si="17"/>
        <v>All Season</v>
      </c>
    </row>
    <row r="348" spans="1:10" x14ac:dyDescent="0.25">
      <c r="A348" t="s">
        <v>1843</v>
      </c>
      <c r="B348" t="str" cm="1">
        <f t="array" ref="B34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48" s="6">
        <v>45354.291666666664</v>
      </c>
      <c r="D348" t="str">
        <f t="shared" si="15"/>
        <v>Sunday</v>
      </c>
      <c r="E348" s="6">
        <v>45354.416666666664</v>
      </c>
      <c r="F348" s="6" t="str">
        <f t="shared" si="16"/>
        <v>Sunday</v>
      </c>
      <c r="G348" t="str">
        <f>IF(COUNTIF(INDEX(SkiResort_ParkingRevenue_Raw[License Plate],1):SkiResort_ParkingRevenue_Raw[[#This Row],[License Plate]],SkiResort_ParkingRevenue_Raw[[#This Row],[License Plate]])=1,"New","Returning")</f>
        <v>New</v>
      </c>
      <c r="H348">
        <v>24.99</v>
      </c>
      <c r="I348">
        <v>1</v>
      </c>
      <c r="J348" t="str">
        <f t="shared" si="17"/>
        <v>All Season</v>
      </c>
    </row>
    <row r="349" spans="1:10" x14ac:dyDescent="0.25">
      <c r="A349" t="s">
        <v>1900</v>
      </c>
      <c r="B349" t="str" cm="1">
        <f t="array" ref="B34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49" s="6">
        <v>45354.291666666664</v>
      </c>
      <c r="D349" t="str">
        <f t="shared" si="15"/>
        <v>Sunday</v>
      </c>
      <c r="E349" s="6">
        <v>45354.416666666664</v>
      </c>
      <c r="F349" s="6" t="str">
        <f t="shared" si="16"/>
        <v>Sunday</v>
      </c>
      <c r="G349" t="str">
        <f>IF(COUNTIF(INDEX(SkiResort_ParkingRevenue_Raw[License Plate],1):SkiResort_ParkingRevenue_Raw[[#This Row],[License Plate]],SkiResort_ParkingRevenue_Raw[[#This Row],[License Plate]])=1,"New","Returning")</f>
        <v>New</v>
      </c>
      <c r="H349">
        <v>24.99</v>
      </c>
      <c r="I349">
        <v>1</v>
      </c>
      <c r="J349" t="str">
        <f t="shared" si="17"/>
        <v>All Season</v>
      </c>
    </row>
    <row r="350" spans="1:10" x14ac:dyDescent="0.25">
      <c r="A350" t="s">
        <v>1923</v>
      </c>
      <c r="B350" t="str" cm="1">
        <f t="array" ref="B35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50" s="6">
        <v>45354.291666666664</v>
      </c>
      <c r="D350" t="str">
        <f t="shared" si="15"/>
        <v>Sunday</v>
      </c>
      <c r="E350" s="6">
        <v>45354.416666666664</v>
      </c>
      <c r="F350" s="6" t="str">
        <f t="shared" si="16"/>
        <v>Sunday</v>
      </c>
      <c r="G350" t="str">
        <f>IF(COUNTIF(INDEX(SkiResort_ParkingRevenue_Raw[License Plate],1):SkiResort_ParkingRevenue_Raw[[#This Row],[License Plate]],SkiResort_ParkingRevenue_Raw[[#This Row],[License Plate]])=1,"New","Returning")</f>
        <v>Returning</v>
      </c>
      <c r="H350">
        <v>24.99</v>
      </c>
      <c r="I350">
        <v>1</v>
      </c>
      <c r="J350" t="str">
        <f t="shared" si="17"/>
        <v>All Season</v>
      </c>
    </row>
    <row r="351" spans="1:10" x14ac:dyDescent="0.25">
      <c r="A351" t="s">
        <v>1925</v>
      </c>
      <c r="B351" t="str" cm="1">
        <f t="array" ref="B35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51" s="6">
        <v>45354.291666666664</v>
      </c>
      <c r="D351" t="str">
        <f t="shared" si="15"/>
        <v>Sunday</v>
      </c>
      <c r="E351" s="6">
        <v>45354.416666666664</v>
      </c>
      <c r="F351" s="6" t="str">
        <f t="shared" si="16"/>
        <v>Sunday</v>
      </c>
      <c r="G351" t="str">
        <f>IF(COUNTIF(INDEX(SkiResort_ParkingRevenue_Raw[License Plate],1):SkiResort_ParkingRevenue_Raw[[#This Row],[License Plate]],SkiResort_ParkingRevenue_Raw[[#This Row],[License Plate]])=1,"New","Returning")</f>
        <v>New</v>
      </c>
      <c r="H351">
        <v>24.99</v>
      </c>
      <c r="I351">
        <v>1</v>
      </c>
      <c r="J351" t="str">
        <f t="shared" si="17"/>
        <v>All Season</v>
      </c>
    </row>
    <row r="352" spans="1:10" x14ac:dyDescent="0.25">
      <c r="A352" t="s">
        <v>1934</v>
      </c>
      <c r="B352" t="str" cm="1">
        <f t="array" ref="B35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52" s="6">
        <v>45354.291666666664</v>
      </c>
      <c r="D352" t="str">
        <f t="shared" si="15"/>
        <v>Sunday</v>
      </c>
      <c r="E352" s="6">
        <v>45354.416666666664</v>
      </c>
      <c r="F352" s="6" t="str">
        <f t="shared" si="16"/>
        <v>Sunday</v>
      </c>
      <c r="G352" t="str">
        <f>IF(COUNTIF(INDEX(SkiResort_ParkingRevenue_Raw[License Plate],1):SkiResort_ParkingRevenue_Raw[[#This Row],[License Plate]],SkiResort_ParkingRevenue_Raw[[#This Row],[License Plate]])=1,"New","Returning")</f>
        <v>Returning</v>
      </c>
      <c r="H352">
        <v>24.99</v>
      </c>
      <c r="I352">
        <v>1</v>
      </c>
      <c r="J352" t="str">
        <f t="shared" si="17"/>
        <v>All Season</v>
      </c>
    </row>
    <row r="353" spans="1:10" x14ac:dyDescent="0.25">
      <c r="A353" t="s">
        <v>1936</v>
      </c>
      <c r="B353" t="str" cm="1">
        <f t="array" ref="B35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53" s="6">
        <v>45354.350046296298</v>
      </c>
      <c r="D353" t="str">
        <f t="shared" si="15"/>
        <v>Sunday</v>
      </c>
      <c r="E353" s="6">
        <v>45354.416666666664</v>
      </c>
      <c r="F353" s="6" t="str">
        <f t="shared" si="16"/>
        <v>Sunday</v>
      </c>
      <c r="G353" t="str">
        <f>IF(COUNTIF(INDEX(SkiResort_ParkingRevenue_Raw[License Plate],1):SkiResort_ParkingRevenue_Raw[[#This Row],[License Plate]],SkiResort_ParkingRevenue_Raw[[#This Row],[License Plate]])=1,"New","Returning")</f>
        <v>Returning</v>
      </c>
      <c r="H353">
        <v>24.99</v>
      </c>
      <c r="I353">
        <v>1</v>
      </c>
      <c r="J353" t="str">
        <f t="shared" si="17"/>
        <v>All Season</v>
      </c>
    </row>
    <row r="354" spans="1:10" x14ac:dyDescent="0.25">
      <c r="A354" t="s">
        <v>1938</v>
      </c>
      <c r="B354" t="str" cm="1">
        <f t="array" ref="B35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54" s="6">
        <v>45354.355567129627</v>
      </c>
      <c r="D354" t="str">
        <f t="shared" si="15"/>
        <v>Sunday</v>
      </c>
      <c r="E354" s="6">
        <v>45354.416666666664</v>
      </c>
      <c r="F354" s="6" t="str">
        <f t="shared" si="16"/>
        <v>Sunday</v>
      </c>
      <c r="G354" t="str">
        <f>IF(COUNTIF(INDEX(SkiResort_ParkingRevenue_Raw[License Plate],1):SkiResort_ParkingRevenue_Raw[[#This Row],[License Plate]],SkiResort_ParkingRevenue_Raw[[#This Row],[License Plate]])=1,"New","Returning")</f>
        <v>Returning</v>
      </c>
      <c r="H354">
        <v>24.99</v>
      </c>
      <c r="I354">
        <v>1</v>
      </c>
      <c r="J354" t="str">
        <f t="shared" si="17"/>
        <v>All Season</v>
      </c>
    </row>
    <row r="355" spans="1:10" x14ac:dyDescent="0.25">
      <c r="A355" t="s">
        <v>1329</v>
      </c>
      <c r="B355" t="str" cm="1">
        <f t="array" ref="B35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55" s="6">
        <v>45356.291666666664</v>
      </c>
      <c r="D355" t="str">
        <f t="shared" si="15"/>
        <v>Tuesday</v>
      </c>
      <c r="E355" s="6">
        <v>45356.416666666664</v>
      </c>
      <c r="F355" s="6" t="str">
        <f t="shared" si="16"/>
        <v>Tuesday</v>
      </c>
      <c r="G355" t="str">
        <f>IF(COUNTIF(INDEX(SkiResort_ParkingRevenue_Raw[License Plate],1):SkiResort_ParkingRevenue_Raw[[#This Row],[License Plate]],SkiResort_ParkingRevenue_Raw[[#This Row],[License Plate]])=1,"New","Returning")</f>
        <v>New</v>
      </c>
      <c r="H355">
        <v>19.989999999999998</v>
      </c>
      <c r="I355">
        <v>1</v>
      </c>
      <c r="J355" t="str">
        <f t="shared" si="17"/>
        <v>All Season</v>
      </c>
    </row>
    <row r="356" spans="1:10" x14ac:dyDescent="0.25">
      <c r="A356" t="s">
        <v>1340</v>
      </c>
      <c r="B356" t="str" cm="1">
        <f t="array" ref="B35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56" s="6">
        <v>45356.291666666664</v>
      </c>
      <c r="D356" t="str">
        <f t="shared" si="15"/>
        <v>Tuesday</v>
      </c>
      <c r="E356" s="6">
        <v>45356.416666666664</v>
      </c>
      <c r="F356" s="6" t="str">
        <f t="shared" si="16"/>
        <v>Tuesday</v>
      </c>
      <c r="G356" t="str">
        <f>IF(COUNTIF(INDEX(SkiResort_ParkingRevenue_Raw[License Plate],1):SkiResort_ParkingRevenue_Raw[[#This Row],[License Plate]],SkiResort_ParkingRevenue_Raw[[#This Row],[License Plate]])=1,"New","Returning")</f>
        <v>Returning</v>
      </c>
      <c r="H356">
        <v>19.989999999999998</v>
      </c>
      <c r="I356">
        <v>1</v>
      </c>
      <c r="J356" t="str">
        <f t="shared" si="17"/>
        <v>All Season</v>
      </c>
    </row>
    <row r="357" spans="1:10" x14ac:dyDescent="0.25">
      <c r="A357" t="s">
        <v>1347</v>
      </c>
      <c r="B357" t="str" cm="1">
        <f t="array" ref="B35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57" s="6">
        <v>45356.451990740738</v>
      </c>
      <c r="D357" t="str">
        <f t="shared" si="15"/>
        <v>Tuesday</v>
      </c>
      <c r="E357" s="6">
        <v>45356.416666666664</v>
      </c>
      <c r="F357" s="6" t="str">
        <f t="shared" si="16"/>
        <v>Tuesday</v>
      </c>
      <c r="G357" t="str">
        <f>IF(COUNTIF(INDEX(SkiResort_ParkingRevenue_Raw[License Plate],1):SkiResort_ParkingRevenue_Raw[[#This Row],[License Plate]],SkiResort_ParkingRevenue_Raw[[#This Row],[License Plate]])=1,"New","Returning")</f>
        <v>New</v>
      </c>
      <c r="H357">
        <v>19.989999999999998</v>
      </c>
      <c r="I357">
        <v>1</v>
      </c>
      <c r="J357" t="str">
        <f t="shared" si="17"/>
        <v>All Season</v>
      </c>
    </row>
    <row r="358" spans="1:10" x14ac:dyDescent="0.25">
      <c r="A358" t="s">
        <v>1417</v>
      </c>
      <c r="B358" t="str" cm="1">
        <f t="array" ref="B35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58" s="6">
        <v>45357.291666666664</v>
      </c>
      <c r="D358" t="str">
        <f t="shared" si="15"/>
        <v>Wednesday</v>
      </c>
      <c r="E358" s="6">
        <v>45357.416666666664</v>
      </c>
      <c r="F358" s="6" t="str">
        <f t="shared" si="16"/>
        <v>Wednesday</v>
      </c>
      <c r="G358" t="str">
        <f>IF(COUNTIF(INDEX(SkiResort_ParkingRevenue_Raw[License Plate],1):SkiResort_ParkingRevenue_Raw[[#This Row],[License Plate]],SkiResort_ParkingRevenue_Raw[[#This Row],[License Plate]])=1,"New","Returning")</f>
        <v>New</v>
      </c>
      <c r="H358">
        <v>19.989999999999998</v>
      </c>
      <c r="I358">
        <v>1</v>
      </c>
      <c r="J358" t="str">
        <f t="shared" si="17"/>
        <v>All Season</v>
      </c>
    </row>
    <row r="359" spans="1:10" x14ac:dyDescent="0.25">
      <c r="A359" t="s">
        <v>1459</v>
      </c>
      <c r="B359" t="str" cm="1">
        <f t="array" ref="B35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59" s="6">
        <v>45358.291666666664</v>
      </c>
      <c r="D359" t="str">
        <f t="shared" si="15"/>
        <v>Thursday</v>
      </c>
      <c r="E359" s="6">
        <v>45358.416666666664</v>
      </c>
      <c r="F359" s="6" t="str">
        <f t="shared" si="16"/>
        <v>Thursday</v>
      </c>
      <c r="G359" t="str">
        <f>IF(COUNTIF(INDEX(SkiResort_ParkingRevenue_Raw[License Plate],1):SkiResort_ParkingRevenue_Raw[[#This Row],[License Plate]],SkiResort_ParkingRevenue_Raw[[#This Row],[License Plate]])=1,"New","Returning")</f>
        <v>New</v>
      </c>
      <c r="H359">
        <v>19.989999999999998</v>
      </c>
      <c r="I359">
        <v>1</v>
      </c>
      <c r="J359" t="str">
        <f t="shared" si="17"/>
        <v>All Season</v>
      </c>
    </row>
    <row r="360" spans="1:10" x14ac:dyDescent="0.25">
      <c r="A360" t="s">
        <v>1464</v>
      </c>
      <c r="B360" t="str" cm="1">
        <f t="array" ref="B36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60" s="6">
        <v>45358.291666666664</v>
      </c>
      <c r="D360" t="str">
        <f t="shared" si="15"/>
        <v>Thursday</v>
      </c>
      <c r="E360" s="6">
        <v>45358.416666666664</v>
      </c>
      <c r="F360" s="6" t="str">
        <f t="shared" si="16"/>
        <v>Thursday</v>
      </c>
      <c r="G360" t="str">
        <f>IF(COUNTIF(INDEX(SkiResort_ParkingRevenue_Raw[License Plate],1):SkiResort_ParkingRevenue_Raw[[#This Row],[License Plate]],SkiResort_ParkingRevenue_Raw[[#This Row],[License Plate]])=1,"New","Returning")</f>
        <v>New</v>
      </c>
      <c r="H360">
        <v>19.989999999999998</v>
      </c>
      <c r="I360">
        <v>1</v>
      </c>
      <c r="J360" t="str">
        <f t="shared" si="17"/>
        <v>All Season</v>
      </c>
    </row>
    <row r="361" spans="1:10" x14ac:dyDescent="0.25">
      <c r="A361" t="s">
        <v>1469</v>
      </c>
      <c r="B361" t="str" cm="1">
        <f t="array" ref="B36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61" s="6">
        <v>45358.291666666664</v>
      </c>
      <c r="D361" t="str">
        <f t="shared" si="15"/>
        <v>Thursday</v>
      </c>
      <c r="E361" s="6">
        <v>45358.416666666664</v>
      </c>
      <c r="F361" s="6" t="str">
        <f t="shared" si="16"/>
        <v>Thursday</v>
      </c>
      <c r="G361" t="str">
        <f>IF(COUNTIF(INDEX(SkiResort_ParkingRevenue_Raw[License Plate],1):SkiResort_ParkingRevenue_Raw[[#This Row],[License Plate]],SkiResort_ParkingRevenue_Raw[[#This Row],[License Plate]])=1,"New","Returning")</f>
        <v>Returning</v>
      </c>
      <c r="H361">
        <v>19.989999999999998</v>
      </c>
      <c r="I361">
        <v>1</v>
      </c>
      <c r="J361" t="str">
        <f t="shared" si="17"/>
        <v>All Season</v>
      </c>
    </row>
    <row r="362" spans="1:10" x14ac:dyDescent="0.25">
      <c r="A362" t="s">
        <v>1319</v>
      </c>
      <c r="B362" t="str" cm="1">
        <f t="array" ref="B36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62" s="6">
        <v>45359.291666666664</v>
      </c>
      <c r="D362" t="str">
        <f t="shared" si="15"/>
        <v>Friday</v>
      </c>
      <c r="E362" s="6">
        <v>45359.416666666664</v>
      </c>
      <c r="F362" s="6" t="str">
        <f t="shared" si="16"/>
        <v>Friday</v>
      </c>
      <c r="G362" t="str">
        <f>IF(COUNTIF(INDEX(SkiResort_ParkingRevenue_Raw[License Plate],1):SkiResort_ParkingRevenue_Raw[[#This Row],[License Plate]],SkiResort_ParkingRevenue_Raw[[#This Row],[License Plate]])=1,"New","Returning")</f>
        <v>Returning</v>
      </c>
      <c r="H362">
        <v>19.989999999999998</v>
      </c>
      <c r="I362">
        <v>1</v>
      </c>
      <c r="J362" t="str">
        <f t="shared" si="17"/>
        <v>All Season</v>
      </c>
    </row>
    <row r="363" spans="1:10" x14ac:dyDescent="0.25">
      <c r="A363" t="s">
        <v>1434</v>
      </c>
      <c r="B363" t="str" cm="1">
        <f t="array" ref="B36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63" s="6">
        <v>45359.291666666664</v>
      </c>
      <c r="D363" t="str">
        <f t="shared" si="15"/>
        <v>Friday</v>
      </c>
      <c r="E363" s="6">
        <v>45359.416666666664</v>
      </c>
      <c r="F363" s="6" t="str">
        <f t="shared" si="16"/>
        <v>Friday</v>
      </c>
      <c r="G363" t="str">
        <f>IF(COUNTIF(INDEX(SkiResort_ParkingRevenue_Raw[License Plate],1):SkiResort_ParkingRevenue_Raw[[#This Row],[License Plate]],SkiResort_ParkingRevenue_Raw[[#This Row],[License Plate]])=1,"New","Returning")</f>
        <v>New</v>
      </c>
      <c r="H363">
        <v>19.989999999999998</v>
      </c>
      <c r="I363">
        <v>1</v>
      </c>
      <c r="J363" t="str">
        <f t="shared" si="17"/>
        <v>All Season</v>
      </c>
    </row>
    <row r="364" spans="1:10" x14ac:dyDescent="0.25">
      <c r="A364" t="s">
        <v>1295</v>
      </c>
      <c r="B364" t="str" cm="1">
        <f t="array" ref="B36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64" s="6">
        <v>45360.291666666664</v>
      </c>
      <c r="D364" t="str">
        <f t="shared" si="15"/>
        <v>Saturday</v>
      </c>
      <c r="E364" s="6">
        <v>45360.416666666664</v>
      </c>
      <c r="F364" s="6" t="str">
        <f t="shared" si="16"/>
        <v>Saturday</v>
      </c>
      <c r="G364" t="str">
        <f>IF(COUNTIF(INDEX(SkiResort_ParkingRevenue_Raw[License Plate],1):SkiResort_ParkingRevenue_Raw[[#This Row],[License Plate]],SkiResort_ParkingRevenue_Raw[[#This Row],[License Plate]])=1,"New","Returning")</f>
        <v>New</v>
      </c>
      <c r="H364">
        <v>24.99</v>
      </c>
      <c r="I364">
        <v>1</v>
      </c>
      <c r="J364" t="str">
        <f t="shared" si="17"/>
        <v>All Season</v>
      </c>
    </row>
    <row r="365" spans="1:10" x14ac:dyDescent="0.25">
      <c r="A365" t="s">
        <v>1299</v>
      </c>
      <c r="B365" t="str" cm="1">
        <f t="array" ref="B36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65" s="6">
        <v>45360.291666666664</v>
      </c>
      <c r="D365" t="str">
        <f t="shared" si="15"/>
        <v>Saturday</v>
      </c>
      <c r="E365" s="6">
        <v>45360.416666666664</v>
      </c>
      <c r="F365" s="6" t="str">
        <f t="shared" si="16"/>
        <v>Saturday</v>
      </c>
      <c r="G365" t="str">
        <f>IF(COUNTIF(INDEX(SkiResort_ParkingRevenue_Raw[License Plate],1):SkiResort_ParkingRevenue_Raw[[#This Row],[License Plate]],SkiResort_ParkingRevenue_Raw[[#This Row],[License Plate]])=1,"New","Returning")</f>
        <v>Returning</v>
      </c>
      <c r="H365">
        <v>24.99</v>
      </c>
      <c r="I365">
        <v>1</v>
      </c>
      <c r="J365" t="str">
        <f t="shared" si="17"/>
        <v>All Season</v>
      </c>
    </row>
    <row r="366" spans="1:10" x14ac:dyDescent="0.25">
      <c r="A366" t="s">
        <v>1321</v>
      </c>
      <c r="B366" t="str" cm="1">
        <f t="array" ref="B36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66" s="6">
        <v>45360.291666666664</v>
      </c>
      <c r="D366" t="str">
        <f t="shared" si="15"/>
        <v>Saturday</v>
      </c>
      <c r="E366" s="6">
        <v>45360.416666666664</v>
      </c>
      <c r="F366" s="6" t="str">
        <f t="shared" si="16"/>
        <v>Saturday</v>
      </c>
      <c r="G366" t="str">
        <f>IF(COUNTIF(INDEX(SkiResort_ParkingRevenue_Raw[License Plate],1):SkiResort_ParkingRevenue_Raw[[#This Row],[License Plate]],SkiResort_ParkingRevenue_Raw[[#This Row],[License Plate]])=1,"New","Returning")</f>
        <v>Returning</v>
      </c>
      <c r="H366">
        <v>24.99</v>
      </c>
      <c r="I366">
        <v>1</v>
      </c>
      <c r="J366" t="str">
        <f t="shared" si="17"/>
        <v>All Season</v>
      </c>
    </row>
    <row r="367" spans="1:10" x14ac:dyDescent="0.25">
      <c r="A367" t="s">
        <v>1470</v>
      </c>
      <c r="B367" t="str" cm="1">
        <f t="array" ref="B36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67" s="6">
        <v>45360.291666666664</v>
      </c>
      <c r="D367" t="str">
        <f t="shared" si="15"/>
        <v>Saturday</v>
      </c>
      <c r="E367" s="6">
        <v>45360.416666666664</v>
      </c>
      <c r="F367" s="6" t="str">
        <f t="shared" si="16"/>
        <v>Saturday</v>
      </c>
      <c r="G367" t="str">
        <f>IF(COUNTIF(INDEX(SkiResort_ParkingRevenue_Raw[License Plate],1):SkiResort_ParkingRevenue_Raw[[#This Row],[License Plate]],SkiResort_ParkingRevenue_Raw[[#This Row],[License Plate]])=1,"New","Returning")</f>
        <v>Returning</v>
      </c>
      <c r="H367">
        <v>24.99</v>
      </c>
      <c r="I367">
        <v>1</v>
      </c>
      <c r="J367" t="str">
        <f t="shared" si="17"/>
        <v>All Season</v>
      </c>
    </row>
    <row r="368" spans="1:10" x14ac:dyDescent="0.25">
      <c r="A368" t="s">
        <v>1541</v>
      </c>
      <c r="B368" t="str" cm="1">
        <f t="array" ref="B36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68" s="6">
        <v>45360.291666666664</v>
      </c>
      <c r="D368" t="str">
        <f t="shared" si="15"/>
        <v>Saturday</v>
      </c>
      <c r="E368" s="6">
        <v>45360.416666666664</v>
      </c>
      <c r="F368" s="6" t="str">
        <f t="shared" si="16"/>
        <v>Saturday</v>
      </c>
      <c r="G368" t="str">
        <f>IF(COUNTIF(INDEX(SkiResort_ParkingRevenue_Raw[License Plate],1):SkiResort_ParkingRevenue_Raw[[#This Row],[License Plate]],SkiResort_ParkingRevenue_Raw[[#This Row],[License Plate]])=1,"New","Returning")</f>
        <v>New</v>
      </c>
      <c r="H368">
        <v>49.98</v>
      </c>
      <c r="I368">
        <v>2</v>
      </c>
      <c r="J368" t="str">
        <f t="shared" si="17"/>
        <v>All Season</v>
      </c>
    </row>
    <row r="369" spans="1:10" x14ac:dyDescent="0.25">
      <c r="A369" t="s">
        <v>1587</v>
      </c>
      <c r="B369" t="str" cm="1">
        <f t="array" ref="B36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69" s="6">
        <v>45360.291666666664</v>
      </c>
      <c r="D369" t="str">
        <f t="shared" si="15"/>
        <v>Saturday</v>
      </c>
      <c r="E369" s="6">
        <v>45360.416666666664</v>
      </c>
      <c r="F369" s="6" t="str">
        <f t="shared" si="16"/>
        <v>Saturday</v>
      </c>
      <c r="G369" t="str">
        <f>IF(COUNTIF(INDEX(SkiResort_ParkingRevenue_Raw[License Plate],1):SkiResort_ParkingRevenue_Raw[[#This Row],[License Plate]],SkiResort_ParkingRevenue_Raw[[#This Row],[License Plate]])=1,"New","Returning")</f>
        <v>New</v>
      </c>
      <c r="H369">
        <v>24.99</v>
      </c>
      <c r="I369">
        <v>1</v>
      </c>
      <c r="J369" t="str">
        <f t="shared" si="17"/>
        <v>All Season</v>
      </c>
    </row>
    <row r="370" spans="1:10" x14ac:dyDescent="0.25">
      <c r="A370" t="s">
        <v>1622</v>
      </c>
      <c r="B370" t="str" cm="1">
        <f t="array" ref="B37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70" s="6">
        <v>45360.291666666664</v>
      </c>
      <c r="D370" t="str">
        <f t="shared" si="15"/>
        <v>Saturday</v>
      </c>
      <c r="E370" s="6">
        <v>45360.416666666664</v>
      </c>
      <c r="F370" s="6" t="str">
        <f t="shared" si="16"/>
        <v>Saturday</v>
      </c>
      <c r="G370" t="str">
        <f>IF(COUNTIF(INDEX(SkiResort_ParkingRevenue_Raw[License Plate],1):SkiResort_ParkingRevenue_Raw[[#This Row],[License Plate]],SkiResort_ParkingRevenue_Raw[[#This Row],[License Plate]])=1,"New","Returning")</f>
        <v>Returning</v>
      </c>
      <c r="H370">
        <v>24.99</v>
      </c>
      <c r="I370">
        <v>1</v>
      </c>
      <c r="J370" t="str">
        <f t="shared" si="17"/>
        <v>All Season</v>
      </c>
    </row>
    <row r="371" spans="1:10" x14ac:dyDescent="0.25">
      <c r="A371" t="s">
        <v>1640</v>
      </c>
      <c r="B371" t="str" cm="1">
        <f t="array" ref="B37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71" s="6">
        <v>45360.291666666664</v>
      </c>
      <c r="D371" t="str">
        <f t="shared" si="15"/>
        <v>Saturday</v>
      </c>
      <c r="E371" s="6">
        <v>45360.416666666664</v>
      </c>
      <c r="F371" s="6" t="str">
        <f t="shared" si="16"/>
        <v>Saturday</v>
      </c>
      <c r="G371" t="str">
        <f>IF(COUNTIF(INDEX(SkiResort_ParkingRevenue_Raw[License Plate],1):SkiResort_ParkingRevenue_Raw[[#This Row],[License Plate]],SkiResort_ParkingRevenue_Raw[[#This Row],[License Plate]])=1,"New","Returning")</f>
        <v>Returning</v>
      </c>
      <c r="H371">
        <v>24.99</v>
      </c>
      <c r="I371">
        <v>1</v>
      </c>
      <c r="J371" t="str">
        <f t="shared" si="17"/>
        <v>All Season</v>
      </c>
    </row>
    <row r="372" spans="1:10" x14ac:dyDescent="0.25">
      <c r="A372" t="s">
        <v>1893</v>
      </c>
      <c r="B372" t="str" cm="1">
        <f t="array" ref="B37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72" s="6">
        <v>45360.291666666664</v>
      </c>
      <c r="D372" t="str">
        <f t="shared" si="15"/>
        <v>Saturday</v>
      </c>
      <c r="E372" s="6">
        <v>45360.416666666664</v>
      </c>
      <c r="F372" s="6" t="str">
        <f t="shared" si="16"/>
        <v>Saturday</v>
      </c>
      <c r="G372" t="str">
        <f>IF(COUNTIF(INDEX(SkiResort_ParkingRevenue_Raw[License Plate],1):SkiResort_ParkingRevenue_Raw[[#This Row],[License Plate]],SkiResort_ParkingRevenue_Raw[[#This Row],[License Plate]])=1,"New","Returning")</f>
        <v>New</v>
      </c>
      <c r="H372">
        <v>49.98</v>
      </c>
      <c r="I372">
        <v>2</v>
      </c>
      <c r="J372" t="str">
        <f t="shared" si="17"/>
        <v>All Season</v>
      </c>
    </row>
    <row r="373" spans="1:10" x14ac:dyDescent="0.25">
      <c r="A373" t="s">
        <v>1915</v>
      </c>
      <c r="B373" t="str" cm="1">
        <f t="array" ref="B37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73" s="6">
        <v>45360.291666666664</v>
      </c>
      <c r="D373" t="str">
        <f t="shared" si="15"/>
        <v>Saturday</v>
      </c>
      <c r="E373" s="6">
        <v>45360.416666666664</v>
      </c>
      <c r="F373" s="6" t="str">
        <f t="shared" si="16"/>
        <v>Saturday</v>
      </c>
      <c r="G373" t="str">
        <f>IF(COUNTIF(INDEX(SkiResort_ParkingRevenue_Raw[License Plate],1):SkiResort_ParkingRevenue_Raw[[#This Row],[License Plate]],SkiResort_ParkingRevenue_Raw[[#This Row],[License Plate]])=1,"New","Returning")</f>
        <v>New</v>
      </c>
      <c r="H373">
        <v>24.99</v>
      </c>
      <c r="I373">
        <v>1</v>
      </c>
      <c r="J373" t="str">
        <f t="shared" si="17"/>
        <v>All Season</v>
      </c>
    </row>
    <row r="374" spans="1:10" x14ac:dyDescent="0.25">
      <c r="A374" t="s">
        <v>1659</v>
      </c>
      <c r="B374" t="str" cm="1">
        <f t="array" ref="B37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74" s="6">
        <v>45360.367337962962</v>
      </c>
      <c r="D374" t="str">
        <f t="shared" si="15"/>
        <v>Saturday</v>
      </c>
      <c r="E374" s="6">
        <v>45360.416666666664</v>
      </c>
      <c r="F374" s="6" t="str">
        <f t="shared" si="16"/>
        <v>Saturday</v>
      </c>
      <c r="G374" t="str">
        <f>IF(COUNTIF(INDEX(SkiResort_ParkingRevenue_Raw[License Plate],1):SkiResort_ParkingRevenue_Raw[[#This Row],[License Plate]],SkiResort_ParkingRevenue_Raw[[#This Row],[License Plate]])=1,"New","Returning")</f>
        <v>New</v>
      </c>
      <c r="H374">
        <v>24.99</v>
      </c>
      <c r="I374">
        <v>1</v>
      </c>
      <c r="J374" t="str">
        <f t="shared" si="17"/>
        <v>All Season</v>
      </c>
    </row>
    <row r="375" spans="1:10" x14ac:dyDescent="0.25">
      <c r="A375" t="s">
        <v>1663</v>
      </c>
      <c r="B375" t="str" cm="1">
        <f t="array" ref="B37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75" s="6">
        <v>45360.369560185187</v>
      </c>
      <c r="D375" t="str">
        <f t="shared" si="15"/>
        <v>Saturday</v>
      </c>
      <c r="E375" s="6">
        <v>45360.416666666664</v>
      </c>
      <c r="F375" s="6" t="str">
        <f t="shared" si="16"/>
        <v>Saturday</v>
      </c>
      <c r="G375" t="str">
        <f>IF(COUNTIF(INDEX(SkiResort_ParkingRevenue_Raw[License Plate],1):SkiResort_ParkingRevenue_Raw[[#This Row],[License Plate]],SkiResort_ParkingRevenue_Raw[[#This Row],[License Plate]])=1,"New","Returning")</f>
        <v>New</v>
      </c>
      <c r="H375">
        <v>24.99</v>
      </c>
      <c r="I375">
        <v>1</v>
      </c>
      <c r="J375" t="str">
        <f t="shared" si="17"/>
        <v>All Season</v>
      </c>
    </row>
    <row r="376" spans="1:10" x14ac:dyDescent="0.25">
      <c r="A376" t="s">
        <v>1668</v>
      </c>
      <c r="B376" t="str" cm="1">
        <f t="array" ref="B37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76" s="6">
        <v>45360.453356481485</v>
      </c>
      <c r="D376" t="str">
        <f t="shared" si="15"/>
        <v>Saturday</v>
      </c>
      <c r="E376" s="6">
        <v>45360.416666666664</v>
      </c>
      <c r="F376" s="6" t="str">
        <f t="shared" si="16"/>
        <v>Saturday</v>
      </c>
      <c r="G376" t="str">
        <f>IF(COUNTIF(INDEX(SkiResort_ParkingRevenue_Raw[License Plate],1):SkiResort_ParkingRevenue_Raw[[#This Row],[License Plate]],SkiResort_ParkingRevenue_Raw[[#This Row],[License Plate]])=1,"New","Returning")</f>
        <v>Returning</v>
      </c>
      <c r="H376">
        <v>49.98</v>
      </c>
      <c r="I376">
        <v>2</v>
      </c>
      <c r="J376" t="str">
        <f t="shared" si="17"/>
        <v>All Season</v>
      </c>
    </row>
    <row r="377" spans="1:10" x14ac:dyDescent="0.25">
      <c r="A377" t="s">
        <v>1522</v>
      </c>
      <c r="B377" t="str" cm="1">
        <f t="array" ref="B37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77" s="6">
        <v>45361.291666666664</v>
      </c>
      <c r="D377" t="str">
        <f t="shared" si="15"/>
        <v>Sunday</v>
      </c>
      <c r="E377" s="6">
        <v>45361.416666666664</v>
      </c>
      <c r="F377" s="6" t="str">
        <f t="shared" si="16"/>
        <v>Sunday</v>
      </c>
      <c r="G377" t="str">
        <f>IF(COUNTIF(INDEX(SkiResort_ParkingRevenue_Raw[License Plate],1):SkiResort_ParkingRevenue_Raw[[#This Row],[License Plate]],SkiResort_ParkingRevenue_Raw[[#This Row],[License Plate]])=1,"New","Returning")</f>
        <v>Returning</v>
      </c>
      <c r="H377">
        <v>24.99</v>
      </c>
      <c r="I377">
        <v>1</v>
      </c>
      <c r="J377" t="str">
        <f t="shared" si="17"/>
        <v>All Season</v>
      </c>
    </row>
    <row r="378" spans="1:10" x14ac:dyDescent="0.25">
      <c r="A378" t="s">
        <v>1546</v>
      </c>
      <c r="B378" t="str" cm="1">
        <f t="array" ref="B37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78" s="6">
        <v>45361.291666666664</v>
      </c>
      <c r="D378" t="str">
        <f t="shared" si="15"/>
        <v>Sunday</v>
      </c>
      <c r="E378" s="6">
        <v>45361.416666666664</v>
      </c>
      <c r="F378" s="6" t="str">
        <f t="shared" si="16"/>
        <v>Sunday</v>
      </c>
      <c r="G378" t="str">
        <f>IF(COUNTIF(INDEX(SkiResort_ParkingRevenue_Raw[License Plate],1):SkiResort_ParkingRevenue_Raw[[#This Row],[License Plate]],SkiResort_ParkingRevenue_Raw[[#This Row],[License Plate]])=1,"New","Returning")</f>
        <v>Returning</v>
      </c>
      <c r="H378">
        <v>49.98</v>
      </c>
      <c r="I378">
        <v>2</v>
      </c>
      <c r="J378" t="str">
        <f t="shared" si="17"/>
        <v>All Season</v>
      </c>
    </row>
    <row r="379" spans="1:10" x14ac:dyDescent="0.25">
      <c r="A379" t="s">
        <v>1577</v>
      </c>
      <c r="B379" t="str" cm="1">
        <f t="array" ref="B37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79" s="6">
        <v>45361.291666666664</v>
      </c>
      <c r="D379" t="str">
        <f t="shared" si="15"/>
        <v>Sunday</v>
      </c>
      <c r="E379" s="6">
        <v>45361.416666666664</v>
      </c>
      <c r="F379" s="6" t="str">
        <f t="shared" si="16"/>
        <v>Sunday</v>
      </c>
      <c r="G379" t="str">
        <f>IF(COUNTIF(INDEX(SkiResort_ParkingRevenue_Raw[License Plate],1):SkiResort_ParkingRevenue_Raw[[#This Row],[License Plate]],SkiResort_ParkingRevenue_Raw[[#This Row],[License Plate]])=1,"New","Returning")</f>
        <v>New</v>
      </c>
      <c r="H379">
        <v>24.99</v>
      </c>
      <c r="I379">
        <v>1</v>
      </c>
      <c r="J379" t="str">
        <f t="shared" si="17"/>
        <v>All Season</v>
      </c>
    </row>
    <row r="380" spans="1:10" x14ac:dyDescent="0.25">
      <c r="A380" t="s">
        <v>1670</v>
      </c>
      <c r="B380" t="str" cm="1">
        <f t="array" ref="B38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80" s="6">
        <v>45361.291666666664</v>
      </c>
      <c r="D380" t="str">
        <f t="shared" si="15"/>
        <v>Sunday</v>
      </c>
      <c r="E380" s="6">
        <v>45361.416666666664</v>
      </c>
      <c r="F380" s="6" t="str">
        <f t="shared" si="16"/>
        <v>Sunday</v>
      </c>
      <c r="G380" t="str">
        <f>IF(COUNTIF(INDEX(SkiResort_ParkingRevenue_Raw[License Plate],1):SkiResort_ParkingRevenue_Raw[[#This Row],[License Plate]],SkiResort_ParkingRevenue_Raw[[#This Row],[License Plate]])=1,"New","Returning")</f>
        <v>Returning</v>
      </c>
      <c r="H380">
        <v>49.98</v>
      </c>
      <c r="I380">
        <v>2</v>
      </c>
      <c r="J380" t="str">
        <f t="shared" si="17"/>
        <v>All Season</v>
      </c>
    </row>
    <row r="381" spans="1:10" x14ac:dyDescent="0.25">
      <c r="A381" t="s">
        <v>1693</v>
      </c>
      <c r="B381" t="str" cm="1">
        <f t="array" ref="B38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81" s="6">
        <v>45361.291666666664</v>
      </c>
      <c r="D381" t="str">
        <f t="shared" si="15"/>
        <v>Sunday</v>
      </c>
      <c r="E381" s="6">
        <v>45361.416666666664</v>
      </c>
      <c r="F381" s="6" t="str">
        <f t="shared" si="16"/>
        <v>Sunday</v>
      </c>
      <c r="G381" t="str">
        <f>IF(COUNTIF(INDEX(SkiResort_ParkingRevenue_Raw[License Plate],1):SkiResort_ParkingRevenue_Raw[[#This Row],[License Plate]],SkiResort_ParkingRevenue_Raw[[#This Row],[License Plate]])=1,"New","Returning")</f>
        <v>New</v>
      </c>
      <c r="H381">
        <v>24.99</v>
      </c>
      <c r="I381">
        <v>1</v>
      </c>
      <c r="J381" t="str">
        <f t="shared" si="17"/>
        <v>All Season</v>
      </c>
    </row>
    <row r="382" spans="1:10" x14ac:dyDescent="0.25">
      <c r="A382" t="s">
        <v>1698</v>
      </c>
      <c r="B382" t="str" cm="1">
        <f t="array" ref="B38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82" s="6">
        <v>45361.291666666664</v>
      </c>
      <c r="D382" t="str">
        <f t="shared" si="15"/>
        <v>Sunday</v>
      </c>
      <c r="E382" s="6">
        <v>45361.416666666664</v>
      </c>
      <c r="F382" s="6" t="str">
        <f t="shared" si="16"/>
        <v>Sunday</v>
      </c>
      <c r="G382" t="str">
        <f>IF(COUNTIF(INDEX(SkiResort_ParkingRevenue_Raw[License Plate],1):SkiResort_ParkingRevenue_Raw[[#This Row],[License Plate]],SkiResort_ParkingRevenue_Raw[[#This Row],[License Plate]])=1,"New","Returning")</f>
        <v>New</v>
      </c>
      <c r="H382">
        <v>24.99</v>
      </c>
      <c r="I382">
        <v>1</v>
      </c>
      <c r="J382" t="str">
        <f t="shared" si="17"/>
        <v>All Season</v>
      </c>
    </row>
    <row r="383" spans="1:10" x14ac:dyDescent="0.25">
      <c r="A383" t="s">
        <v>1899</v>
      </c>
      <c r="B383" t="str" cm="1">
        <f t="array" ref="B38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83" s="6">
        <v>45361.291666666664</v>
      </c>
      <c r="D383" t="str">
        <f t="shared" si="15"/>
        <v>Sunday</v>
      </c>
      <c r="E383" s="6">
        <v>45361.416666666664</v>
      </c>
      <c r="F383" s="6" t="str">
        <f t="shared" si="16"/>
        <v>Sunday</v>
      </c>
      <c r="G383" t="str">
        <f>IF(COUNTIF(INDEX(SkiResort_ParkingRevenue_Raw[License Plate],1):SkiResort_ParkingRevenue_Raw[[#This Row],[License Plate]],SkiResort_ParkingRevenue_Raw[[#This Row],[License Plate]])=1,"New","Returning")</f>
        <v>Returning</v>
      </c>
      <c r="H383">
        <v>49.98</v>
      </c>
      <c r="I383">
        <v>2</v>
      </c>
      <c r="J383" t="str">
        <f t="shared" si="17"/>
        <v>All Season</v>
      </c>
    </row>
    <row r="384" spans="1:10" x14ac:dyDescent="0.25">
      <c r="A384" t="s">
        <v>1718</v>
      </c>
      <c r="B384" t="str" cm="1">
        <f t="array" ref="B38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84" s="6">
        <v>45361.387499999997</v>
      </c>
      <c r="D384" t="str">
        <f t="shared" si="15"/>
        <v>Sunday</v>
      </c>
      <c r="E384" s="6">
        <v>45361.416666666664</v>
      </c>
      <c r="F384" s="6" t="str">
        <f t="shared" si="16"/>
        <v>Sunday</v>
      </c>
      <c r="G384" t="str">
        <f>IF(COUNTIF(INDEX(SkiResort_ParkingRevenue_Raw[License Plate],1):SkiResort_ParkingRevenue_Raw[[#This Row],[License Plate]],SkiResort_ParkingRevenue_Raw[[#This Row],[License Plate]])=1,"New","Returning")</f>
        <v>New</v>
      </c>
      <c r="H384">
        <v>24.99</v>
      </c>
      <c r="I384">
        <v>1</v>
      </c>
      <c r="J384" t="str">
        <f t="shared" si="17"/>
        <v>All Season</v>
      </c>
    </row>
    <row r="385" spans="1:10" x14ac:dyDescent="0.25">
      <c r="A385" t="s">
        <v>1740</v>
      </c>
      <c r="B385" t="str" cm="1">
        <f t="array" ref="B38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85" s="6">
        <v>45362.343009259261</v>
      </c>
      <c r="D385" t="str">
        <f t="shared" si="15"/>
        <v>Monday</v>
      </c>
      <c r="E385" s="6">
        <v>45362.416666666664</v>
      </c>
      <c r="F385" s="6" t="str">
        <f t="shared" si="16"/>
        <v>Monday</v>
      </c>
      <c r="G385" t="str">
        <f>IF(COUNTIF(INDEX(SkiResort_ParkingRevenue_Raw[License Plate],1):SkiResort_ParkingRevenue_Raw[[#This Row],[License Plate]],SkiResort_ParkingRevenue_Raw[[#This Row],[License Plate]])=1,"New","Returning")</f>
        <v>New</v>
      </c>
      <c r="H385">
        <v>19.989999999999998</v>
      </c>
      <c r="I385">
        <v>1</v>
      </c>
      <c r="J385" t="str">
        <f t="shared" si="17"/>
        <v>All Season</v>
      </c>
    </row>
    <row r="386" spans="1:10" x14ac:dyDescent="0.25">
      <c r="A386" t="s">
        <v>1745</v>
      </c>
      <c r="B386" t="str" cm="1">
        <f t="array" ref="B38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86" s="6">
        <v>45362.370081018518</v>
      </c>
      <c r="D386" t="str">
        <f t="shared" ref="D386:D449" si="18">_xlfn.TEXTBEFORE(TEXT(C386, "dddd, mmmm dd, yyyy"), ",")</f>
        <v>Monday</v>
      </c>
      <c r="E386" s="6">
        <v>45362.416666666664</v>
      </c>
      <c r="F386" s="6" t="str">
        <f t="shared" si="16"/>
        <v>Monday</v>
      </c>
      <c r="G386" t="str">
        <f>IF(COUNTIF(INDEX(SkiResort_ParkingRevenue_Raw[License Plate],1):SkiResort_ParkingRevenue_Raw[[#This Row],[License Plate]],SkiResort_ParkingRevenue_Raw[[#This Row],[License Plate]])=1,"New","Returning")</f>
        <v>Returning</v>
      </c>
      <c r="H386">
        <v>19.989999999999998</v>
      </c>
      <c r="I386">
        <v>1</v>
      </c>
      <c r="J386" t="str">
        <f t="shared" si="17"/>
        <v>All Season</v>
      </c>
    </row>
    <row r="387" spans="1:10" x14ac:dyDescent="0.25">
      <c r="A387" t="s">
        <v>1757</v>
      </c>
      <c r="B387" t="str" cm="1">
        <f t="array" ref="B38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87" s="6">
        <v>45363.291666666664</v>
      </c>
      <c r="D387" t="str">
        <f t="shared" si="18"/>
        <v>Tuesday</v>
      </c>
      <c r="E387" s="6">
        <v>45363.416666666664</v>
      </c>
      <c r="F387" s="6" t="str">
        <f t="shared" ref="F387:F450" si="19">_xlfn.TEXTBEFORE(TEXT(E387,"dddd, mmmm dd, yyyy"), ",")</f>
        <v>Tuesday</v>
      </c>
      <c r="G387" t="str">
        <f>IF(COUNTIF(INDEX(SkiResort_ParkingRevenue_Raw[License Plate],1):SkiResort_ParkingRevenue_Raw[[#This Row],[License Plate]],SkiResort_ParkingRevenue_Raw[[#This Row],[License Plate]])=1,"New","Returning")</f>
        <v>New</v>
      </c>
      <c r="H387">
        <v>19.989999999999998</v>
      </c>
      <c r="I387">
        <v>1</v>
      </c>
      <c r="J387" t="str">
        <f t="shared" ref="J387:J450" si="20">IF(C387&lt;DATE(2025,1,17), "All Season", "Weekends/Holiday Only")</f>
        <v>All Season</v>
      </c>
    </row>
    <row r="388" spans="1:10" x14ac:dyDescent="0.25">
      <c r="A388" t="s">
        <v>1323</v>
      </c>
      <c r="B388" t="str" cm="1">
        <f t="array" ref="B38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88" s="6">
        <v>45365.291666666664</v>
      </c>
      <c r="D388" t="str">
        <f t="shared" si="18"/>
        <v>Thursday</v>
      </c>
      <c r="E388" s="6">
        <v>45365.416666666664</v>
      </c>
      <c r="F388" s="6" t="str">
        <f t="shared" si="19"/>
        <v>Thursday</v>
      </c>
      <c r="G388" t="str">
        <f>IF(COUNTIF(INDEX(SkiResort_ParkingRevenue_Raw[License Plate],1):SkiResort_ParkingRevenue_Raw[[#This Row],[License Plate]],SkiResort_ParkingRevenue_Raw[[#This Row],[License Plate]])=1,"New","Returning")</f>
        <v>New</v>
      </c>
      <c r="H388">
        <v>19.989999999999998</v>
      </c>
      <c r="I388">
        <v>1</v>
      </c>
      <c r="J388" t="str">
        <f t="shared" si="20"/>
        <v>All Season</v>
      </c>
    </row>
    <row r="389" spans="1:10" x14ac:dyDescent="0.25">
      <c r="A389" t="s">
        <v>1335</v>
      </c>
      <c r="B389" t="str" cm="1">
        <f t="array" ref="B38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89" s="6">
        <v>45366.291666666664</v>
      </c>
      <c r="D389" t="str">
        <f t="shared" si="18"/>
        <v>Friday</v>
      </c>
      <c r="E389" s="6">
        <v>45366.416666666664</v>
      </c>
      <c r="F389" s="6" t="str">
        <f t="shared" si="19"/>
        <v>Friday</v>
      </c>
      <c r="G389" t="str">
        <f>IF(COUNTIF(INDEX(SkiResort_ParkingRevenue_Raw[License Plate],1):SkiResort_ParkingRevenue_Raw[[#This Row],[License Plate]],SkiResort_ParkingRevenue_Raw[[#This Row],[License Plate]])=1,"New","Returning")</f>
        <v>New</v>
      </c>
      <c r="H389">
        <v>19.989999999999998</v>
      </c>
      <c r="I389">
        <v>1</v>
      </c>
      <c r="J389" t="str">
        <f t="shared" si="20"/>
        <v>All Season</v>
      </c>
    </row>
    <row r="390" spans="1:10" x14ac:dyDescent="0.25">
      <c r="A390" t="s">
        <v>1301</v>
      </c>
      <c r="B390" t="str" cm="1">
        <f t="array" ref="B39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90" s="6">
        <v>45367.291666666664</v>
      </c>
      <c r="D390" t="str">
        <f t="shared" si="18"/>
        <v>Saturday</v>
      </c>
      <c r="E390" s="6">
        <v>45367.416666666664</v>
      </c>
      <c r="F390" s="6" t="str">
        <f t="shared" si="19"/>
        <v>Saturday</v>
      </c>
      <c r="G390" t="str">
        <f>IF(COUNTIF(INDEX(SkiResort_ParkingRevenue_Raw[License Plate],1):SkiResort_ParkingRevenue_Raw[[#This Row],[License Plate]],SkiResort_ParkingRevenue_Raw[[#This Row],[License Plate]])=1,"New","Returning")</f>
        <v>New</v>
      </c>
      <c r="H390">
        <v>24.99</v>
      </c>
      <c r="I390">
        <v>1</v>
      </c>
      <c r="J390" t="str">
        <f t="shared" si="20"/>
        <v>All Season</v>
      </c>
    </row>
    <row r="391" spans="1:10" x14ac:dyDescent="0.25">
      <c r="A391" t="s">
        <v>1307</v>
      </c>
      <c r="B391" t="str" cm="1">
        <f t="array" ref="B39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91" s="6">
        <v>45367.291666666664</v>
      </c>
      <c r="D391" t="str">
        <f t="shared" si="18"/>
        <v>Saturday</v>
      </c>
      <c r="E391" s="6">
        <v>45367.416666666664</v>
      </c>
      <c r="F391" s="6" t="str">
        <f t="shared" si="19"/>
        <v>Saturday</v>
      </c>
      <c r="G391" t="str">
        <f>IF(COUNTIF(INDEX(SkiResort_ParkingRevenue_Raw[License Plate],1):SkiResort_ParkingRevenue_Raw[[#This Row],[License Plate]],SkiResort_ParkingRevenue_Raw[[#This Row],[License Plate]])=1,"New","Returning")</f>
        <v>New</v>
      </c>
      <c r="H391">
        <v>24.99</v>
      </c>
      <c r="I391">
        <v>1</v>
      </c>
      <c r="J391" t="str">
        <f t="shared" si="20"/>
        <v>All Season</v>
      </c>
    </row>
    <row r="392" spans="1:10" x14ac:dyDescent="0.25">
      <c r="A392" t="s">
        <v>1354</v>
      </c>
      <c r="B392" t="str" cm="1">
        <f t="array" ref="B39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92" s="6">
        <v>45367.291666666664</v>
      </c>
      <c r="D392" t="str">
        <f t="shared" si="18"/>
        <v>Saturday</v>
      </c>
      <c r="E392" s="6">
        <v>45367.416666666664</v>
      </c>
      <c r="F392" s="6" t="str">
        <f t="shared" si="19"/>
        <v>Saturday</v>
      </c>
      <c r="G392" t="str">
        <f>IF(COUNTIF(INDEX(SkiResort_ParkingRevenue_Raw[License Plate],1):SkiResort_ParkingRevenue_Raw[[#This Row],[License Plate]],SkiResort_ParkingRevenue_Raw[[#This Row],[License Plate]])=1,"New","Returning")</f>
        <v>Returning</v>
      </c>
      <c r="H392">
        <v>24.99</v>
      </c>
      <c r="I392">
        <v>1</v>
      </c>
      <c r="J392" t="str">
        <f t="shared" si="20"/>
        <v>All Season</v>
      </c>
    </row>
    <row r="393" spans="1:10" x14ac:dyDescent="0.25">
      <c r="A393" t="s">
        <v>1356</v>
      </c>
      <c r="B393" t="str" cm="1">
        <f t="array" ref="B39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93" s="6">
        <v>45367.291666666664</v>
      </c>
      <c r="D393" t="str">
        <f t="shared" si="18"/>
        <v>Saturday</v>
      </c>
      <c r="E393" s="6">
        <v>45367.416666666664</v>
      </c>
      <c r="F393" s="6" t="str">
        <f t="shared" si="19"/>
        <v>Saturday</v>
      </c>
      <c r="G393" t="str">
        <f>IF(COUNTIF(INDEX(SkiResort_ParkingRevenue_Raw[License Plate],1):SkiResort_ParkingRevenue_Raw[[#This Row],[License Plate]],SkiResort_ParkingRevenue_Raw[[#This Row],[License Plate]])=1,"New","Returning")</f>
        <v>Returning</v>
      </c>
      <c r="H393">
        <v>24.99</v>
      </c>
      <c r="I393">
        <v>1</v>
      </c>
      <c r="J393" t="str">
        <f t="shared" si="20"/>
        <v>All Season</v>
      </c>
    </row>
    <row r="394" spans="1:10" x14ac:dyDescent="0.25">
      <c r="A394" t="s">
        <v>1371</v>
      </c>
      <c r="B394" t="str" cm="1">
        <f t="array" ref="B39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94" s="6">
        <v>45367.291666666664</v>
      </c>
      <c r="D394" t="str">
        <f t="shared" si="18"/>
        <v>Saturday</v>
      </c>
      <c r="E394" s="6">
        <v>45367.416666666664</v>
      </c>
      <c r="F394" s="6" t="str">
        <f t="shared" si="19"/>
        <v>Saturday</v>
      </c>
      <c r="G394" t="str">
        <f>IF(COUNTIF(INDEX(SkiResort_ParkingRevenue_Raw[License Plate],1):SkiResort_ParkingRevenue_Raw[[#This Row],[License Plate]],SkiResort_ParkingRevenue_Raw[[#This Row],[License Plate]])=1,"New","Returning")</f>
        <v>New</v>
      </c>
      <c r="H394">
        <v>24.99</v>
      </c>
      <c r="I394">
        <v>1</v>
      </c>
      <c r="J394" t="str">
        <f t="shared" si="20"/>
        <v>All Season</v>
      </c>
    </row>
    <row r="395" spans="1:10" x14ac:dyDescent="0.25">
      <c r="A395" t="s">
        <v>1374</v>
      </c>
      <c r="B395" t="str" cm="1">
        <f t="array" ref="B39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95" s="6">
        <v>45367.291666666664</v>
      </c>
      <c r="D395" t="str">
        <f t="shared" si="18"/>
        <v>Saturday</v>
      </c>
      <c r="E395" s="6">
        <v>45367.416666666664</v>
      </c>
      <c r="F395" s="6" t="str">
        <f t="shared" si="19"/>
        <v>Saturday</v>
      </c>
      <c r="G395" t="str">
        <f>IF(COUNTIF(INDEX(SkiResort_ParkingRevenue_Raw[License Plate],1):SkiResort_ParkingRevenue_Raw[[#This Row],[License Plate]],SkiResort_ParkingRevenue_Raw[[#This Row],[License Plate]])=1,"New","Returning")</f>
        <v>New</v>
      </c>
      <c r="H395">
        <v>24.99</v>
      </c>
      <c r="I395">
        <v>1</v>
      </c>
      <c r="J395" t="str">
        <f t="shared" si="20"/>
        <v>All Season</v>
      </c>
    </row>
    <row r="396" spans="1:10" x14ac:dyDescent="0.25">
      <c r="A396" t="s">
        <v>1379</v>
      </c>
      <c r="B396" t="str" cm="1">
        <f t="array" ref="B39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96" s="6">
        <v>45367.291666666664</v>
      </c>
      <c r="D396" t="str">
        <f t="shared" si="18"/>
        <v>Saturday</v>
      </c>
      <c r="E396" s="6">
        <v>45367.416666666664</v>
      </c>
      <c r="F396" s="6" t="str">
        <f t="shared" si="19"/>
        <v>Saturday</v>
      </c>
      <c r="G396" t="str">
        <f>IF(COUNTIF(INDEX(SkiResort_ParkingRevenue_Raw[License Plate],1):SkiResort_ParkingRevenue_Raw[[#This Row],[License Plate]],SkiResort_ParkingRevenue_Raw[[#This Row],[License Plate]])=1,"New","Returning")</f>
        <v>New</v>
      </c>
      <c r="H396">
        <v>24.99</v>
      </c>
      <c r="I396">
        <v>1</v>
      </c>
      <c r="J396" t="str">
        <f t="shared" si="20"/>
        <v>All Season</v>
      </c>
    </row>
    <row r="397" spans="1:10" x14ac:dyDescent="0.25">
      <c r="A397" t="s">
        <v>1691</v>
      </c>
      <c r="B397" t="str" cm="1">
        <f t="array" ref="B39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97" s="6">
        <v>45367.291666666664</v>
      </c>
      <c r="D397" t="str">
        <f t="shared" si="18"/>
        <v>Saturday</v>
      </c>
      <c r="E397" s="6">
        <v>45367.416666666664</v>
      </c>
      <c r="F397" s="6" t="str">
        <f t="shared" si="19"/>
        <v>Saturday</v>
      </c>
      <c r="G397" t="str">
        <f>IF(COUNTIF(INDEX(SkiResort_ParkingRevenue_Raw[License Plate],1):SkiResort_ParkingRevenue_Raw[[#This Row],[License Plate]],SkiResort_ParkingRevenue_Raw[[#This Row],[License Plate]])=1,"New","Returning")</f>
        <v>New</v>
      </c>
      <c r="H397">
        <v>24.99</v>
      </c>
      <c r="I397">
        <v>1</v>
      </c>
      <c r="J397" t="str">
        <f t="shared" si="20"/>
        <v>All Season</v>
      </c>
    </row>
    <row r="398" spans="1:10" x14ac:dyDescent="0.25">
      <c r="A398" t="s">
        <v>1720</v>
      </c>
      <c r="B398" t="str" cm="1">
        <f t="array" ref="B39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98" s="6">
        <v>45367.291666666664</v>
      </c>
      <c r="D398" t="str">
        <f t="shared" si="18"/>
        <v>Saturday</v>
      </c>
      <c r="E398" s="6">
        <v>45367.416666666664</v>
      </c>
      <c r="F398" s="6" t="str">
        <f t="shared" si="19"/>
        <v>Saturday</v>
      </c>
      <c r="G398" t="str">
        <f>IF(COUNTIF(INDEX(SkiResort_ParkingRevenue_Raw[License Plate],1):SkiResort_ParkingRevenue_Raw[[#This Row],[License Plate]],SkiResort_ParkingRevenue_Raw[[#This Row],[License Plate]])=1,"New","Returning")</f>
        <v>New</v>
      </c>
      <c r="H398">
        <v>24.99</v>
      </c>
      <c r="I398">
        <v>1</v>
      </c>
      <c r="J398" t="str">
        <f t="shared" si="20"/>
        <v>All Season</v>
      </c>
    </row>
    <row r="399" spans="1:10" x14ac:dyDescent="0.25">
      <c r="A399" t="s">
        <v>1801</v>
      </c>
      <c r="B399" t="str" cm="1">
        <f t="array" ref="B39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399" s="6">
        <v>45367.291666666664</v>
      </c>
      <c r="D399" t="str">
        <f t="shared" si="18"/>
        <v>Saturday</v>
      </c>
      <c r="E399" s="6">
        <v>45367.416666666664</v>
      </c>
      <c r="F399" s="6" t="str">
        <f t="shared" si="19"/>
        <v>Saturday</v>
      </c>
      <c r="G399" t="str">
        <f>IF(COUNTIF(INDEX(SkiResort_ParkingRevenue_Raw[License Plate],1):SkiResort_ParkingRevenue_Raw[[#This Row],[License Plate]],SkiResort_ParkingRevenue_Raw[[#This Row],[License Plate]])=1,"New","Returning")</f>
        <v>New</v>
      </c>
      <c r="H399">
        <v>24.99</v>
      </c>
      <c r="I399">
        <v>1</v>
      </c>
      <c r="J399" t="str">
        <f t="shared" si="20"/>
        <v>All Season</v>
      </c>
    </row>
    <row r="400" spans="1:10" x14ac:dyDescent="0.25">
      <c r="A400" t="s">
        <v>2004</v>
      </c>
      <c r="B400" t="str" cm="1">
        <f t="array" ref="B40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00" s="6">
        <v>45367.291666666664</v>
      </c>
      <c r="D400" t="str">
        <f t="shared" si="18"/>
        <v>Saturday</v>
      </c>
      <c r="E400" s="6">
        <v>45367.416666666664</v>
      </c>
      <c r="F400" s="6" t="str">
        <f t="shared" si="19"/>
        <v>Saturday</v>
      </c>
      <c r="G400" t="str">
        <f>IF(COUNTIF(INDEX(SkiResort_ParkingRevenue_Raw[License Plate],1):SkiResort_ParkingRevenue_Raw[[#This Row],[License Plate]],SkiResort_ParkingRevenue_Raw[[#This Row],[License Plate]])=1,"New","Returning")</f>
        <v>New</v>
      </c>
      <c r="H400">
        <v>24.99</v>
      </c>
      <c r="I400">
        <v>1</v>
      </c>
      <c r="J400" t="str">
        <f t="shared" si="20"/>
        <v>All Season</v>
      </c>
    </row>
    <row r="401" spans="1:10" x14ac:dyDescent="0.25">
      <c r="A401" t="s">
        <v>1364</v>
      </c>
      <c r="B401" t="str" cm="1">
        <f t="array" ref="B40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01" s="6">
        <v>45367.347546296296</v>
      </c>
      <c r="D401" t="str">
        <f t="shared" si="18"/>
        <v>Saturday</v>
      </c>
      <c r="E401" s="6">
        <v>45367.416666666664</v>
      </c>
      <c r="F401" s="6" t="str">
        <f t="shared" si="19"/>
        <v>Saturday</v>
      </c>
      <c r="G401" t="str">
        <f>IF(COUNTIF(INDEX(SkiResort_ParkingRevenue_Raw[License Plate],1):SkiResort_ParkingRevenue_Raw[[#This Row],[License Plate]],SkiResort_ParkingRevenue_Raw[[#This Row],[License Plate]])=1,"New","Returning")</f>
        <v>Returning</v>
      </c>
      <c r="H401">
        <v>24.99</v>
      </c>
      <c r="I401">
        <v>1</v>
      </c>
      <c r="J401" t="str">
        <f t="shared" si="20"/>
        <v>All Season</v>
      </c>
    </row>
    <row r="402" spans="1:10" x14ac:dyDescent="0.25">
      <c r="A402" t="s">
        <v>1384</v>
      </c>
      <c r="B402" t="str" cm="1">
        <f t="array" ref="B40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02" s="6">
        <v>45367.542349537034</v>
      </c>
      <c r="D402" t="str">
        <f t="shared" si="18"/>
        <v>Saturday</v>
      </c>
      <c r="E402" s="6">
        <v>45367.416666666664</v>
      </c>
      <c r="F402" s="6" t="str">
        <f t="shared" si="19"/>
        <v>Saturday</v>
      </c>
      <c r="G402" t="str">
        <f>IF(COUNTIF(INDEX(SkiResort_ParkingRevenue_Raw[License Plate],1):SkiResort_ParkingRevenue_Raw[[#This Row],[License Plate]],SkiResort_ParkingRevenue_Raw[[#This Row],[License Plate]])=1,"New","Returning")</f>
        <v>Returning</v>
      </c>
      <c r="H402">
        <v>24.99</v>
      </c>
      <c r="I402">
        <v>1</v>
      </c>
      <c r="J402" t="str">
        <f t="shared" si="20"/>
        <v>All Season</v>
      </c>
    </row>
    <row r="403" spans="1:10" x14ac:dyDescent="0.25">
      <c r="A403" t="s">
        <v>1342</v>
      </c>
      <c r="B403" t="str" cm="1">
        <f t="array" ref="B40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03" s="6">
        <v>45368.291666666664</v>
      </c>
      <c r="D403" t="str">
        <f t="shared" si="18"/>
        <v>Sunday</v>
      </c>
      <c r="E403" s="6">
        <v>45368.416666666664</v>
      </c>
      <c r="F403" s="6" t="str">
        <f t="shared" si="19"/>
        <v>Sunday</v>
      </c>
      <c r="G403" t="str">
        <f>IF(COUNTIF(INDEX(SkiResort_ParkingRevenue_Raw[License Plate],1):SkiResort_ParkingRevenue_Raw[[#This Row],[License Plate]],SkiResort_ParkingRevenue_Raw[[#This Row],[License Plate]])=1,"New","Returning")</f>
        <v>Returning</v>
      </c>
      <c r="H403">
        <v>24.99</v>
      </c>
      <c r="I403">
        <v>1</v>
      </c>
      <c r="J403" t="str">
        <f t="shared" si="20"/>
        <v>All Season</v>
      </c>
    </row>
    <row r="404" spans="1:10" x14ac:dyDescent="0.25">
      <c r="A404" t="s">
        <v>1727</v>
      </c>
      <c r="B404" t="str" cm="1">
        <f t="array" ref="B40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04" s="6">
        <v>45368.291666666664</v>
      </c>
      <c r="D404" t="str">
        <f t="shared" si="18"/>
        <v>Sunday</v>
      </c>
      <c r="E404" s="6">
        <v>45368.416666666664</v>
      </c>
      <c r="F404" s="6" t="str">
        <f t="shared" si="19"/>
        <v>Sunday</v>
      </c>
      <c r="G404" t="str">
        <f>IF(COUNTIF(INDEX(SkiResort_ParkingRevenue_Raw[License Plate],1):SkiResort_ParkingRevenue_Raw[[#This Row],[License Plate]],SkiResort_ParkingRevenue_Raw[[#This Row],[License Plate]])=1,"New","Returning")</f>
        <v>New</v>
      </c>
      <c r="H404">
        <v>24.99</v>
      </c>
      <c r="I404">
        <v>1</v>
      </c>
      <c r="J404" t="str">
        <f t="shared" si="20"/>
        <v>All Season</v>
      </c>
    </row>
    <row r="405" spans="1:10" x14ac:dyDescent="0.25">
      <c r="A405" t="s">
        <v>1779</v>
      </c>
      <c r="B405" t="str" cm="1">
        <f t="array" ref="B40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05" s="6">
        <v>45368.291666666664</v>
      </c>
      <c r="D405" t="str">
        <f t="shared" si="18"/>
        <v>Sunday</v>
      </c>
      <c r="E405" s="6">
        <v>45368.416666666664</v>
      </c>
      <c r="F405" s="6" t="str">
        <f t="shared" si="19"/>
        <v>Sunday</v>
      </c>
      <c r="G405" t="str">
        <f>IF(COUNTIF(INDEX(SkiResort_ParkingRevenue_Raw[License Plate],1):SkiResort_ParkingRevenue_Raw[[#This Row],[License Plate]],SkiResort_ParkingRevenue_Raw[[#This Row],[License Plate]])=1,"New","Returning")</f>
        <v>New</v>
      </c>
      <c r="H405">
        <v>24.99</v>
      </c>
      <c r="I405">
        <v>1</v>
      </c>
      <c r="J405" t="str">
        <f t="shared" si="20"/>
        <v>All Season</v>
      </c>
    </row>
    <row r="406" spans="1:10" x14ac:dyDescent="0.25">
      <c r="A406" t="s">
        <v>1358</v>
      </c>
      <c r="B406" t="str" cm="1">
        <f t="array" ref="B40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06" s="6">
        <v>45369.291666666664</v>
      </c>
      <c r="D406" t="str">
        <f t="shared" si="18"/>
        <v>Monday</v>
      </c>
      <c r="E406" s="6">
        <v>45369.416666666664</v>
      </c>
      <c r="F406" s="6" t="str">
        <f t="shared" si="19"/>
        <v>Monday</v>
      </c>
      <c r="G406" t="str">
        <f>IF(COUNTIF(INDEX(SkiResort_ParkingRevenue_Raw[License Plate],1):SkiResort_ParkingRevenue_Raw[[#This Row],[License Plate]],SkiResort_ParkingRevenue_Raw[[#This Row],[License Plate]])=1,"New","Returning")</f>
        <v>Returning</v>
      </c>
      <c r="H406">
        <v>19.989999999999998</v>
      </c>
      <c r="I406">
        <v>1</v>
      </c>
      <c r="J406" t="str">
        <f t="shared" si="20"/>
        <v>All Season</v>
      </c>
    </row>
    <row r="407" spans="1:10" x14ac:dyDescent="0.25">
      <c r="A407" t="s">
        <v>1389</v>
      </c>
      <c r="B407" t="str" cm="1">
        <f t="array" ref="B40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07" s="6">
        <v>45369.291666666664</v>
      </c>
      <c r="D407" t="str">
        <f t="shared" si="18"/>
        <v>Monday</v>
      </c>
      <c r="E407" s="6">
        <v>45369.416666666664</v>
      </c>
      <c r="F407" s="6" t="str">
        <f t="shared" si="19"/>
        <v>Monday</v>
      </c>
      <c r="G407" t="str">
        <f>IF(COUNTIF(INDEX(SkiResort_ParkingRevenue_Raw[License Plate],1):SkiResort_ParkingRevenue_Raw[[#This Row],[License Plate]],SkiResort_ParkingRevenue_Raw[[#This Row],[License Plate]])=1,"New","Returning")</f>
        <v>New</v>
      </c>
      <c r="H407">
        <v>39.979999999999997</v>
      </c>
      <c r="I407">
        <v>2</v>
      </c>
      <c r="J407" t="str">
        <f t="shared" si="20"/>
        <v>All Season</v>
      </c>
    </row>
    <row r="408" spans="1:10" x14ac:dyDescent="0.25">
      <c r="A408" t="s">
        <v>1409</v>
      </c>
      <c r="B408" t="str" cm="1">
        <f t="array" ref="B40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08" s="6">
        <v>45369.291666666664</v>
      </c>
      <c r="D408" t="str">
        <f t="shared" si="18"/>
        <v>Monday</v>
      </c>
      <c r="E408" s="6">
        <v>45369.416666666664</v>
      </c>
      <c r="F408" s="6" t="str">
        <f t="shared" si="19"/>
        <v>Monday</v>
      </c>
      <c r="G408" t="str">
        <f>IF(COUNTIF(INDEX(SkiResort_ParkingRevenue_Raw[License Plate],1):SkiResort_ParkingRevenue_Raw[[#This Row],[License Plate]],SkiResort_ParkingRevenue_Raw[[#This Row],[License Plate]])=1,"New","Returning")</f>
        <v>New</v>
      </c>
      <c r="H408">
        <v>79.959999999999994</v>
      </c>
      <c r="I408">
        <v>4</v>
      </c>
      <c r="J408" t="str">
        <f t="shared" si="20"/>
        <v>All Season</v>
      </c>
    </row>
    <row r="409" spans="1:10" x14ac:dyDescent="0.25">
      <c r="A409" t="s">
        <v>1732</v>
      </c>
      <c r="B409" t="str" cm="1">
        <f t="array" ref="B40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09" s="6">
        <v>45369.291666666664</v>
      </c>
      <c r="D409" t="str">
        <f t="shared" si="18"/>
        <v>Monday</v>
      </c>
      <c r="E409" s="6">
        <v>45369.416666666664</v>
      </c>
      <c r="F409" s="6" t="str">
        <f t="shared" si="19"/>
        <v>Monday</v>
      </c>
      <c r="G409" t="str">
        <f>IF(COUNTIF(INDEX(SkiResort_ParkingRevenue_Raw[License Plate],1):SkiResort_ParkingRevenue_Raw[[#This Row],[License Plate]],SkiResort_ParkingRevenue_Raw[[#This Row],[License Plate]])=1,"New","Returning")</f>
        <v>Returning</v>
      </c>
      <c r="H409">
        <v>19.989999999999998</v>
      </c>
      <c r="I409">
        <v>1</v>
      </c>
      <c r="J409" t="str">
        <f t="shared" si="20"/>
        <v>All Season</v>
      </c>
    </row>
    <row r="410" spans="1:10" x14ac:dyDescent="0.25">
      <c r="A410" t="s">
        <v>1922</v>
      </c>
      <c r="B410" t="str" cm="1">
        <f t="array" ref="B41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10" s="6">
        <v>45369.291666666664</v>
      </c>
      <c r="D410" t="str">
        <f t="shared" si="18"/>
        <v>Monday</v>
      </c>
      <c r="E410" s="6">
        <v>45369.416666666664</v>
      </c>
      <c r="F410" s="6" t="str">
        <f t="shared" si="19"/>
        <v>Monday</v>
      </c>
      <c r="G410" t="str">
        <f>IF(COUNTIF(INDEX(SkiResort_ParkingRevenue_Raw[License Plate],1):SkiResort_ParkingRevenue_Raw[[#This Row],[License Plate]],SkiResort_ParkingRevenue_Raw[[#This Row],[License Plate]])=1,"New","Returning")</f>
        <v>Returning</v>
      </c>
      <c r="H410">
        <v>39.979999999999997</v>
      </c>
      <c r="I410">
        <v>2</v>
      </c>
      <c r="J410" t="str">
        <f t="shared" si="20"/>
        <v>All Season</v>
      </c>
    </row>
    <row r="411" spans="1:10" x14ac:dyDescent="0.25">
      <c r="A411" t="s">
        <v>1495</v>
      </c>
      <c r="B411" t="str" cm="1">
        <f t="array" ref="B41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11" s="6">
        <v>45369.370057870372</v>
      </c>
      <c r="D411" t="str">
        <f t="shared" si="18"/>
        <v>Monday</v>
      </c>
      <c r="E411" s="6">
        <v>45369.416666666664</v>
      </c>
      <c r="F411" s="6" t="str">
        <f t="shared" si="19"/>
        <v>Monday</v>
      </c>
      <c r="G411" t="str">
        <f>IF(COUNTIF(INDEX(SkiResort_ParkingRevenue_Raw[License Plate],1):SkiResort_ParkingRevenue_Raw[[#This Row],[License Plate]],SkiResort_ParkingRevenue_Raw[[#This Row],[License Plate]])=1,"New","Returning")</f>
        <v>New</v>
      </c>
      <c r="H411">
        <v>19.989999999999998</v>
      </c>
      <c r="I411">
        <v>1</v>
      </c>
      <c r="J411" t="str">
        <f t="shared" si="20"/>
        <v>All Season</v>
      </c>
    </row>
    <row r="412" spans="1:10" x14ac:dyDescent="0.25">
      <c r="A412" t="s">
        <v>1394</v>
      </c>
      <c r="B412" t="str" cm="1">
        <f t="array" ref="B41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12" s="6">
        <v>45370.291666666664</v>
      </c>
      <c r="D412" t="str">
        <f t="shared" si="18"/>
        <v>Tuesday</v>
      </c>
      <c r="E412" s="6">
        <v>45370.416666666664</v>
      </c>
      <c r="F412" s="6" t="str">
        <f t="shared" si="19"/>
        <v>Tuesday</v>
      </c>
      <c r="G412" t="str">
        <f>IF(COUNTIF(INDEX(SkiResort_ParkingRevenue_Raw[License Plate],1):SkiResort_ParkingRevenue_Raw[[#This Row],[License Plate]],SkiResort_ParkingRevenue_Raw[[#This Row],[License Plate]])=1,"New","Returning")</f>
        <v>Returning</v>
      </c>
      <c r="H412">
        <v>39.979999999999997</v>
      </c>
      <c r="I412">
        <v>2</v>
      </c>
      <c r="J412" t="str">
        <f t="shared" si="20"/>
        <v>All Season</v>
      </c>
    </row>
    <row r="413" spans="1:10" x14ac:dyDescent="0.25">
      <c r="A413" t="s">
        <v>1414</v>
      </c>
      <c r="B413" t="str" cm="1">
        <f t="array" ref="B41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13" s="6">
        <v>45370.291666666664</v>
      </c>
      <c r="D413" t="str">
        <f t="shared" si="18"/>
        <v>Tuesday</v>
      </c>
      <c r="E413" s="6">
        <v>45370.416666666664</v>
      </c>
      <c r="F413" s="6" t="str">
        <f t="shared" si="19"/>
        <v>Tuesday</v>
      </c>
      <c r="G413" t="str">
        <f>IF(COUNTIF(INDEX(SkiResort_ParkingRevenue_Raw[License Plate],1):SkiResort_ParkingRevenue_Raw[[#This Row],[License Plate]],SkiResort_ParkingRevenue_Raw[[#This Row],[License Plate]])=1,"New","Returning")</f>
        <v>Returning</v>
      </c>
      <c r="H413">
        <v>79.959999999999994</v>
      </c>
      <c r="I413">
        <v>4</v>
      </c>
      <c r="J413" t="str">
        <f t="shared" si="20"/>
        <v>All Season</v>
      </c>
    </row>
    <row r="414" spans="1:10" x14ac:dyDescent="0.25">
      <c r="A414" t="s">
        <v>1439</v>
      </c>
      <c r="B414" t="str" cm="1">
        <f t="array" ref="B41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14" s="6">
        <v>45370.291666666664</v>
      </c>
      <c r="D414" t="str">
        <f t="shared" si="18"/>
        <v>Tuesday</v>
      </c>
      <c r="E414" s="6">
        <v>45370.416666666664</v>
      </c>
      <c r="F414" s="6" t="str">
        <f t="shared" si="19"/>
        <v>Tuesday</v>
      </c>
      <c r="G414" t="str">
        <f>IF(COUNTIF(INDEX(SkiResort_ParkingRevenue_Raw[License Plate],1):SkiResort_ParkingRevenue_Raw[[#This Row],[License Plate]],SkiResort_ParkingRevenue_Raw[[#This Row],[License Plate]])=1,"New","Returning")</f>
        <v>New</v>
      </c>
      <c r="H414">
        <v>19.989999999999998</v>
      </c>
      <c r="I414">
        <v>1</v>
      </c>
      <c r="J414" t="str">
        <f t="shared" si="20"/>
        <v>All Season</v>
      </c>
    </row>
    <row r="415" spans="1:10" x14ac:dyDescent="0.25">
      <c r="A415" t="s">
        <v>1557</v>
      </c>
      <c r="B415" t="str" cm="1">
        <f t="array" ref="B41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15" s="6">
        <v>45370.291666666664</v>
      </c>
      <c r="D415" t="str">
        <f t="shared" si="18"/>
        <v>Tuesday</v>
      </c>
      <c r="E415" s="6">
        <v>45370.416666666664</v>
      </c>
      <c r="F415" s="6" t="str">
        <f t="shared" si="19"/>
        <v>Tuesday</v>
      </c>
      <c r="G415" t="str">
        <f>IF(COUNTIF(INDEX(SkiResort_ParkingRevenue_Raw[License Plate],1):SkiResort_ParkingRevenue_Raw[[#This Row],[License Plate]],SkiResort_ParkingRevenue_Raw[[#This Row],[License Plate]])=1,"New","Returning")</f>
        <v>New</v>
      </c>
      <c r="H415">
        <v>19.989999999999998</v>
      </c>
      <c r="I415">
        <v>1</v>
      </c>
      <c r="J415" t="str">
        <f t="shared" si="20"/>
        <v>All Season</v>
      </c>
    </row>
    <row r="416" spans="1:10" x14ac:dyDescent="0.25">
      <c r="A416" t="s">
        <v>1572</v>
      </c>
      <c r="B416" t="str" cm="1">
        <f t="array" ref="B41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16" s="6">
        <v>45370.291666666664</v>
      </c>
      <c r="D416" t="str">
        <f t="shared" si="18"/>
        <v>Tuesday</v>
      </c>
      <c r="E416" s="6">
        <v>45370.416666666664</v>
      </c>
      <c r="F416" s="6" t="str">
        <f t="shared" si="19"/>
        <v>Tuesday</v>
      </c>
      <c r="G416" t="str">
        <f>IF(COUNTIF(INDEX(SkiResort_ParkingRevenue_Raw[License Plate],1):SkiResort_ParkingRevenue_Raw[[#This Row],[License Plate]],SkiResort_ParkingRevenue_Raw[[#This Row],[License Plate]])=1,"New","Returning")</f>
        <v>New</v>
      </c>
      <c r="H416">
        <v>19.989999999999998</v>
      </c>
      <c r="I416">
        <v>1</v>
      </c>
      <c r="J416" t="str">
        <f t="shared" si="20"/>
        <v>All Season</v>
      </c>
    </row>
    <row r="417" spans="1:10" x14ac:dyDescent="0.25">
      <c r="A417" t="s">
        <v>1920</v>
      </c>
      <c r="B417" t="str" cm="1">
        <f t="array" ref="B41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17" s="6">
        <v>45370.291666666664</v>
      </c>
      <c r="D417" t="str">
        <f t="shared" si="18"/>
        <v>Tuesday</v>
      </c>
      <c r="E417" s="6">
        <v>45370.416666666664</v>
      </c>
      <c r="F417" s="6" t="str">
        <f t="shared" si="19"/>
        <v>Tuesday</v>
      </c>
      <c r="G417" t="str">
        <f>IF(COUNTIF(INDEX(SkiResort_ParkingRevenue_Raw[License Plate],1):SkiResort_ParkingRevenue_Raw[[#This Row],[License Plate]],SkiResort_ParkingRevenue_Raw[[#This Row],[License Plate]])=1,"New","Returning")</f>
        <v>Returning</v>
      </c>
      <c r="H417">
        <v>39.979999999999997</v>
      </c>
      <c r="I417">
        <v>2</v>
      </c>
      <c r="J417" t="str">
        <f t="shared" si="20"/>
        <v>All Season</v>
      </c>
    </row>
    <row r="418" spans="1:10" x14ac:dyDescent="0.25">
      <c r="A418" t="s">
        <v>1415</v>
      </c>
      <c r="B418" t="str" cm="1">
        <f t="array" ref="B41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18" s="6">
        <v>45371.291666666664</v>
      </c>
      <c r="D418" t="str">
        <f t="shared" si="18"/>
        <v>Wednesday</v>
      </c>
      <c r="E418" s="6">
        <v>45371.416666666664</v>
      </c>
      <c r="F418" s="6" t="str">
        <f t="shared" si="19"/>
        <v>Wednesday</v>
      </c>
      <c r="G418" t="str">
        <f>IF(COUNTIF(INDEX(SkiResort_ParkingRevenue_Raw[License Plate],1):SkiResort_ParkingRevenue_Raw[[#This Row],[License Plate]],SkiResort_ParkingRevenue_Raw[[#This Row],[License Plate]])=1,"New","Returning")</f>
        <v>Returning</v>
      </c>
      <c r="H418">
        <v>79.959999999999994</v>
      </c>
      <c r="I418">
        <v>4</v>
      </c>
      <c r="J418" t="str">
        <f t="shared" si="20"/>
        <v>All Season</v>
      </c>
    </row>
    <row r="419" spans="1:10" x14ac:dyDescent="0.25">
      <c r="A419" t="s">
        <v>1734</v>
      </c>
      <c r="B419" t="str" cm="1">
        <f t="array" ref="B41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19" s="6">
        <v>45371.291666666664</v>
      </c>
      <c r="D419" t="str">
        <f t="shared" si="18"/>
        <v>Wednesday</v>
      </c>
      <c r="E419" s="6">
        <v>45371.416666666664</v>
      </c>
      <c r="F419" s="6" t="str">
        <f t="shared" si="19"/>
        <v>Wednesday</v>
      </c>
      <c r="G419" t="str">
        <f>IF(COUNTIF(INDEX(SkiResort_ParkingRevenue_Raw[License Plate],1):SkiResort_ParkingRevenue_Raw[[#This Row],[License Plate]],SkiResort_ParkingRevenue_Raw[[#This Row],[License Plate]])=1,"New","Returning")</f>
        <v>New</v>
      </c>
      <c r="H419">
        <v>19.989999999999998</v>
      </c>
      <c r="I419">
        <v>1</v>
      </c>
      <c r="J419" t="str">
        <f t="shared" si="20"/>
        <v>All Season</v>
      </c>
    </row>
    <row r="420" spans="1:10" x14ac:dyDescent="0.25">
      <c r="A420" t="s">
        <v>1416</v>
      </c>
      <c r="B420" t="str" cm="1">
        <f t="array" ref="B42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20" s="6">
        <v>45372.291666666664</v>
      </c>
      <c r="D420" t="str">
        <f t="shared" si="18"/>
        <v>Thursday</v>
      </c>
      <c r="E420" s="6">
        <v>45372.416666666664</v>
      </c>
      <c r="F420" s="6" t="str">
        <f t="shared" si="19"/>
        <v>Thursday</v>
      </c>
      <c r="G420" t="str">
        <f>IF(COUNTIF(INDEX(SkiResort_ParkingRevenue_Raw[License Plate],1):SkiResort_ParkingRevenue_Raw[[#This Row],[License Plate]],SkiResort_ParkingRevenue_Raw[[#This Row],[License Plate]])=1,"New","Returning")</f>
        <v>Returning</v>
      </c>
      <c r="H420">
        <v>79.959999999999994</v>
      </c>
      <c r="I420">
        <v>4</v>
      </c>
      <c r="J420" t="str">
        <f t="shared" si="20"/>
        <v>All Season</v>
      </c>
    </row>
    <row r="421" spans="1:10" x14ac:dyDescent="0.25">
      <c r="A421" t="s">
        <v>1747</v>
      </c>
      <c r="B421" t="str" cm="1">
        <f t="array" ref="B42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21" s="6">
        <v>45372.291666666664</v>
      </c>
      <c r="D421" t="str">
        <f t="shared" si="18"/>
        <v>Thursday</v>
      </c>
      <c r="E421" s="6">
        <v>45372.416666666664</v>
      </c>
      <c r="F421" s="6" t="str">
        <f t="shared" si="19"/>
        <v>Thursday</v>
      </c>
      <c r="G421" t="str">
        <f>IF(COUNTIF(INDEX(SkiResort_ParkingRevenue_Raw[License Plate],1):SkiResort_ParkingRevenue_Raw[[#This Row],[License Plate]],SkiResort_ParkingRevenue_Raw[[#This Row],[License Plate]])=1,"New","Returning")</f>
        <v>New</v>
      </c>
      <c r="H421">
        <v>19.989999999999998</v>
      </c>
      <c r="I421">
        <v>1</v>
      </c>
      <c r="J421" t="str">
        <f t="shared" si="20"/>
        <v>All Season</v>
      </c>
    </row>
    <row r="422" spans="1:10" x14ac:dyDescent="0.25">
      <c r="A422" t="s">
        <v>1813</v>
      </c>
      <c r="B422" t="str" cm="1">
        <f t="array" ref="B42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22" s="6">
        <v>45372.291666666664</v>
      </c>
      <c r="D422" t="str">
        <f t="shared" si="18"/>
        <v>Thursday</v>
      </c>
      <c r="E422" s="6">
        <v>45372.416666666664</v>
      </c>
      <c r="F422" s="6" t="str">
        <f t="shared" si="19"/>
        <v>Thursday</v>
      </c>
      <c r="G422" t="str">
        <f>IF(COUNTIF(INDEX(SkiResort_ParkingRevenue_Raw[License Plate],1):SkiResort_ParkingRevenue_Raw[[#This Row],[License Plate]],SkiResort_ParkingRevenue_Raw[[#This Row],[License Plate]])=1,"New","Returning")</f>
        <v>Returning</v>
      </c>
      <c r="H422">
        <v>19.989999999999998</v>
      </c>
      <c r="I422">
        <v>1</v>
      </c>
      <c r="J422" t="str">
        <f t="shared" si="20"/>
        <v>All Season</v>
      </c>
    </row>
    <row r="423" spans="1:10" x14ac:dyDescent="0.25">
      <c r="A423" t="s">
        <v>1826</v>
      </c>
      <c r="B423" t="str" cm="1">
        <f t="array" ref="B42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23" s="6">
        <v>45372.411249999997</v>
      </c>
      <c r="D423" t="str">
        <f t="shared" si="18"/>
        <v>Thursday</v>
      </c>
      <c r="E423" s="6">
        <v>45372.416666666664</v>
      </c>
      <c r="F423" s="6" t="str">
        <f t="shared" si="19"/>
        <v>Thursday</v>
      </c>
      <c r="G423" t="str">
        <f>IF(COUNTIF(INDEX(SkiResort_ParkingRevenue_Raw[License Plate],1):SkiResort_ParkingRevenue_Raw[[#This Row],[License Plate]],SkiResort_ParkingRevenue_Raw[[#This Row],[License Plate]])=1,"New","Returning")</f>
        <v>New</v>
      </c>
      <c r="H423">
        <v>19.989999999999998</v>
      </c>
      <c r="I423">
        <v>1</v>
      </c>
      <c r="J423" t="str">
        <f t="shared" si="20"/>
        <v>All Season</v>
      </c>
    </row>
    <row r="424" spans="1:10" x14ac:dyDescent="0.25">
      <c r="A424" t="s">
        <v>1835</v>
      </c>
      <c r="B424" t="str" cm="1">
        <f t="array" ref="B42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24" s="6">
        <v>45372.41165509259</v>
      </c>
      <c r="D424" t="str">
        <f t="shared" si="18"/>
        <v>Thursday</v>
      </c>
      <c r="E424" s="6">
        <v>45372.416666666664</v>
      </c>
      <c r="F424" s="6" t="str">
        <f t="shared" si="19"/>
        <v>Thursday</v>
      </c>
      <c r="G424" t="str">
        <f>IF(COUNTIF(INDEX(SkiResort_ParkingRevenue_Raw[License Plate],1):SkiResort_ParkingRevenue_Raw[[#This Row],[License Plate]],SkiResort_ParkingRevenue_Raw[[#This Row],[License Plate]])=1,"New","Returning")</f>
        <v>Returning</v>
      </c>
      <c r="H424">
        <v>19.989999999999998</v>
      </c>
      <c r="I424">
        <v>1</v>
      </c>
      <c r="J424" t="str">
        <f t="shared" si="20"/>
        <v>All Season</v>
      </c>
    </row>
    <row r="425" spans="1:10" x14ac:dyDescent="0.25">
      <c r="A425" t="s">
        <v>1808</v>
      </c>
      <c r="B425" t="str" cm="1">
        <f t="array" ref="B42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25" s="6">
        <v>45373.291666666664</v>
      </c>
      <c r="D425" t="str">
        <f t="shared" si="18"/>
        <v>Friday</v>
      </c>
      <c r="E425" s="6">
        <v>45373.416666666664</v>
      </c>
      <c r="F425" s="6" t="str">
        <f t="shared" si="19"/>
        <v>Friday</v>
      </c>
      <c r="G425" t="str">
        <f>IF(COUNTIF(INDEX(SkiResort_ParkingRevenue_Raw[License Plate],1):SkiResort_ParkingRevenue_Raw[[#This Row],[License Plate]],SkiResort_ParkingRevenue_Raw[[#This Row],[License Plate]])=1,"New","Returning")</f>
        <v>New</v>
      </c>
      <c r="H425">
        <v>19.989999999999998</v>
      </c>
      <c r="I425">
        <v>1</v>
      </c>
      <c r="J425" t="str">
        <f t="shared" si="20"/>
        <v>All Season</v>
      </c>
    </row>
    <row r="426" spans="1:10" x14ac:dyDescent="0.25">
      <c r="A426" t="s">
        <v>1955</v>
      </c>
      <c r="B426" t="str" cm="1">
        <f t="array" ref="B42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26" s="6">
        <v>45373.291666666664</v>
      </c>
      <c r="D426" t="str">
        <f t="shared" si="18"/>
        <v>Friday</v>
      </c>
      <c r="E426" s="6">
        <v>45373.416666666664</v>
      </c>
      <c r="F426" s="6" t="str">
        <f t="shared" si="19"/>
        <v>Friday</v>
      </c>
      <c r="G426" t="str">
        <f>IF(COUNTIF(INDEX(SkiResort_ParkingRevenue_Raw[License Plate],1):SkiResort_ParkingRevenue_Raw[[#This Row],[License Plate]],SkiResort_ParkingRevenue_Raw[[#This Row],[License Plate]])=1,"New","Returning")</f>
        <v>New</v>
      </c>
      <c r="H426">
        <v>19.989999999999998</v>
      </c>
      <c r="I426">
        <v>1</v>
      </c>
      <c r="J426" t="str">
        <f t="shared" si="20"/>
        <v>All Season</v>
      </c>
    </row>
    <row r="427" spans="1:10" x14ac:dyDescent="0.25">
      <c r="A427" t="s">
        <v>1945</v>
      </c>
      <c r="B427" t="str" cm="1">
        <f t="array" ref="B42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27" s="6">
        <v>45373.326550925929</v>
      </c>
      <c r="D427" t="str">
        <f t="shared" si="18"/>
        <v>Friday</v>
      </c>
      <c r="E427" s="6">
        <v>45373.416666666664</v>
      </c>
      <c r="F427" s="6" t="str">
        <f t="shared" si="19"/>
        <v>Friday</v>
      </c>
      <c r="G427" t="str">
        <f>IF(COUNTIF(INDEX(SkiResort_ParkingRevenue_Raw[License Plate],1):SkiResort_ParkingRevenue_Raw[[#This Row],[License Plate]],SkiResort_ParkingRevenue_Raw[[#This Row],[License Plate]])=1,"New","Returning")</f>
        <v>New</v>
      </c>
      <c r="H427">
        <v>19.989999999999998</v>
      </c>
      <c r="I427">
        <v>1</v>
      </c>
      <c r="J427" t="str">
        <f t="shared" si="20"/>
        <v>All Season</v>
      </c>
    </row>
    <row r="428" spans="1:10" x14ac:dyDescent="0.25">
      <c r="A428" t="s">
        <v>1950</v>
      </c>
      <c r="B428" t="str" cm="1">
        <f t="array" ref="B42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28" s="6">
        <v>45373.355023148149</v>
      </c>
      <c r="D428" t="str">
        <f t="shared" si="18"/>
        <v>Friday</v>
      </c>
      <c r="E428" s="6">
        <v>45373.416666666664</v>
      </c>
      <c r="F428" s="6" t="str">
        <f t="shared" si="19"/>
        <v>Friday</v>
      </c>
      <c r="G428" t="str">
        <f>IF(COUNTIF(INDEX(SkiResort_ParkingRevenue_Raw[License Plate],1):SkiResort_ParkingRevenue_Raw[[#This Row],[License Plate]],SkiResort_ParkingRevenue_Raw[[#This Row],[License Plate]])=1,"New","Returning")</f>
        <v>New</v>
      </c>
      <c r="H428">
        <v>19.989999999999998</v>
      </c>
      <c r="I428">
        <v>1</v>
      </c>
      <c r="J428" t="str">
        <f t="shared" si="20"/>
        <v>All Season</v>
      </c>
    </row>
    <row r="429" spans="1:10" x14ac:dyDescent="0.25">
      <c r="A429" t="s">
        <v>1395</v>
      </c>
      <c r="B429" t="str" cm="1">
        <f t="array" ref="B42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29" s="6">
        <v>45374.291666666664</v>
      </c>
      <c r="D429" t="str">
        <f t="shared" si="18"/>
        <v>Saturday</v>
      </c>
      <c r="E429" s="6">
        <v>45374.416666666664</v>
      </c>
      <c r="F429" s="6" t="str">
        <f t="shared" si="19"/>
        <v>Saturday</v>
      </c>
      <c r="G429" t="str">
        <f>IF(COUNTIF(INDEX(SkiResort_ParkingRevenue_Raw[License Plate],1):SkiResort_ParkingRevenue_Raw[[#This Row],[License Plate]],SkiResort_ParkingRevenue_Raw[[#This Row],[License Plate]])=1,"New","Returning")</f>
        <v>New</v>
      </c>
      <c r="H429">
        <v>24.99</v>
      </c>
      <c r="I429">
        <v>1</v>
      </c>
      <c r="J429" t="str">
        <f t="shared" si="20"/>
        <v>All Season</v>
      </c>
    </row>
    <row r="430" spans="1:10" x14ac:dyDescent="0.25">
      <c r="A430" t="s">
        <v>1552</v>
      </c>
      <c r="B430" t="str" cm="1">
        <f t="array" ref="B43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30" s="6">
        <v>45374.291666666664</v>
      </c>
      <c r="D430" t="str">
        <f t="shared" si="18"/>
        <v>Saturday</v>
      </c>
      <c r="E430" s="6">
        <v>45374.416666666664</v>
      </c>
      <c r="F430" s="6" t="str">
        <f t="shared" si="19"/>
        <v>Saturday</v>
      </c>
      <c r="G430" t="str">
        <f>IF(COUNTIF(INDEX(SkiResort_ParkingRevenue_Raw[License Plate],1):SkiResort_ParkingRevenue_Raw[[#This Row],[License Plate]],SkiResort_ParkingRevenue_Raw[[#This Row],[License Plate]])=1,"New","Returning")</f>
        <v>New</v>
      </c>
      <c r="H430">
        <v>24.99</v>
      </c>
      <c r="I430">
        <v>1</v>
      </c>
      <c r="J430" t="str">
        <f t="shared" si="20"/>
        <v>All Season</v>
      </c>
    </row>
    <row r="431" spans="1:10" x14ac:dyDescent="0.25">
      <c r="A431" t="s">
        <v>1612</v>
      </c>
      <c r="B431" t="str" cm="1">
        <f t="array" ref="B43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31" s="6">
        <v>45374.291666666664</v>
      </c>
      <c r="D431" t="str">
        <f t="shared" si="18"/>
        <v>Saturday</v>
      </c>
      <c r="E431" s="6">
        <v>45374.416666666664</v>
      </c>
      <c r="F431" s="6" t="str">
        <f t="shared" si="19"/>
        <v>Saturday</v>
      </c>
      <c r="G431" t="str">
        <f>IF(COUNTIF(INDEX(SkiResort_ParkingRevenue_Raw[License Plate],1):SkiResort_ParkingRevenue_Raw[[#This Row],[License Plate]],SkiResort_ParkingRevenue_Raw[[#This Row],[License Plate]])=1,"New","Returning")</f>
        <v>New</v>
      </c>
      <c r="H431">
        <v>24.99</v>
      </c>
      <c r="I431">
        <v>1</v>
      </c>
      <c r="J431" t="str">
        <f t="shared" si="20"/>
        <v>All Season</v>
      </c>
    </row>
    <row r="432" spans="1:10" x14ac:dyDescent="0.25">
      <c r="A432" t="s">
        <v>1960</v>
      </c>
      <c r="B432" t="str" cm="1">
        <f t="array" ref="B43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32" s="6">
        <v>45374.291666666664</v>
      </c>
      <c r="D432" t="str">
        <f t="shared" si="18"/>
        <v>Saturday</v>
      </c>
      <c r="E432" s="6">
        <v>45374.416666666664</v>
      </c>
      <c r="F432" s="6" t="str">
        <f t="shared" si="19"/>
        <v>Saturday</v>
      </c>
      <c r="G432" t="str">
        <f>IF(COUNTIF(INDEX(SkiResort_ParkingRevenue_Raw[License Plate],1):SkiResort_ParkingRevenue_Raw[[#This Row],[License Plate]],SkiResort_ParkingRevenue_Raw[[#This Row],[License Plate]])=1,"New","Returning")</f>
        <v>Returning</v>
      </c>
      <c r="H432">
        <v>24.99</v>
      </c>
      <c r="I432">
        <v>1</v>
      </c>
      <c r="J432" t="str">
        <f t="shared" si="20"/>
        <v>All Season</v>
      </c>
    </row>
    <row r="433" spans="1:10" x14ac:dyDescent="0.25">
      <c r="A433" t="s">
        <v>1967</v>
      </c>
      <c r="B433" t="str" cm="1">
        <f t="array" ref="B43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33" s="6">
        <v>45374.291666666664</v>
      </c>
      <c r="D433" t="str">
        <f t="shared" si="18"/>
        <v>Saturday</v>
      </c>
      <c r="E433" s="6">
        <v>45374.416666666664</v>
      </c>
      <c r="F433" s="6" t="str">
        <f t="shared" si="19"/>
        <v>Saturday</v>
      </c>
      <c r="G433" t="str">
        <f>IF(COUNTIF(INDEX(SkiResort_ParkingRevenue_Raw[License Plate],1):SkiResort_ParkingRevenue_Raw[[#This Row],[License Plate]],SkiResort_ParkingRevenue_Raw[[#This Row],[License Plate]])=1,"New","Returning")</f>
        <v>New</v>
      </c>
      <c r="H433">
        <v>49.98</v>
      </c>
      <c r="I433">
        <v>2</v>
      </c>
      <c r="J433" t="str">
        <f t="shared" si="20"/>
        <v>All Season</v>
      </c>
    </row>
    <row r="434" spans="1:10" x14ac:dyDescent="0.25">
      <c r="A434" t="s">
        <v>1978</v>
      </c>
      <c r="B434" t="str" cm="1">
        <f t="array" ref="B43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34" s="6">
        <v>45374.291666666664</v>
      </c>
      <c r="D434" t="str">
        <f t="shared" si="18"/>
        <v>Saturday</v>
      </c>
      <c r="E434" s="6">
        <v>45374.416666666664</v>
      </c>
      <c r="F434" s="6" t="str">
        <f t="shared" si="19"/>
        <v>Saturday</v>
      </c>
      <c r="G434" t="str">
        <f>IF(COUNTIF(INDEX(SkiResort_ParkingRevenue_Raw[License Plate],1):SkiResort_ParkingRevenue_Raw[[#This Row],[License Plate]],SkiResort_ParkingRevenue_Raw[[#This Row],[License Plate]])=1,"New","Returning")</f>
        <v>New</v>
      </c>
      <c r="H434">
        <v>24.99</v>
      </c>
      <c r="I434">
        <v>1</v>
      </c>
      <c r="J434" t="str">
        <f t="shared" si="20"/>
        <v>All Season</v>
      </c>
    </row>
    <row r="435" spans="1:10" x14ac:dyDescent="0.25">
      <c r="A435" t="s">
        <v>1285</v>
      </c>
      <c r="B435" t="str" cm="1">
        <f t="array" ref="B43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35" s="6">
        <v>45375.291666666664</v>
      </c>
      <c r="D435" t="str">
        <f t="shared" si="18"/>
        <v>Sunday</v>
      </c>
      <c r="E435" s="6">
        <v>45375.416666666664</v>
      </c>
      <c r="F435" s="6" t="str">
        <f t="shared" si="19"/>
        <v>Sunday</v>
      </c>
      <c r="G435" t="str">
        <f>IF(COUNTIF(INDEX(SkiResort_ParkingRevenue_Raw[License Plate],1):SkiResort_ParkingRevenue_Raw[[#This Row],[License Plate]],SkiResort_ParkingRevenue_Raw[[#This Row],[License Plate]])=1,"New","Returning")</f>
        <v>New</v>
      </c>
      <c r="H435">
        <v>24.99</v>
      </c>
      <c r="I435">
        <v>1</v>
      </c>
      <c r="J435" t="str">
        <f t="shared" si="20"/>
        <v>All Season</v>
      </c>
    </row>
    <row r="436" spans="1:10" x14ac:dyDescent="0.25">
      <c r="A436" t="s">
        <v>1290</v>
      </c>
      <c r="B436" t="str" cm="1">
        <f t="array" ref="B43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36" s="6">
        <v>45375.291666666664</v>
      </c>
      <c r="D436" t="str">
        <f t="shared" si="18"/>
        <v>Sunday</v>
      </c>
      <c r="E436" s="6">
        <v>45375.416666666664</v>
      </c>
      <c r="F436" s="6" t="str">
        <f t="shared" si="19"/>
        <v>Sunday</v>
      </c>
      <c r="G436" t="str">
        <f>IF(COUNTIF(INDEX(SkiResort_ParkingRevenue_Raw[License Plate],1):SkiResort_ParkingRevenue_Raw[[#This Row],[License Plate]],SkiResort_ParkingRevenue_Raw[[#This Row],[License Plate]])=1,"New","Returning")</f>
        <v>New</v>
      </c>
      <c r="H436">
        <v>24.99</v>
      </c>
      <c r="I436">
        <v>1</v>
      </c>
      <c r="J436" t="str">
        <f t="shared" si="20"/>
        <v>All Season</v>
      </c>
    </row>
    <row r="437" spans="1:10" x14ac:dyDescent="0.25">
      <c r="A437" t="s">
        <v>1848</v>
      </c>
      <c r="B437" t="str" cm="1">
        <f t="array" ref="B43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37" s="6">
        <v>45375.291666666664</v>
      </c>
      <c r="D437" t="str">
        <f t="shared" si="18"/>
        <v>Sunday</v>
      </c>
      <c r="E437" s="6">
        <v>45375.416666666664</v>
      </c>
      <c r="F437" s="6" t="str">
        <f t="shared" si="19"/>
        <v>Sunday</v>
      </c>
      <c r="G437" t="str">
        <f>IF(COUNTIF(INDEX(SkiResort_ParkingRevenue_Raw[License Plate],1):SkiResort_ParkingRevenue_Raw[[#This Row],[License Plate]],SkiResort_ParkingRevenue_Raw[[#This Row],[License Plate]])=1,"New","Returning")</f>
        <v>New</v>
      </c>
      <c r="H437">
        <v>24.99</v>
      </c>
      <c r="I437">
        <v>1</v>
      </c>
      <c r="J437" t="str">
        <f t="shared" si="20"/>
        <v>All Season</v>
      </c>
    </row>
    <row r="438" spans="1:10" x14ac:dyDescent="0.25">
      <c r="A438" t="s">
        <v>1972</v>
      </c>
      <c r="B438" t="str" cm="1">
        <f t="array" ref="B43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38" s="6">
        <v>45375.291666666664</v>
      </c>
      <c r="D438" t="str">
        <f t="shared" si="18"/>
        <v>Sunday</v>
      </c>
      <c r="E438" s="6">
        <v>45375.416666666664</v>
      </c>
      <c r="F438" s="6" t="str">
        <f t="shared" si="19"/>
        <v>Sunday</v>
      </c>
      <c r="G438" t="str">
        <f>IF(COUNTIF(INDEX(SkiResort_ParkingRevenue_Raw[License Plate],1):SkiResort_ParkingRevenue_Raw[[#This Row],[License Plate]],SkiResort_ParkingRevenue_Raw[[#This Row],[License Plate]])=1,"New","Returning")</f>
        <v>Returning</v>
      </c>
      <c r="H438">
        <v>49.98</v>
      </c>
      <c r="I438">
        <v>2</v>
      </c>
      <c r="J438" t="str">
        <f t="shared" si="20"/>
        <v>All Season</v>
      </c>
    </row>
    <row r="439" spans="1:10" x14ac:dyDescent="0.25">
      <c r="A439" t="s">
        <v>1993</v>
      </c>
      <c r="B439" t="str" cm="1">
        <f t="array" ref="B43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39" s="6">
        <v>45375.291666666664</v>
      </c>
      <c r="D439" t="str">
        <f t="shared" si="18"/>
        <v>Sunday</v>
      </c>
      <c r="E439" s="6">
        <v>45375.416666666664</v>
      </c>
      <c r="F439" s="6" t="str">
        <f t="shared" si="19"/>
        <v>Sunday</v>
      </c>
      <c r="G439" t="str">
        <f>IF(COUNTIF(INDEX(SkiResort_ParkingRevenue_Raw[License Plate],1):SkiResort_ParkingRevenue_Raw[[#This Row],[License Plate]],SkiResort_ParkingRevenue_Raw[[#This Row],[License Plate]])=1,"New","Returning")</f>
        <v>New</v>
      </c>
      <c r="H439">
        <v>24.99</v>
      </c>
      <c r="I439">
        <v>1</v>
      </c>
      <c r="J439" t="str">
        <f t="shared" si="20"/>
        <v>All Season</v>
      </c>
    </row>
    <row r="440" spans="1:10" x14ac:dyDescent="0.25">
      <c r="A440" t="s">
        <v>1998</v>
      </c>
      <c r="B440" t="str" cm="1">
        <f t="array" ref="B44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40" s="6">
        <v>45375.291666666664</v>
      </c>
      <c r="D440" t="str">
        <f t="shared" si="18"/>
        <v>Sunday</v>
      </c>
      <c r="E440" s="6">
        <v>45375.416666666664</v>
      </c>
      <c r="F440" s="6" t="str">
        <f t="shared" si="19"/>
        <v>Sunday</v>
      </c>
      <c r="G440" t="str">
        <f>IF(COUNTIF(INDEX(SkiResort_ParkingRevenue_Raw[License Plate],1):SkiResort_ParkingRevenue_Raw[[#This Row],[License Plate]],SkiResort_ParkingRevenue_Raw[[#This Row],[License Plate]])=1,"New","Returning")</f>
        <v>New</v>
      </c>
      <c r="H440">
        <v>24.99</v>
      </c>
      <c r="I440">
        <v>1</v>
      </c>
      <c r="J440" t="str">
        <f t="shared" si="20"/>
        <v>All Season</v>
      </c>
    </row>
    <row r="441" spans="1:10" x14ac:dyDescent="0.25">
      <c r="A441" t="s">
        <v>1280</v>
      </c>
      <c r="B441" t="str" cm="1">
        <f t="array" ref="B44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41" s="6">
        <v>45375.337037037039</v>
      </c>
      <c r="D441" t="str">
        <f t="shared" si="18"/>
        <v>Sunday</v>
      </c>
      <c r="E441" s="6">
        <v>45375.416666666664</v>
      </c>
      <c r="F441" s="6" t="str">
        <f t="shared" si="19"/>
        <v>Sunday</v>
      </c>
      <c r="G441" t="str">
        <f>IF(COUNTIF(INDEX(SkiResort_ParkingRevenue_Raw[License Plate],1):SkiResort_ParkingRevenue_Raw[[#This Row],[License Plate]],SkiResort_ParkingRevenue_Raw[[#This Row],[License Plate]])=1,"New","Returning")</f>
        <v>New</v>
      </c>
      <c r="H441">
        <v>24.99</v>
      </c>
      <c r="I441">
        <v>1</v>
      </c>
      <c r="J441" t="str">
        <f t="shared" si="20"/>
        <v>All Season</v>
      </c>
    </row>
    <row r="442" spans="1:10" x14ac:dyDescent="0.25">
      <c r="A442" t="s">
        <v>1267</v>
      </c>
      <c r="B442" t="str" cm="1">
        <f t="array" ref="B44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42" s="6">
        <v>45376.291666666664</v>
      </c>
      <c r="D442" t="str">
        <f t="shared" si="18"/>
        <v>Monday</v>
      </c>
      <c r="E442" s="6">
        <v>45376.416666666664</v>
      </c>
      <c r="F442" s="6" t="str">
        <f t="shared" si="19"/>
        <v>Monday</v>
      </c>
      <c r="G442" t="str">
        <f>IF(COUNTIF(INDEX(SkiResort_ParkingRevenue_Raw[License Plate],1):SkiResort_ParkingRevenue_Raw[[#This Row],[License Plate]],SkiResort_ParkingRevenue_Raw[[#This Row],[License Plate]])=1,"New","Returning")</f>
        <v>New</v>
      </c>
      <c r="H442">
        <v>99.95</v>
      </c>
      <c r="I442">
        <v>4</v>
      </c>
      <c r="J442" t="str">
        <f t="shared" si="20"/>
        <v>All Season</v>
      </c>
    </row>
    <row r="443" spans="1:10" x14ac:dyDescent="0.25">
      <c r="A443" t="s">
        <v>1309</v>
      </c>
      <c r="B443" t="str" cm="1">
        <f t="array" ref="B44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43" s="6">
        <v>45376.291666666664</v>
      </c>
      <c r="D443" t="str">
        <f t="shared" si="18"/>
        <v>Monday</v>
      </c>
      <c r="E443" s="6">
        <v>45376.416666666664</v>
      </c>
      <c r="F443" s="6" t="str">
        <f t="shared" si="19"/>
        <v>Monday</v>
      </c>
      <c r="G443" t="str">
        <f>IF(COUNTIF(INDEX(SkiResort_ParkingRevenue_Raw[License Plate],1):SkiResort_ParkingRevenue_Raw[[#This Row],[License Plate]],SkiResort_ParkingRevenue_Raw[[#This Row],[License Plate]])=1,"New","Returning")</f>
        <v>New</v>
      </c>
      <c r="H443">
        <v>19.989999999999998</v>
      </c>
      <c r="I443">
        <v>1</v>
      </c>
      <c r="J443" t="str">
        <f t="shared" si="20"/>
        <v>All Season</v>
      </c>
    </row>
    <row r="444" spans="1:10" x14ac:dyDescent="0.25">
      <c r="A444" t="s">
        <v>1352</v>
      </c>
      <c r="B444" t="str" cm="1">
        <f t="array" ref="B44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44" s="6">
        <v>45376.291666666664</v>
      </c>
      <c r="D444" t="str">
        <f t="shared" si="18"/>
        <v>Monday</v>
      </c>
      <c r="E444" s="6">
        <v>45376.416666666664</v>
      </c>
      <c r="F444" s="6" t="str">
        <f t="shared" si="19"/>
        <v>Monday</v>
      </c>
      <c r="G444" t="str">
        <f>IF(COUNTIF(INDEX(SkiResort_ParkingRevenue_Raw[License Plate],1):SkiResort_ParkingRevenue_Raw[[#This Row],[License Plate]],SkiResort_ParkingRevenue_Raw[[#This Row],[License Plate]])=1,"New","Returning")</f>
        <v>Returning</v>
      </c>
      <c r="H444">
        <v>19.989999999999998</v>
      </c>
      <c r="I444">
        <v>1</v>
      </c>
      <c r="J444" t="str">
        <f t="shared" si="20"/>
        <v>All Season</v>
      </c>
    </row>
    <row r="445" spans="1:10" x14ac:dyDescent="0.25">
      <c r="A445" t="s">
        <v>1594</v>
      </c>
      <c r="B445" t="str" cm="1">
        <f t="array" ref="B44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45" s="6">
        <v>45376.291666666664</v>
      </c>
      <c r="D445" t="str">
        <f t="shared" si="18"/>
        <v>Monday</v>
      </c>
      <c r="E445" s="6">
        <v>45376.416666666664</v>
      </c>
      <c r="F445" s="6" t="str">
        <f t="shared" si="19"/>
        <v>Monday</v>
      </c>
      <c r="G445" t="str">
        <f>IF(COUNTIF(INDEX(SkiResort_ParkingRevenue_Raw[License Plate],1):SkiResort_ParkingRevenue_Raw[[#This Row],[License Plate]],SkiResort_ParkingRevenue_Raw[[#This Row],[License Plate]])=1,"New","Returning")</f>
        <v>Returning</v>
      </c>
      <c r="H445">
        <v>19.989999999999998</v>
      </c>
      <c r="I445">
        <v>1</v>
      </c>
      <c r="J445" t="str">
        <f t="shared" si="20"/>
        <v>All Season</v>
      </c>
    </row>
    <row r="446" spans="1:10" x14ac:dyDescent="0.25">
      <c r="A446" t="s">
        <v>1988</v>
      </c>
      <c r="B446" t="str" cm="1">
        <f t="array" ref="B44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46" s="6">
        <v>45376.291666666664</v>
      </c>
      <c r="D446" t="str">
        <f t="shared" si="18"/>
        <v>Monday</v>
      </c>
      <c r="E446" s="6">
        <v>45376.416666666664</v>
      </c>
      <c r="F446" s="6" t="str">
        <f t="shared" si="19"/>
        <v>Monday</v>
      </c>
      <c r="G446" t="str">
        <f>IF(COUNTIF(INDEX(SkiResort_ParkingRevenue_Raw[License Plate],1):SkiResort_ParkingRevenue_Raw[[#This Row],[License Plate]],SkiResort_ParkingRevenue_Raw[[#This Row],[License Plate]])=1,"New","Returning")</f>
        <v>New</v>
      </c>
      <c r="H446">
        <v>19.989999999999998</v>
      </c>
      <c r="I446">
        <v>1</v>
      </c>
      <c r="J446" t="str">
        <f t="shared" si="20"/>
        <v>All Season</v>
      </c>
    </row>
    <row r="447" spans="1:10" x14ac:dyDescent="0.25">
      <c r="A447" t="s">
        <v>1262</v>
      </c>
      <c r="B447" t="str" cm="1">
        <f t="array" ref="B44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47" s="6">
        <v>45377.291666666664</v>
      </c>
      <c r="D447" t="str">
        <f t="shared" si="18"/>
        <v>Tuesday</v>
      </c>
      <c r="E447" s="6">
        <v>45377.416666666664</v>
      </c>
      <c r="F447" s="6" t="str">
        <f t="shared" si="19"/>
        <v>Tuesday</v>
      </c>
      <c r="G447" t="str">
        <f>IF(COUNTIF(INDEX(SkiResort_ParkingRevenue_Raw[License Plate],1):SkiResort_ParkingRevenue_Raw[[#This Row],[License Plate]],SkiResort_ParkingRevenue_Raw[[#This Row],[License Plate]])=1,"New","Returning")</f>
        <v>Returning</v>
      </c>
      <c r="H447">
        <v>99.95</v>
      </c>
      <c r="I447">
        <v>4</v>
      </c>
      <c r="J447" t="str">
        <f t="shared" si="20"/>
        <v>All Season</v>
      </c>
    </row>
    <row r="448" spans="1:10" x14ac:dyDescent="0.25">
      <c r="A448" t="s">
        <v>1314</v>
      </c>
      <c r="B448" t="str" cm="1">
        <f t="array" ref="B44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48" s="6">
        <v>45377.291666666664</v>
      </c>
      <c r="D448" t="str">
        <f t="shared" si="18"/>
        <v>Tuesday</v>
      </c>
      <c r="E448" s="6">
        <v>45377.416666666664</v>
      </c>
      <c r="F448" s="6" t="str">
        <f t="shared" si="19"/>
        <v>Tuesday</v>
      </c>
      <c r="G448" t="str">
        <f>IF(COUNTIF(INDEX(SkiResort_ParkingRevenue_Raw[License Plate],1):SkiResort_ParkingRevenue_Raw[[#This Row],[License Plate]],SkiResort_ParkingRevenue_Raw[[#This Row],[License Plate]])=1,"New","Returning")</f>
        <v>New</v>
      </c>
      <c r="H448">
        <v>19.989999999999998</v>
      </c>
      <c r="I448">
        <v>1</v>
      </c>
      <c r="J448" t="str">
        <f t="shared" si="20"/>
        <v>All Season</v>
      </c>
    </row>
    <row r="449" spans="1:10" x14ac:dyDescent="0.25">
      <c r="A449" t="s">
        <v>1402</v>
      </c>
      <c r="B449" t="str" cm="1">
        <f t="array" ref="B44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49" s="6">
        <v>45377.291666666664</v>
      </c>
      <c r="D449" t="str">
        <f t="shared" si="18"/>
        <v>Tuesday</v>
      </c>
      <c r="E449" s="6">
        <v>45377.416666666664</v>
      </c>
      <c r="F449" s="6" t="str">
        <f t="shared" si="19"/>
        <v>Tuesday</v>
      </c>
      <c r="G449" t="str">
        <f>IF(COUNTIF(INDEX(SkiResort_ParkingRevenue_Raw[License Plate],1):SkiResort_ParkingRevenue_Raw[[#This Row],[License Plate]],SkiResort_ParkingRevenue_Raw[[#This Row],[License Plate]])=1,"New","Returning")</f>
        <v>Returning</v>
      </c>
      <c r="H449">
        <v>19.989999999999998</v>
      </c>
      <c r="I449">
        <v>1</v>
      </c>
      <c r="J449" t="str">
        <f t="shared" si="20"/>
        <v>All Season</v>
      </c>
    </row>
    <row r="450" spans="1:10" x14ac:dyDescent="0.25">
      <c r="A450" t="s">
        <v>1596</v>
      </c>
      <c r="B450" t="str" cm="1">
        <f t="array" ref="B45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50" s="6">
        <v>45377.291666666664</v>
      </c>
      <c r="D450" t="str">
        <f t="shared" ref="D450:D513" si="21">_xlfn.TEXTBEFORE(TEXT(C450, "dddd, mmmm dd, yyyy"), ",")</f>
        <v>Tuesday</v>
      </c>
      <c r="E450" s="6">
        <v>45377.416666666664</v>
      </c>
      <c r="F450" s="6" t="str">
        <f t="shared" si="19"/>
        <v>Tuesday</v>
      </c>
      <c r="G450" t="str">
        <f>IF(COUNTIF(INDEX(SkiResort_ParkingRevenue_Raw[License Plate],1):SkiResort_ParkingRevenue_Raw[[#This Row],[License Plate]],SkiResort_ParkingRevenue_Raw[[#This Row],[License Plate]])=1,"New","Returning")</f>
        <v>Returning</v>
      </c>
      <c r="H450">
        <v>39.979999999999997</v>
      </c>
      <c r="I450">
        <v>2</v>
      </c>
      <c r="J450" t="str">
        <f t="shared" si="20"/>
        <v>All Season</v>
      </c>
    </row>
    <row r="451" spans="1:10" x14ac:dyDescent="0.25">
      <c r="A451" t="s">
        <v>1931</v>
      </c>
      <c r="B451" t="str" cm="1">
        <f t="array" ref="B45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51" s="6">
        <v>45377.291666666664</v>
      </c>
      <c r="D451" t="str">
        <f t="shared" si="21"/>
        <v>Tuesday</v>
      </c>
      <c r="E451" s="6">
        <v>45377.416666666664</v>
      </c>
      <c r="F451" s="6" t="str">
        <f t="shared" ref="F451:F514" si="22">_xlfn.TEXTBEFORE(TEXT(E451,"dddd, mmmm dd, yyyy"), ",")</f>
        <v>Tuesday</v>
      </c>
      <c r="G451" t="str">
        <f>IF(COUNTIF(INDEX(SkiResort_ParkingRevenue_Raw[License Plate],1):SkiResort_ParkingRevenue_Raw[[#This Row],[License Plate]],SkiResort_ParkingRevenue_Raw[[#This Row],[License Plate]])=1,"New","Returning")</f>
        <v>Returning</v>
      </c>
      <c r="H451">
        <v>39.979999999999997</v>
      </c>
      <c r="I451">
        <v>2</v>
      </c>
      <c r="J451" t="str">
        <f t="shared" ref="J451:J514" si="23">IF(C451&lt;DATE(2025,1,17), "All Season", "Weekends/Holiday Only")</f>
        <v>All Season</v>
      </c>
    </row>
    <row r="452" spans="1:10" x14ac:dyDescent="0.25">
      <c r="A452" t="s">
        <v>1962</v>
      </c>
      <c r="B452" t="str" cm="1">
        <f t="array" ref="B45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52" s="6">
        <v>45377.291666666664</v>
      </c>
      <c r="D452" t="str">
        <f t="shared" si="21"/>
        <v>Tuesday</v>
      </c>
      <c r="E452" s="6">
        <v>45377.416666666664</v>
      </c>
      <c r="F452" s="6" t="str">
        <f t="shared" si="22"/>
        <v>Tuesday</v>
      </c>
      <c r="G452" t="str">
        <f>IF(COUNTIF(INDEX(SkiResort_ParkingRevenue_Raw[License Plate],1):SkiResort_ParkingRevenue_Raw[[#This Row],[License Plate]],SkiResort_ParkingRevenue_Raw[[#This Row],[License Plate]])=1,"New","Returning")</f>
        <v>New</v>
      </c>
      <c r="H452">
        <v>19.989999999999998</v>
      </c>
      <c r="I452">
        <v>1</v>
      </c>
      <c r="J452" t="str">
        <f t="shared" si="23"/>
        <v>All Season</v>
      </c>
    </row>
    <row r="453" spans="1:10" x14ac:dyDescent="0.25">
      <c r="A453" t="s">
        <v>1366</v>
      </c>
      <c r="B453" t="str" cm="1">
        <f t="array" ref="B45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53" s="6">
        <v>45377.332268518519</v>
      </c>
      <c r="D453" t="str">
        <f t="shared" si="21"/>
        <v>Tuesday</v>
      </c>
      <c r="E453" s="6">
        <v>45377.416666666664</v>
      </c>
      <c r="F453" s="6" t="str">
        <f t="shared" si="22"/>
        <v>Tuesday</v>
      </c>
      <c r="G453" t="str">
        <f>IF(COUNTIF(INDEX(SkiResort_ParkingRevenue_Raw[License Plate],1):SkiResort_ParkingRevenue_Raw[[#This Row],[License Plate]],SkiResort_ParkingRevenue_Raw[[#This Row],[License Plate]])=1,"New","Returning")</f>
        <v>New</v>
      </c>
      <c r="H453">
        <v>19.989999999999998</v>
      </c>
      <c r="I453">
        <v>1</v>
      </c>
      <c r="J453" t="str">
        <f t="shared" si="23"/>
        <v>All Season</v>
      </c>
    </row>
    <row r="454" spans="1:10" x14ac:dyDescent="0.25">
      <c r="A454" t="s">
        <v>1400</v>
      </c>
      <c r="B454" t="str" cm="1">
        <f t="array" ref="B45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54" s="6">
        <v>45377.368738425925</v>
      </c>
      <c r="D454" t="str">
        <f t="shared" si="21"/>
        <v>Tuesday</v>
      </c>
      <c r="E454" s="6">
        <v>45377.416666666664</v>
      </c>
      <c r="F454" s="6" t="str">
        <f t="shared" si="22"/>
        <v>Tuesday</v>
      </c>
      <c r="G454" t="str">
        <f>IF(COUNTIF(INDEX(SkiResort_ParkingRevenue_Raw[License Plate],1):SkiResort_ParkingRevenue_Raw[[#This Row],[License Plate]],SkiResort_ParkingRevenue_Raw[[#This Row],[License Plate]])=1,"New","Returning")</f>
        <v>Returning</v>
      </c>
      <c r="H454">
        <v>19.989999999999998</v>
      </c>
      <c r="I454">
        <v>1</v>
      </c>
      <c r="J454" t="str">
        <f t="shared" si="23"/>
        <v>All Season</v>
      </c>
    </row>
    <row r="455" spans="1:10" x14ac:dyDescent="0.25">
      <c r="A455" t="s">
        <v>1268</v>
      </c>
      <c r="B455" t="str" cm="1">
        <f t="array" ref="B45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55" s="6">
        <v>45378.291666666664</v>
      </c>
      <c r="D455" t="str">
        <f t="shared" si="21"/>
        <v>Wednesday</v>
      </c>
      <c r="E455" s="6">
        <v>45378.416666666664</v>
      </c>
      <c r="F455" s="6" t="str">
        <f t="shared" si="22"/>
        <v>Wednesday</v>
      </c>
      <c r="G455" t="str">
        <f>IF(COUNTIF(INDEX(SkiResort_ParkingRevenue_Raw[License Plate],1):SkiResort_ParkingRevenue_Raw[[#This Row],[License Plate]],SkiResort_ParkingRevenue_Raw[[#This Row],[License Plate]])=1,"New","Returning")</f>
        <v>Returning</v>
      </c>
      <c r="H455">
        <v>99.95</v>
      </c>
      <c r="I455">
        <v>4</v>
      </c>
      <c r="J455" t="str">
        <f t="shared" si="23"/>
        <v>All Season</v>
      </c>
    </row>
    <row r="456" spans="1:10" x14ac:dyDescent="0.25">
      <c r="A456" t="s">
        <v>1422</v>
      </c>
      <c r="B456" t="str" cm="1">
        <f t="array" ref="B45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56" s="6">
        <v>45378.291666666664</v>
      </c>
      <c r="D456" t="str">
        <f t="shared" si="21"/>
        <v>Wednesday</v>
      </c>
      <c r="E456" s="6">
        <v>45378.416666666664</v>
      </c>
      <c r="F456" s="6" t="str">
        <f t="shared" si="22"/>
        <v>Wednesday</v>
      </c>
      <c r="G456" t="str">
        <f>IF(COUNTIF(INDEX(SkiResort_ParkingRevenue_Raw[License Plate],1):SkiResort_ParkingRevenue_Raw[[#This Row],[License Plate]],SkiResort_ParkingRevenue_Raw[[#This Row],[License Plate]])=1,"New","Returning")</f>
        <v>New</v>
      </c>
      <c r="H456">
        <v>19.989999999999998</v>
      </c>
      <c r="I456">
        <v>1</v>
      </c>
      <c r="J456" t="str">
        <f t="shared" si="23"/>
        <v>All Season</v>
      </c>
    </row>
    <row r="457" spans="1:10" x14ac:dyDescent="0.25">
      <c r="A457" t="s">
        <v>1428</v>
      </c>
      <c r="B457" t="str" cm="1">
        <f t="array" ref="B45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57" s="6">
        <v>45378.291666666664</v>
      </c>
      <c r="D457" t="str">
        <f t="shared" si="21"/>
        <v>Wednesday</v>
      </c>
      <c r="E457" s="6">
        <v>45378.416666666664</v>
      </c>
      <c r="F457" s="6" t="str">
        <f t="shared" si="22"/>
        <v>Wednesday</v>
      </c>
      <c r="G457" t="str">
        <f>IF(COUNTIF(INDEX(SkiResort_ParkingRevenue_Raw[License Plate],1):SkiResort_ParkingRevenue_Raw[[#This Row],[License Plate]],SkiResort_ParkingRevenue_Raw[[#This Row],[License Plate]])=1,"New","Returning")</f>
        <v>New</v>
      </c>
      <c r="H457">
        <v>39.979999999999997</v>
      </c>
      <c r="I457">
        <v>2</v>
      </c>
      <c r="J457" t="str">
        <f t="shared" si="23"/>
        <v>All Season</v>
      </c>
    </row>
    <row r="458" spans="1:10" x14ac:dyDescent="0.25">
      <c r="A458" t="s">
        <v>1484</v>
      </c>
      <c r="B458" t="str" cm="1">
        <f t="array" ref="B45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58" s="6">
        <v>45378.291666666664</v>
      </c>
      <c r="D458" t="str">
        <f t="shared" si="21"/>
        <v>Wednesday</v>
      </c>
      <c r="E458" s="6">
        <v>45378.416666666664</v>
      </c>
      <c r="F458" s="6" t="str">
        <f t="shared" si="22"/>
        <v>Wednesday</v>
      </c>
      <c r="G458" t="str">
        <f>IF(COUNTIF(INDEX(SkiResort_ParkingRevenue_Raw[License Plate],1):SkiResort_ParkingRevenue_Raw[[#This Row],[License Plate]],SkiResort_ParkingRevenue_Raw[[#This Row],[License Plate]])=1,"New","Returning")</f>
        <v>New</v>
      </c>
      <c r="H458">
        <v>19.989999999999998</v>
      </c>
      <c r="I458">
        <v>1</v>
      </c>
      <c r="J458" t="str">
        <f t="shared" si="23"/>
        <v>All Season</v>
      </c>
    </row>
    <row r="459" spans="1:10" x14ac:dyDescent="0.25">
      <c r="A459" t="s">
        <v>1598</v>
      </c>
      <c r="B459" t="str" cm="1">
        <f t="array" ref="B45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59" s="6">
        <v>45378.291666666664</v>
      </c>
      <c r="D459" t="str">
        <f t="shared" si="21"/>
        <v>Wednesday</v>
      </c>
      <c r="E459" s="6">
        <v>45378.416666666664</v>
      </c>
      <c r="F459" s="6" t="str">
        <f t="shared" si="22"/>
        <v>Wednesday</v>
      </c>
      <c r="G459" t="str">
        <f>IF(COUNTIF(INDEX(SkiResort_ParkingRevenue_Raw[License Plate],1):SkiResort_ParkingRevenue_Raw[[#This Row],[License Plate]],SkiResort_ParkingRevenue_Raw[[#This Row],[License Plate]])=1,"New","Returning")</f>
        <v>Returning</v>
      </c>
      <c r="H459">
        <v>39.979999999999997</v>
      </c>
      <c r="I459">
        <v>2</v>
      </c>
      <c r="J459" t="str">
        <f t="shared" si="23"/>
        <v>All Season</v>
      </c>
    </row>
    <row r="460" spans="1:10" x14ac:dyDescent="0.25">
      <c r="A460" t="s">
        <v>1796</v>
      </c>
      <c r="B460" t="str" cm="1">
        <f t="array" ref="B46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60" s="6">
        <v>45378.291666666664</v>
      </c>
      <c r="D460" t="str">
        <f t="shared" si="21"/>
        <v>Wednesday</v>
      </c>
      <c r="E460" s="6">
        <v>45378.416666666664</v>
      </c>
      <c r="F460" s="6" t="str">
        <f t="shared" si="22"/>
        <v>Wednesday</v>
      </c>
      <c r="G460" t="str">
        <f>IF(COUNTIF(INDEX(SkiResort_ParkingRevenue_Raw[License Plate],1):SkiResort_ParkingRevenue_Raw[[#This Row],[License Plate]],SkiResort_ParkingRevenue_Raw[[#This Row],[License Plate]])=1,"New","Returning")</f>
        <v>New</v>
      </c>
      <c r="H460">
        <v>39.979999999999997</v>
      </c>
      <c r="I460">
        <v>2</v>
      </c>
      <c r="J460" t="str">
        <f t="shared" si="23"/>
        <v>All Season</v>
      </c>
    </row>
    <row r="461" spans="1:10" x14ac:dyDescent="0.25">
      <c r="A461" t="s">
        <v>1933</v>
      </c>
      <c r="B461" t="str" cm="1">
        <f t="array" ref="B46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61" s="6">
        <v>45378.291666666664</v>
      </c>
      <c r="D461" t="str">
        <f t="shared" si="21"/>
        <v>Wednesday</v>
      </c>
      <c r="E461" s="6">
        <v>45378.416666666664</v>
      </c>
      <c r="F461" s="6" t="str">
        <f t="shared" si="22"/>
        <v>Wednesday</v>
      </c>
      <c r="G461" t="str">
        <f>IF(COUNTIF(INDEX(SkiResort_ParkingRevenue_Raw[License Plate],1):SkiResort_ParkingRevenue_Raw[[#This Row],[License Plate]],SkiResort_ParkingRevenue_Raw[[#This Row],[License Plate]])=1,"New","Returning")</f>
        <v>Returning</v>
      </c>
      <c r="H461">
        <v>39.979999999999997</v>
      </c>
      <c r="I461">
        <v>2</v>
      </c>
      <c r="J461" t="str">
        <f t="shared" si="23"/>
        <v>All Season</v>
      </c>
    </row>
    <row r="462" spans="1:10" x14ac:dyDescent="0.25">
      <c r="A462" t="s">
        <v>1973</v>
      </c>
      <c r="B462" t="str" cm="1">
        <f t="array" ref="B46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62" s="6">
        <v>45378.291666666664</v>
      </c>
      <c r="D462" t="str">
        <f t="shared" si="21"/>
        <v>Wednesday</v>
      </c>
      <c r="E462" s="6">
        <v>45378.416666666664</v>
      </c>
      <c r="F462" s="6" t="str">
        <f t="shared" si="22"/>
        <v>Wednesday</v>
      </c>
      <c r="G462" t="str">
        <f>IF(COUNTIF(INDEX(SkiResort_ParkingRevenue_Raw[License Plate],1):SkiResort_ParkingRevenue_Raw[[#This Row],[License Plate]],SkiResort_ParkingRevenue_Raw[[#This Row],[License Plate]])=1,"New","Returning")</f>
        <v>New</v>
      </c>
      <c r="H462">
        <v>19.989999999999998</v>
      </c>
      <c r="I462">
        <v>1</v>
      </c>
      <c r="J462" t="str">
        <f t="shared" si="23"/>
        <v>All Season</v>
      </c>
    </row>
    <row r="463" spans="1:10" x14ac:dyDescent="0.25">
      <c r="A463" t="s">
        <v>1983</v>
      </c>
      <c r="B463" t="str" cm="1">
        <f t="array" ref="B46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63" s="6">
        <v>45378.291666666664</v>
      </c>
      <c r="D463" t="str">
        <f t="shared" si="21"/>
        <v>Wednesday</v>
      </c>
      <c r="E463" s="6">
        <v>45378.416666666664</v>
      </c>
      <c r="F463" s="6" t="str">
        <f t="shared" si="22"/>
        <v>Wednesday</v>
      </c>
      <c r="G463" t="str">
        <f>IF(COUNTIF(INDEX(SkiResort_ParkingRevenue_Raw[License Plate],1):SkiResort_ParkingRevenue_Raw[[#This Row],[License Plate]],SkiResort_ParkingRevenue_Raw[[#This Row],[License Plate]])=1,"New","Returning")</f>
        <v>New</v>
      </c>
      <c r="H463">
        <v>19.989999999999998</v>
      </c>
      <c r="I463">
        <v>1</v>
      </c>
      <c r="J463" t="str">
        <f t="shared" si="23"/>
        <v>All Season</v>
      </c>
    </row>
    <row r="464" spans="1:10" x14ac:dyDescent="0.25">
      <c r="A464" t="s">
        <v>1477</v>
      </c>
      <c r="B464" t="str" cm="1">
        <f t="array" ref="B46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64" s="6">
        <v>45378.369444444441</v>
      </c>
      <c r="D464" t="str">
        <f t="shared" si="21"/>
        <v>Wednesday</v>
      </c>
      <c r="E464" s="6">
        <v>45378.416666666664</v>
      </c>
      <c r="F464" s="6" t="str">
        <f t="shared" si="22"/>
        <v>Wednesday</v>
      </c>
      <c r="G464" t="str">
        <f>IF(COUNTIF(INDEX(SkiResort_ParkingRevenue_Raw[License Plate],1):SkiResort_ParkingRevenue_Raw[[#This Row],[License Plate]],SkiResort_ParkingRevenue_Raw[[#This Row],[License Plate]])=1,"New","Returning")</f>
        <v>Returning</v>
      </c>
      <c r="H464">
        <v>19.989999999999998</v>
      </c>
      <c r="I464">
        <v>1</v>
      </c>
      <c r="J464" t="str">
        <f t="shared" si="23"/>
        <v>All Season</v>
      </c>
    </row>
    <row r="465" spans="1:10" x14ac:dyDescent="0.25">
      <c r="A465" t="s">
        <v>1479</v>
      </c>
      <c r="B465" t="str" cm="1">
        <f t="array" ref="B46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65" s="6">
        <v>45378.384594907409</v>
      </c>
      <c r="D465" t="str">
        <f t="shared" si="21"/>
        <v>Wednesday</v>
      </c>
      <c r="E465" s="6">
        <v>45378.416666666664</v>
      </c>
      <c r="F465" s="6" t="str">
        <f t="shared" si="22"/>
        <v>Wednesday</v>
      </c>
      <c r="G465" t="str">
        <f>IF(COUNTIF(INDEX(SkiResort_ParkingRevenue_Raw[License Plate],1):SkiResort_ParkingRevenue_Raw[[#This Row],[License Plate]],SkiResort_ParkingRevenue_Raw[[#This Row],[License Plate]])=1,"New","Returning")</f>
        <v>New</v>
      </c>
      <c r="H465">
        <v>19.989999999999998</v>
      </c>
      <c r="I465">
        <v>1</v>
      </c>
      <c r="J465" t="str">
        <f t="shared" si="23"/>
        <v>All Season</v>
      </c>
    </row>
    <row r="466" spans="1:10" x14ac:dyDescent="0.25">
      <c r="A466" t="s">
        <v>1269</v>
      </c>
      <c r="B466" t="str" cm="1">
        <f t="array" ref="B46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66" s="6">
        <v>45379.291666666664</v>
      </c>
      <c r="D466" t="str">
        <f t="shared" si="21"/>
        <v>Thursday</v>
      </c>
      <c r="E466" s="6">
        <v>45379.416666666664</v>
      </c>
      <c r="F466" s="6" t="str">
        <f t="shared" si="22"/>
        <v>Thursday</v>
      </c>
      <c r="G466" t="str">
        <f>IF(COUNTIF(INDEX(SkiResort_ParkingRevenue_Raw[License Plate],1):SkiResort_ParkingRevenue_Raw[[#This Row],[License Plate]],SkiResort_ParkingRevenue_Raw[[#This Row],[License Plate]])=1,"New","Returning")</f>
        <v>Returning</v>
      </c>
      <c r="H466">
        <v>99.95</v>
      </c>
      <c r="I466">
        <v>4</v>
      </c>
      <c r="J466" t="str">
        <f t="shared" si="23"/>
        <v>All Season</v>
      </c>
    </row>
    <row r="467" spans="1:10" x14ac:dyDescent="0.25">
      <c r="A467" t="s">
        <v>1433</v>
      </c>
      <c r="B467" t="str" cm="1">
        <f t="array" ref="B46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67" s="6">
        <v>45379.291666666664</v>
      </c>
      <c r="D467" t="str">
        <f t="shared" si="21"/>
        <v>Thursday</v>
      </c>
      <c r="E467" s="6">
        <v>45379.416666666664</v>
      </c>
      <c r="F467" s="6" t="str">
        <f t="shared" si="22"/>
        <v>Thursday</v>
      </c>
      <c r="G467" t="str">
        <f>IF(COUNTIF(INDEX(SkiResort_ParkingRevenue_Raw[License Plate],1):SkiResort_ParkingRevenue_Raw[[#This Row],[License Plate]],SkiResort_ParkingRevenue_Raw[[#This Row],[License Plate]])=1,"New","Returning")</f>
        <v>Returning</v>
      </c>
      <c r="H467">
        <v>39.979999999999997</v>
      </c>
      <c r="I467">
        <v>2</v>
      </c>
      <c r="J467" t="str">
        <f t="shared" si="23"/>
        <v>All Season</v>
      </c>
    </row>
    <row r="468" spans="1:10" x14ac:dyDescent="0.25">
      <c r="A468" t="s">
        <v>1454</v>
      </c>
      <c r="B468" t="str" cm="1">
        <f t="array" ref="B46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68" s="6">
        <v>45379.291666666664</v>
      </c>
      <c r="D468" t="str">
        <f t="shared" si="21"/>
        <v>Thursday</v>
      </c>
      <c r="E468" s="6">
        <v>45379.416666666664</v>
      </c>
      <c r="F468" s="6" t="str">
        <f t="shared" si="22"/>
        <v>Thursday</v>
      </c>
      <c r="G468" t="str">
        <f>IF(COUNTIF(INDEX(SkiResort_ParkingRevenue_Raw[License Plate],1):SkiResort_ParkingRevenue_Raw[[#This Row],[License Plate]],SkiResort_ParkingRevenue_Raw[[#This Row],[License Plate]])=1,"New","Returning")</f>
        <v>New</v>
      </c>
      <c r="H468">
        <v>19.989999999999998</v>
      </c>
      <c r="I468">
        <v>1</v>
      </c>
      <c r="J468" t="str">
        <f t="shared" si="23"/>
        <v>All Season</v>
      </c>
    </row>
    <row r="469" spans="1:10" x14ac:dyDescent="0.25">
      <c r="A469" t="s">
        <v>1490</v>
      </c>
      <c r="B469" t="str" cm="1">
        <f t="array" ref="B46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69" s="6">
        <v>45379.291666666664</v>
      </c>
      <c r="D469" t="str">
        <f t="shared" si="21"/>
        <v>Thursday</v>
      </c>
      <c r="E469" s="6">
        <v>45379.416666666664</v>
      </c>
      <c r="F469" s="6" t="str">
        <f t="shared" si="22"/>
        <v>Thursday</v>
      </c>
      <c r="G469" t="str">
        <f>IF(COUNTIF(INDEX(SkiResort_ParkingRevenue_Raw[License Plate],1):SkiResort_ParkingRevenue_Raw[[#This Row],[License Plate]],SkiResort_ParkingRevenue_Raw[[#This Row],[License Plate]])=1,"New","Returning")</f>
        <v>New</v>
      </c>
      <c r="H469">
        <v>19.989999999999998</v>
      </c>
      <c r="I469">
        <v>1</v>
      </c>
      <c r="J469" t="str">
        <f t="shared" si="23"/>
        <v>All Season</v>
      </c>
    </row>
    <row r="470" spans="1:10" x14ac:dyDescent="0.25">
      <c r="A470" t="s">
        <v>1500</v>
      </c>
      <c r="B470" t="str" cm="1">
        <f t="array" ref="B47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70" s="6">
        <v>45379.291666666664</v>
      </c>
      <c r="D470" t="str">
        <f t="shared" si="21"/>
        <v>Thursday</v>
      </c>
      <c r="E470" s="6">
        <v>45379.416666666664</v>
      </c>
      <c r="F470" s="6" t="str">
        <f t="shared" si="22"/>
        <v>Thursday</v>
      </c>
      <c r="G470" t="str">
        <f>IF(COUNTIF(INDEX(SkiResort_ParkingRevenue_Raw[License Plate],1):SkiResort_ParkingRevenue_Raw[[#This Row],[License Plate]],SkiResort_ParkingRevenue_Raw[[#This Row],[License Plate]])=1,"New","Returning")</f>
        <v>New</v>
      </c>
      <c r="H470">
        <v>19.989999999999998</v>
      </c>
      <c r="I470">
        <v>1</v>
      </c>
      <c r="J470" t="str">
        <f t="shared" si="23"/>
        <v>All Season</v>
      </c>
    </row>
    <row r="471" spans="1:10" x14ac:dyDescent="0.25">
      <c r="A471" t="s">
        <v>1511</v>
      </c>
      <c r="B471" t="str" cm="1">
        <f t="array" ref="B47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71" s="6">
        <v>45379.291666666664</v>
      </c>
      <c r="D471" t="str">
        <f t="shared" si="21"/>
        <v>Thursday</v>
      </c>
      <c r="E471" s="6">
        <v>45379.416666666664</v>
      </c>
      <c r="F471" s="6" t="str">
        <f t="shared" si="22"/>
        <v>Thursday</v>
      </c>
      <c r="G471" t="str">
        <f>IF(COUNTIF(INDEX(SkiResort_ParkingRevenue_Raw[License Plate],1):SkiResort_ParkingRevenue_Raw[[#This Row],[License Plate]],SkiResort_ParkingRevenue_Raw[[#This Row],[License Plate]])=1,"New","Returning")</f>
        <v>New</v>
      </c>
      <c r="H471">
        <v>19.989999999999998</v>
      </c>
      <c r="I471">
        <v>1</v>
      </c>
      <c r="J471" t="str">
        <f t="shared" si="23"/>
        <v>All Season</v>
      </c>
    </row>
    <row r="472" spans="1:10" x14ac:dyDescent="0.25">
      <c r="A472" t="s">
        <v>1516</v>
      </c>
      <c r="B472" t="str" cm="1">
        <f t="array" ref="B47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72" s="6">
        <v>45379.291666666664</v>
      </c>
      <c r="D472" t="str">
        <f t="shared" si="21"/>
        <v>Thursday</v>
      </c>
      <c r="E472" s="6">
        <v>45379.416666666664</v>
      </c>
      <c r="F472" s="6" t="str">
        <f t="shared" si="22"/>
        <v>Thursday</v>
      </c>
      <c r="G472" t="str">
        <f>IF(COUNTIF(INDEX(SkiResort_ParkingRevenue_Raw[License Plate],1):SkiResort_ParkingRevenue_Raw[[#This Row],[License Plate]],SkiResort_ParkingRevenue_Raw[[#This Row],[License Plate]])=1,"New","Returning")</f>
        <v>New</v>
      </c>
      <c r="H472">
        <v>39.979999999999997</v>
      </c>
      <c r="I472">
        <v>2</v>
      </c>
      <c r="J472" t="str">
        <f t="shared" si="23"/>
        <v>All Season</v>
      </c>
    </row>
    <row r="473" spans="1:10" x14ac:dyDescent="0.25">
      <c r="A473" t="s">
        <v>1529</v>
      </c>
      <c r="B473" t="str" cm="1">
        <f t="array" ref="B47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73" s="6">
        <v>45379.291666666664</v>
      </c>
      <c r="D473" t="str">
        <f t="shared" si="21"/>
        <v>Thursday</v>
      </c>
      <c r="E473" s="6">
        <v>45379.416666666664</v>
      </c>
      <c r="F473" s="6" t="str">
        <f t="shared" si="22"/>
        <v>Thursday</v>
      </c>
      <c r="G473" t="str">
        <f>IF(COUNTIF(INDEX(SkiResort_ParkingRevenue_Raw[License Plate],1):SkiResort_ParkingRevenue_Raw[[#This Row],[License Plate]],SkiResort_ParkingRevenue_Raw[[#This Row],[License Plate]])=1,"New","Returning")</f>
        <v>New</v>
      </c>
      <c r="H473">
        <v>19.989999999999998</v>
      </c>
      <c r="I473">
        <v>1</v>
      </c>
      <c r="J473" t="str">
        <f t="shared" si="23"/>
        <v>All Season</v>
      </c>
    </row>
    <row r="474" spans="1:10" x14ac:dyDescent="0.25">
      <c r="A474" t="s">
        <v>1533</v>
      </c>
      <c r="B474" t="str" cm="1">
        <f t="array" ref="B47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74" s="6">
        <v>45379.291666666664</v>
      </c>
      <c r="D474" t="str">
        <f t="shared" si="21"/>
        <v>Thursday</v>
      </c>
      <c r="E474" s="6">
        <v>45379.416666666664</v>
      </c>
      <c r="F474" s="6" t="str">
        <f t="shared" si="22"/>
        <v>Thursday</v>
      </c>
      <c r="G474" t="str">
        <f>IF(COUNTIF(INDEX(SkiResort_ParkingRevenue_Raw[License Plate],1):SkiResort_ParkingRevenue_Raw[[#This Row],[License Plate]],SkiResort_ParkingRevenue_Raw[[#This Row],[License Plate]])=1,"New","Returning")</f>
        <v>Returning</v>
      </c>
      <c r="H474">
        <v>19.989999999999998</v>
      </c>
      <c r="I474">
        <v>1</v>
      </c>
      <c r="J474" t="str">
        <f t="shared" si="23"/>
        <v>All Season</v>
      </c>
    </row>
    <row r="475" spans="1:10" x14ac:dyDescent="0.25">
      <c r="A475" t="s">
        <v>1683</v>
      </c>
      <c r="B475" t="str" cm="1">
        <f t="array" ref="B47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75" s="6">
        <v>45379.291666666664</v>
      </c>
      <c r="D475" t="str">
        <f t="shared" si="21"/>
        <v>Thursday</v>
      </c>
      <c r="E475" s="6">
        <v>45379.416666666664</v>
      </c>
      <c r="F475" s="6" t="str">
        <f t="shared" si="22"/>
        <v>Thursday</v>
      </c>
      <c r="G475" t="str">
        <f>IF(COUNTIF(INDEX(SkiResort_ParkingRevenue_Raw[License Plate],1):SkiResort_ParkingRevenue_Raw[[#This Row],[License Plate]],SkiResort_ParkingRevenue_Raw[[#This Row],[License Plate]])=1,"New","Returning")</f>
        <v>New</v>
      </c>
      <c r="H475">
        <v>19.989999999999998</v>
      </c>
      <c r="I475">
        <v>1</v>
      </c>
      <c r="J475" t="str">
        <f t="shared" si="23"/>
        <v>All Season</v>
      </c>
    </row>
    <row r="476" spans="1:10" x14ac:dyDescent="0.25">
      <c r="A476" t="s">
        <v>1853</v>
      </c>
      <c r="B476" t="str" cm="1">
        <f t="array" ref="B47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76" s="6">
        <v>45379.291666666664</v>
      </c>
      <c r="D476" t="str">
        <f t="shared" si="21"/>
        <v>Thursday</v>
      </c>
      <c r="E476" s="6">
        <v>45379.416666666664</v>
      </c>
      <c r="F476" s="6" t="str">
        <f t="shared" si="22"/>
        <v>Thursday</v>
      </c>
      <c r="G476" t="str">
        <f>IF(COUNTIF(INDEX(SkiResort_ParkingRevenue_Raw[License Plate],1):SkiResort_ParkingRevenue_Raw[[#This Row],[License Plate]],SkiResort_ParkingRevenue_Raw[[#This Row],[License Plate]])=1,"New","Returning")</f>
        <v>Returning</v>
      </c>
      <c r="H476">
        <v>39.979999999999997</v>
      </c>
      <c r="I476">
        <v>2</v>
      </c>
      <c r="J476" t="str">
        <f t="shared" si="23"/>
        <v>All Season</v>
      </c>
    </row>
    <row r="477" spans="1:10" x14ac:dyDescent="0.25">
      <c r="A477" t="s">
        <v>1535</v>
      </c>
      <c r="B477" t="str" cm="1">
        <f t="array" ref="B47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77" s="6">
        <v>45379.372812499998</v>
      </c>
      <c r="D477" t="str">
        <f t="shared" si="21"/>
        <v>Thursday</v>
      </c>
      <c r="E477" s="6">
        <v>45379.416666666664</v>
      </c>
      <c r="F477" s="6" t="str">
        <f t="shared" si="22"/>
        <v>Thursday</v>
      </c>
      <c r="G477" t="str">
        <f>IF(COUNTIF(INDEX(SkiResort_ParkingRevenue_Raw[License Plate],1):SkiResort_ParkingRevenue_Raw[[#This Row],[License Plate]],SkiResort_ParkingRevenue_Raw[[#This Row],[License Plate]])=1,"New","Returning")</f>
        <v>Returning</v>
      </c>
      <c r="H477">
        <v>19.989999999999998</v>
      </c>
      <c r="I477">
        <v>1</v>
      </c>
      <c r="J477" t="str">
        <f t="shared" si="23"/>
        <v>All Season</v>
      </c>
    </row>
    <row r="478" spans="1:10" x14ac:dyDescent="0.25">
      <c r="A478" t="s">
        <v>1270</v>
      </c>
      <c r="B478" t="str" cm="1">
        <f t="array" ref="B47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78" s="6">
        <v>45380.291666666664</v>
      </c>
      <c r="D478" t="str">
        <f t="shared" si="21"/>
        <v>Friday</v>
      </c>
      <c r="E478" s="6">
        <v>45380.416666666664</v>
      </c>
      <c r="F478" s="6" t="str">
        <f t="shared" si="22"/>
        <v>Friday</v>
      </c>
      <c r="G478" t="str">
        <f>IF(COUNTIF(INDEX(SkiResort_ParkingRevenue_Raw[License Plate],1):SkiResort_ParkingRevenue_Raw[[#This Row],[License Plate]],SkiResort_ParkingRevenue_Raw[[#This Row],[License Plate]])=1,"New","Returning")</f>
        <v>Returning</v>
      </c>
      <c r="H478">
        <v>99.95</v>
      </c>
      <c r="I478">
        <v>4</v>
      </c>
      <c r="J478" t="str">
        <f t="shared" si="23"/>
        <v>All Season</v>
      </c>
    </row>
    <row r="479" spans="1:10" x14ac:dyDescent="0.25">
      <c r="A479" t="s">
        <v>1521</v>
      </c>
      <c r="B479" t="str" cm="1">
        <f t="array" ref="B47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79" s="6">
        <v>45380.291666666664</v>
      </c>
      <c r="D479" t="str">
        <f t="shared" si="21"/>
        <v>Friday</v>
      </c>
      <c r="E479" s="6">
        <v>45380.416666666664</v>
      </c>
      <c r="F479" s="6" t="str">
        <f t="shared" si="22"/>
        <v>Friday</v>
      </c>
      <c r="G479" t="str">
        <f>IF(COUNTIF(INDEX(SkiResort_ParkingRevenue_Raw[License Plate],1):SkiResort_ParkingRevenue_Raw[[#This Row],[License Plate]],SkiResort_ParkingRevenue_Raw[[#This Row],[License Plate]])=1,"New","Returning")</f>
        <v>Returning</v>
      </c>
      <c r="H479">
        <v>39.979999999999997</v>
      </c>
      <c r="I479">
        <v>2</v>
      </c>
      <c r="J479" t="str">
        <f t="shared" si="23"/>
        <v>All Season</v>
      </c>
    </row>
    <row r="480" spans="1:10" x14ac:dyDescent="0.25">
      <c r="A480" t="s">
        <v>1524</v>
      </c>
      <c r="B480" t="str" cm="1">
        <f t="array" ref="B48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80" s="6">
        <v>45380.291666666664</v>
      </c>
      <c r="D480" t="str">
        <f t="shared" si="21"/>
        <v>Friday</v>
      </c>
      <c r="E480" s="6">
        <v>45380.416666666664</v>
      </c>
      <c r="F480" s="6" t="str">
        <f t="shared" si="22"/>
        <v>Friday</v>
      </c>
      <c r="G480" t="str">
        <f>IF(COUNTIF(INDEX(SkiResort_ParkingRevenue_Raw[License Plate],1):SkiResort_ParkingRevenue_Raw[[#This Row],[License Plate]],SkiResort_ParkingRevenue_Raw[[#This Row],[License Plate]])=1,"New","Returning")</f>
        <v>Returning</v>
      </c>
      <c r="H480">
        <v>19.989999999999998</v>
      </c>
      <c r="I480">
        <v>1</v>
      </c>
      <c r="J480" t="str">
        <f t="shared" si="23"/>
        <v>All Season</v>
      </c>
    </row>
    <row r="481" spans="1:10" x14ac:dyDescent="0.25">
      <c r="A481" t="s">
        <v>1547</v>
      </c>
      <c r="B481" t="str" cm="1">
        <f t="array" ref="B48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81" s="6">
        <v>45380.291666666664</v>
      </c>
      <c r="D481" t="str">
        <f t="shared" si="21"/>
        <v>Friday</v>
      </c>
      <c r="E481" s="6">
        <v>45380.416666666664</v>
      </c>
      <c r="F481" s="6" t="str">
        <f t="shared" si="22"/>
        <v>Friday</v>
      </c>
      <c r="G481" t="str">
        <f>IF(COUNTIF(INDEX(SkiResort_ParkingRevenue_Raw[License Plate],1):SkiResort_ParkingRevenue_Raw[[#This Row],[License Plate]],SkiResort_ParkingRevenue_Raw[[#This Row],[License Plate]])=1,"New","Returning")</f>
        <v>New</v>
      </c>
      <c r="H481">
        <v>19.989999999999998</v>
      </c>
      <c r="I481">
        <v>1</v>
      </c>
      <c r="J481" t="str">
        <f t="shared" si="23"/>
        <v>All Season</v>
      </c>
    </row>
    <row r="482" spans="1:10" x14ac:dyDescent="0.25">
      <c r="A482" t="s">
        <v>1562</v>
      </c>
      <c r="B482" t="str" cm="1">
        <f t="array" ref="B48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82" s="6">
        <v>45380.291666666664</v>
      </c>
      <c r="D482" t="str">
        <f t="shared" si="21"/>
        <v>Friday</v>
      </c>
      <c r="E482" s="6">
        <v>45380.416666666664</v>
      </c>
      <c r="F482" s="6" t="str">
        <f t="shared" si="22"/>
        <v>Friday</v>
      </c>
      <c r="G482" t="str">
        <f>IF(COUNTIF(INDEX(SkiResort_ParkingRevenue_Raw[License Plate],1):SkiResort_ParkingRevenue_Raw[[#This Row],[License Plate]],SkiResort_ParkingRevenue_Raw[[#This Row],[License Plate]])=1,"New","Returning")</f>
        <v>New</v>
      </c>
      <c r="H482">
        <v>19.989999999999998</v>
      </c>
      <c r="I482">
        <v>1</v>
      </c>
      <c r="J482" t="str">
        <f t="shared" si="23"/>
        <v>All Season</v>
      </c>
    </row>
    <row r="483" spans="1:10" x14ac:dyDescent="0.25">
      <c r="A483" t="s">
        <v>1567</v>
      </c>
      <c r="B483" t="str" cm="1">
        <f t="array" ref="B48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83" s="6">
        <v>45380.291666666664</v>
      </c>
      <c r="D483" t="str">
        <f t="shared" si="21"/>
        <v>Friday</v>
      </c>
      <c r="E483" s="6">
        <v>45380.416666666664</v>
      </c>
      <c r="F483" s="6" t="str">
        <f t="shared" si="22"/>
        <v>Friday</v>
      </c>
      <c r="G483" t="str">
        <f>IF(COUNTIF(INDEX(SkiResort_ParkingRevenue_Raw[License Plate],1):SkiResort_ParkingRevenue_Raw[[#This Row],[License Plate]],SkiResort_ParkingRevenue_Raw[[#This Row],[License Plate]])=1,"New","Returning")</f>
        <v>New</v>
      </c>
      <c r="H483">
        <v>19.989999999999998</v>
      </c>
      <c r="I483">
        <v>1</v>
      </c>
      <c r="J483" t="str">
        <f t="shared" si="23"/>
        <v>All Season</v>
      </c>
    </row>
    <row r="484" spans="1:10" x14ac:dyDescent="0.25">
      <c r="A484" t="s">
        <v>1605</v>
      </c>
      <c r="B484" t="str" cm="1">
        <f t="array" ref="B48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84" s="6">
        <v>45380.291666666664</v>
      </c>
      <c r="D484" t="str">
        <f t="shared" si="21"/>
        <v>Friday</v>
      </c>
      <c r="E484" s="6">
        <v>45380.416666666664</v>
      </c>
      <c r="F484" s="6" t="str">
        <f t="shared" si="22"/>
        <v>Friday</v>
      </c>
      <c r="G484" t="str">
        <f>IF(COUNTIF(INDEX(SkiResort_ParkingRevenue_Raw[License Plate],1):SkiResort_ParkingRevenue_Raw[[#This Row],[License Plate]],SkiResort_ParkingRevenue_Raw[[#This Row],[License Plate]])=1,"New","Returning")</f>
        <v>New</v>
      </c>
      <c r="H484">
        <v>19.989999999999998</v>
      </c>
      <c r="I484">
        <v>1</v>
      </c>
      <c r="J484" t="str">
        <f t="shared" si="23"/>
        <v>All Season</v>
      </c>
    </row>
    <row r="485" spans="1:10" x14ac:dyDescent="0.25">
      <c r="A485" t="s">
        <v>1624</v>
      </c>
      <c r="B485" t="str" cm="1">
        <f t="array" ref="B48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85" s="6">
        <v>45380.291666666664</v>
      </c>
      <c r="D485" t="str">
        <f t="shared" si="21"/>
        <v>Friday</v>
      </c>
      <c r="E485" s="6">
        <v>45380.416666666664</v>
      </c>
      <c r="F485" s="6" t="str">
        <f t="shared" si="22"/>
        <v>Friday</v>
      </c>
      <c r="G485" t="str">
        <f>IF(COUNTIF(INDEX(SkiResort_ParkingRevenue_Raw[License Plate],1):SkiResort_ParkingRevenue_Raw[[#This Row],[License Plate]],SkiResort_ParkingRevenue_Raw[[#This Row],[License Plate]])=1,"New","Returning")</f>
        <v>New</v>
      </c>
      <c r="H485">
        <v>24.99</v>
      </c>
      <c r="I485">
        <v>1</v>
      </c>
      <c r="J485" t="str">
        <f t="shared" si="23"/>
        <v>All Season</v>
      </c>
    </row>
    <row r="486" spans="1:10" x14ac:dyDescent="0.25">
      <c r="A486" t="s">
        <v>1630</v>
      </c>
      <c r="B486" t="str" cm="1">
        <f t="array" ref="B48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86" s="6">
        <v>45380.291666666664</v>
      </c>
      <c r="D486" t="str">
        <f t="shared" si="21"/>
        <v>Friday</v>
      </c>
      <c r="E486" s="6">
        <v>45380.416666666664</v>
      </c>
      <c r="F486" s="6" t="str">
        <f t="shared" si="22"/>
        <v>Friday</v>
      </c>
      <c r="G486" t="str">
        <f>IF(COUNTIF(INDEX(SkiResort_ParkingRevenue_Raw[License Plate],1):SkiResort_ParkingRevenue_Raw[[#This Row],[License Plate]],SkiResort_ParkingRevenue_Raw[[#This Row],[License Plate]])=1,"New","Returning")</f>
        <v>New</v>
      </c>
      <c r="H486">
        <v>24.99</v>
      </c>
      <c r="I486">
        <v>1</v>
      </c>
      <c r="J486" t="str">
        <f t="shared" si="23"/>
        <v>All Season</v>
      </c>
    </row>
    <row r="487" spans="1:10" x14ac:dyDescent="0.25">
      <c r="A487" t="s">
        <v>1671</v>
      </c>
      <c r="B487" t="str" cm="1">
        <f t="array" ref="B48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87" s="6">
        <v>45380.291666666664</v>
      </c>
      <c r="D487" t="str">
        <f t="shared" si="21"/>
        <v>Friday</v>
      </c>
      <c r="E487" s="6">
        <v>45380.416666666664</v>
      </c>
      <c r="F487" s="6" t="str">
        <f t="shared" si="22"/>
        <v>Friday</v>
      </c>
      <c r="G487" t="str">
        <f>IF(COUNTIF(INDEX(SkiResort_ParkingRevenue_Raw[License Plate],1):SkiResort_ParkingRevenue_Raw[[#This Row],[License Plate]],SkiResort_ParkingRevenue_Raw[[#This Row],[License Plate]])=1,"New","Returning")</f>
        <v>Returning</v>
      </c>
      <c r="H487">
        <v>19.989999999999998</v>
      </c>
      <c r="I487">
        <v>1</v>
      </c>
      <c r="J487" t="str">
        <f t="shared" si="23"/>
        <v>All Season</v>
      </c>
    </row>
    <row r="488" spans="1:10" x14ac:dyDescent="0.25">
      <c r="A488" t="s">
        <v>1777</v>
      </c>
      <c r="B488" t="str" cm="1">
        <f t="array" ref="B48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88" s="6">
        <v>45380.291666666664</v>
      </c>
      <c r="D488" t="str">
        <f t="shared" si="21"/>
        <v>Friday</v>
      </c>
      <c r="E488" s="6">
        <v>45380.416666666664</v>
      </c>
      <c r="F488" s="6" t="str">
        <f t="shared" si="22"/>
        <v>Friday</v>
      </c>
      <c r="G488" t="str">
        <f>IF(COUNTIF(INDEX(SkiResort_ParkingRevenue_Raw[License Plate],1):SkiResort_ParkingRevenue_Raw[[#This Row],[License Plate]],SkiResort_ParkingRevenue_Raw[[#This Row],[License Plate]])=1,"New","Returning")</f>
        <v>Returning</v>
      </c>
      <c r="H488">
        <v>19.989999999999998</v>
      </c>
      <c r="I488">
        <v>1</v>
      </c>
      <c r="J488" t="str">
        <f t="shared" si="23"/>
        <v>All Season</v>
      </c>
    </row>
    <row r="489" spans="1:10" x14ac:dyDescent="0.25">
      <c r="A489" t="s">
        <v>1599</v>
      </c>
      <c r="B489" t="str" cm="1">
        <f t="array" ref="B48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89" s="6">
        <v>45380.321597222224</v>
      </c>
      <c r="D489" t="str">
        <f t="shared" si="21"/>
        <v>Friday</v>
      </c>
      <c r="E489" s="6">
        <v>45380.416666666664</v>
      </c>
      <c r="F489" s="6" t="str">
        <f t="shared" si="22"/>
        <v>Friday</v>
      </c>
      <c r="G489" t="str">
        <f>IF(COUNTIF(INDEX(SkiResort_ParkingRevenue_Raw[License Plate],1):SkiResort_ParkingRevenue_Raw[[#This Row],[License Plate]],SkiResort_ParkingRevenue_Raw[[#This Row],[License Plate]])=1,"New","Returning")</f>
        <v>New</v>
      </c>
      <c r="H489">
        <v>24.99</v>
      </c>
      <c r="I489">
        <v>1</v>
      </c>
      <c r="J489" t="str">
        <f t="shared" si="23"/>
        <v>All Season</v>
      </c>
    </row>
    <row r="490" spans="1:10" x14ac:dyDescent="0.25">
      <c r="A490" t="s">
        <v>1603</v>
      </c>
      <c r="B490" t="str" cm="1">
        <f t="array" ref="B49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90" s="6">
        <v>45380.322395833333</v>
      </c>
      <c r="D490" t="str">
        <f t="shared" si="21"/>
        <v>Friday</v>
      </c>
      <c r="E490" s="6">
        <v>45380.416666666664</v>
      </c>
      <c r="F490" s="6" t="str">
        <f t="shared" si="22"/>
        <v>Friday</v>
      </c>
      <c r="G490" t="str">
        <f>IF(COUNTIF(INDEX(SkiResort_ParkingRevenue_Raw[License Plate],1):SkiResort_ParkingRevenue_Raw[[#This Row],[License Plate]],SkiResort_ParkingRevenue_Raw[[#This Row],[License Plate]])=1,"New","Returning")</f>
        <v>Returning</v>
      </c>
      <c r="H490">
        <v>24.99</v>
      </c>
      <c r="I490">
        <v>1</v>
      </c>
      <c r="J490" t="str">
        <f t="shared" si="23"/>
        <v>All Season</v>
      </c>
    </row>
    <row r="491" spans="1:10" x14ac:dyDescent="0.25">
      <c r="A491" t="s">
        <v>1604</v>
      </c>
      <c r="B491" t="str" cm="1">
        <f t="array" ref="B49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91" s="6">
        <v>45380.323599537034</v>
      </c>
      <c r="D491" t="str">
        <f t="shared" si="21"/>
        <v>Friday</v>
      </c>
      <c r="E491" s="6">
        <v>45380.416666666664</v>
      </c>
      <c r="F491" s="6" t="str">
        <f t="shared" si="22"/>
        <v>Friday</v>
      </c>
      <c r="G491" t="str">
        <f>IF(COUNTIF(INDEX(SkiResort_ParkingRevenue_Raw[License Plate],1):SkiResort_ParkingRevenue_Raw[[#This Row],[License Plate]],SkiResort_ParkingRevenue_Raw[[#This Row],[License Plate]])=1,"New","Returning")</f>
        <v>Returning</v>
      </c>
      <c r="H491">
        <v>24.99</v>
      </c>
      <c r="I491">
        <v>1</v>
      </c>
      <c r="J491" t="str">
        <f t="shared" si="23"/>
        <v>All Season</v>
      </c>
    </row>
    <row r="492" spans="1:10" x14ac:dyDescent="0.25">
      <c r="A492" t="s">
        <v>1610</v>
      </c>
      <c r="B492" t="str" cm="1">
        <f t="array" ref="B49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92" s="6">
        <v>45380.323692129627</v>
      </c>
      <c r="D492" t="str">
        <f t="shared" si="21"/>
        <v>Friday</v>
      </c>
      <c r="E492" s="6">
        <v>45380.416666666664</v>
      </c>
      <c r="F492" s="6" t="str">
        <f t="shared" si="22"/>
        <v>Friday</v>
      </c>
      <c r="G492" t="str">
        <f>IF(COUNTIF(INDEX(SkiResort_ParkingRevenue_Raw[License Plate],1):SkiResort_ParkingRevenue_Raw[[#This Row],[License Plate]],SkiResort_ParkingRevenue_Raw[[#This Row],[License Plate]])=1,"New","Returning")</f>
        <v>Returning</v>
      </c>
      <c r="H492">
        <v>24.99</v>
      </c>
      <c r="I492">
        <v>1</v>
      </c>
      <c r="J492" t="str">
        <f t="shared" si="23"/>
        <v>All Season</v>
      </c>
    </row>
    <row r="493" spans="1:10" x14ac:dyDescent="0.25">
      <c r="A493" t="s">
        <v>1617</v>
      </c>
      <c r="B493" t="str" cm="1">
        <f t="array" ref="B49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93" s="6">
        <v>45380.347916666666</v>
      </c>
      <c r="D493" t="str">
        <f t="shared" si="21"/>
        <v>Friday</v>
      </c>
      <c r="E493" s="6">
        <v>45380.416666666664</v>
      </c>
      <c r="F493" s="6" t="str">
        <f t="shared" si="22"/>
        <v>Friday</v>
      </c>
      <c r="G493" t="str">
        <f>IF(COUNTIF(INDEX(SkiResort_ParkingRevenue_Raw[License Plate],1):SkiResort_ParkingRevenue_Raw[[#This Row],[License Plate]],SkiResort_ParkingRevenue_Raw[[#This Row],[License Plate]])=1,"New","Returning")</f>
        <v>New</v>
      </c>
      <c r="H493">
        <v>24.99</v>
      </c>
      <c r="I493">
        <v>1</v>
      </c>
      <c r="J493" t="str">
        <f t="shared" si="23"/>
        <v>All Season</v>
      </c>
    </row>
    <row r="494" spans="1:10" x14ac:dyDescent="0.25">
      <c r="A494" t="s">
        <v>1278</v>
      </c>
      <c r="B494" t="str" cm="1">
        <f t="array" ref="B49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94" s="6">
        <v>45381.291666666664</v>
      </c>
      <c r="D494" t="str">
        <f t="shared" si="21"/>
        <v>Saturday</v>
      </c>
      <c r="E494" s="6">
        <v>45381.416666666664</v>
      </c>
      <c r="F494" s="6" t="str">
        <f t="shared" si="22"/>
        <v>Saturday</v>
      </c>
      <c r="G494" t="str">
        <f>IF(COUNTIF(INDEX(SkiResort_ParkingRevenue_Raw[License Plate],1):SkiResort_ParkingRevenue_Raw[[#This Row],[License Plate]],SkiResort_ParkingRevenue_Raw[[#This Row],[License Plate]])=1,"New","Returning")</f>
        <v>Returning</v>
      </c>
      <c r="H494">
        <v>24.99</v>
      </c>
      <c r="I494">
        <v>1</v>
      </c>
      <c r="J494" t="str">
        <f t="shared" si="23"/>
        <v>All Season</v>
      </c>
    </row>
    <row r="495" spans="1:10" x14ac:dyDescent="0.25">
      <c r="A495" t="s">
        <v>1404</v>
      </c>
      <c r="B495" t="str" cm="1">
        <f t="array" ref="B49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95" s="6">
        <v>45381.291666666664</v>
      </c>
      <c r="D495" t="str">
        <f t="shared" si="21"/>
        <v>Saturday</v>
      </c>
      <c r="E495" s="6">
        <v>45381.416666666664</v>
      </c>
      <c r="F495" s="6" t="str">
        <f t="shared" si="22"/>
        <v>Saturday</v>
      </c>
      <c r="G495" t="str">
        <f>IF(COUNTIF(INDEX(SkiResort_ParkingRevenue_Raw[License Plate],1):SkiResort_ParkingRevenue_Raw[[#This Row],[License Plate]],SkiResort_ParkingRevenue_Raw[[#This Row],[License Plate]])=1,"New","Returning")</f>
        <v>New</v>
      </c>
      <c r="H495">
        <v>24.99</v>
      </c>
      <c r="I495">
        <v>1</v>
      </c>
      <c r="J495" t="str">
        <f t="shared" si="23"/>
        <v>All Season</v>
      </c>
    </row>
    <row r="496" spans="1:10" x14ac:dyDescent="0.25">
      <c r="A496" t="s">
        <v>1444</v>
      </c>
      <c r="B496" t="str" cm="1">
        <f t="array" ref="B49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96" s="6">
        <v>45381.291666666664</v>
      </c>
      <c r="D496" t="str">
        <f t="shared" si="21"/>
        <v>Saturday</v>
      </c>
      <c r="E496" s="6">
        <v>45381.416666666664</v>
      </c>
      <c r="F496" s="6" t="str">
        <f t="shared" si="22"/>
        <v>Saturday</v>
      </c>
      <c r="G496" t="str">
        <f>IF(COUNTIF(INDEX(SkiResort_ParkingRevenue_Raw[License Plate],1):SkiResort_ParkingRevenue_Raw[[#This Row],[License Plate]],SkiResort_ParkingRevenue_Raw[[#This Row],[License Plate]])=1,"New","Returning")</f>
        <v>New</v>
      </c>
      <c r="H496">
        <v>24.99</v>
      </c>
      <c r="I496">
        <v>1</v>
      </c>
      <c r="J496" t="str">
        <f t="shared" si="23"/>
        <v>All Season</v>
      </c>
    </row>
    <row r="497" spans="1:10" x14ac:dyDescent="0.25">
      <c r="A497" t="s">
        <v>1449</v>
      </c>
      <c r="B497" t="str" cm="1">
        <f t="array" ref="B49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97" s="6">
        <v>45381.291666666664</v>
      </c>
      <c r="D497" t="str">
        <f t="shared" si="21"/>
        <v>Saturday</v>
      </c>
      <c r="E497" s="6">
        <v>45381.416666666664</v>
      </c>
      <c r="F497" s="6" t="str">
        <f t="shared" si="22"/>
        <v>Saturday</v>
      </c>
      <c r="G497" t="str">
        <f>IF(COUNTIF(INDEX(SkiResort_ParkingRevenue_Raw[License Plate],1):SkiResort_ParkingRevenue_Raw[[#This Row],[License Plate]],SkiResort_ParkingRevenue_Raw[[#This Row],[License Plate]])=1,"New","Returning")</f>
        <v>New</v>
      </c>
      <c r="H497">
        <v>24.99</v>
      </c>
      <c r="I497">
        <v>1</v>
      </c>
      <c r="J497" t="str">
        <f t="shared" si="23"/>
        <v>All Season</v>
      </c>
    </row>
    <row r="498" spans="1:10" x14ac:dyDescent="0.25">
      <c r="A498" t="s">
        <v>1472</v>
      </c>
      <c r="B498" t="str" cm="1">
        <f t="array" ref="B49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98" s="6">
        <v>45381.291666666664</v>
      </c>
      <c r="D498" t="str">
        <f t="shared" si="21"/>
        <v>Saturday</v>
      </c>
      <c r="E498" s="6">
        <v>45381.416666666664</v>
      </c>
      <c r="F498" s="6" t="str">
        <f t="shared" si="22"/>
        <v>Saturday</v>
      </c>
      <c r="G498" t="str">
        <f>IF(COUNTIF(INDEX(SkiResort_ParkingRevenue_Raw[License Plate],1):SkiResort_ParkingRevenue_Raw[[#This Row],[License Plate]],SkiResort_ParkingRevenue_Raw[[#This Row],[License Plate]])=1,"New","Returning")</f>
        <v>New</v>
      </c>
      <c r="H498">
        <v>24.99</v>
      </c>
      <c r="I498">
        <v>1</v>
      </c>
      <c r="J498" t="str">
        <f t="shared" si="23"/>
        <v>All Season</v>
      </c>
    </row>
    <row r="499" spans="1:10" x14ac:dyDescent="0.25">
      <c r="A499" t="s">
        <v>1537</v>
      </c>
      <c r="B499" t="str" cm="1">
        <f t="array" ref="B49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499" s="6">
        <v>45381.291666666664</v>
      </c>
      <c r="D499" t="str">
        <f t="shared" si="21"/>
        <v>Saturday</v>
      </c>
      <c r="E499" s="6">
        <v>45381.416666666664</v>
      </c>
      <c r="F499" s="6" t="str">
        <f t="shared" si="22"/>
        <v>Saturday</v>
      </c>
      <c r="G499" t="str">
        <f>IF(COUNTIF(INDEX(SkiResort_ParkingRevenue_Raw[License Plate],1):SkiResort_ParkingRevenue_Raw[[#This Row],[License Plate]],SkiResort_ParkingRevenue_Raw[[#This Row],[License Plate]])=1,"New","Returning")</f>
        <v>Returning</v>
      </c>
      <c r="H499">
        <v>24.99</v>
      </c>
      <c r="I499">
        <v>1</v>
      </c>
      <c r="J499" t="str">
        <f t="shared" si="23"/>
        <v>All Season</v>
      </c>
    </row>
    <row r="500" spans="1:10" x14ac:dyDescent="0.25">
      <c r="A500" t="s">
        <v>1635</v>
      </c>
      <c r="B500" t="str" cm="1">
        <f t="array" ref="B50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00" s="6">
        <v>45381.291666666664</v>
      </c>
      <c r="D500" t="str">
        <f t="shared" si="21"/>
        <v>Saturday</v>
      </c>
      <c r="E500" s="6">
        <v>45381.416666666664</v>
      </c>
      <c r="F500" s="6" t="str">
        <f t="shared" si="22"/>
        <v>Saturday</v>
      </c>
      <c r="G500" t="str">
        <f>IF(COUNTIF(INDEX(SkiResort_ParkingRevenue_Raw[License Plate],1):SkiResort_ParkingRevenue_Raw[[#This Row],[License Plate]],SkiResort_ParkingRevenue_Raw[[#This Row],[License Plate]])=1,"New","Returning")</f>
        <v>New</v>
      </c>
      <c r="H500">
        <v>24.99</v>
      </c>
      <c r="I500">
        <v>1</v>
      </c>
      <c r="J500" t="str">
        <f t="shared" si="23"/>
        <v>All Season</v>
      </c>
    </row>
    <row r="501" spans="1:10" x14ac:dyDescent="0.25">
      <c r="A501" t="s">
        <v>1642</v>
      </c>
      <c r="B501" t="str" cm="1">
        <f t="array" ref="B50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01" s="6">
        <v>45381.291666666664</v>
      </c>
      <c r="D501" t="str">
        <f t="shared" si="21"/>
        <v>Saturday</v>
      </c>
      <c r="E501" s="6">
        <v>45381.416666666664</v>
      </c>
      <c r="F501" s="6" t="str">
        <f t="shared" si="22"/>
        <v>Saturday</v>
      </c>
      <c r="G501" t="str">
        <f>IF(COUNTIF(INDEX(SkiResort_ParkingRevenue_Raw[License Plate],1):SkiResort_ParkingRevenue_Raw[[#This Row],[License Plate]],SkiResort_ParkingRevenue_Raw[[#This Row],[License Plate]])=1,"New","Returning")</f>
        <v>Returning</v>
      </c>
      <c r="H501">
        <v>24.99</v>
      </c>
      <c r="I501">
        <v>1</v>
      </c>
      <c r="J501" t="str">
        <f t="shared" si="23"/>
        <v>All Season</v>
      </c>
    </row>
    <row r="502" spans="1:10" x14ac:dyDescent="0.25">
      <c r="A502" t="s">
        <v>1647</v>
      </c>
      <c r="B502" t="str" cm="1">
        <f t="array" ref="B50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02" s="6">
        <v>45381.291666666664</v>
      </c>
      <c r="D502" t="str">
        <f t="shared" si="21"/>
        <v>Saturday</v>
      </c>
      <c r="E502" s="6">
        <v>45381.416666666664</v>
      </c>
      <c r="F502" s="6" t="str">
        <f t="shared" si="22"/>
        <v>Saturday</v>
      </c>
      <c r="G502" t="str">
        <f>IF(COUNTIF(INDEX(SkiResort_ParkingRevenue_Raw[License Plate],1):SkiResort_ParkingRevenue_Raw[[#This Row],[License Plate]],SkiResort_ParkingRevenue_Raw[[#This Row],[License Plate]])=1,"New","Returning")</f>
        <v>New</v>
      </c>
      <c r="H502">
        <v>24.99</v>
      </c>
      <c r="I502">
        <v>1</v>
      </c>
      <c r="J502" t="str">
        <f t="shared" si="23"/>
        <v>All Season</v>
      </c>
    </row>
    <row r="503" spans="1:10" x14ac:dyDescent="0.25">
      <c r="A503" t="s">
        <v>1654</v>
      </c>
      <c r="B503" t="str" cm="1">
        <f t="array" ref="B50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03" s="6">
        <v>45381.291666666664</v>
      </c>
      <c r="D503" t="str">
        <f t="shared" si="21"/>
        <v>Saturday</v>
      </c>
      <c r="E503" s="6">
        <v>45381.416666666664</v>
      </c>
      <c r="F503" s="6" t="str">
        <f t="shared" si="22"/>
        <v>Saturday</v>
      </c>
      <c r="G503" t="str">
        <f>IF(COUNTIF(INDEX(SkiResort_ParkingRevenue_Raw[License Plate],1):SkiResort_ParkingRevenue_Raw[[#This Row],[License Plate]],SkiResort_ParkingRevenue_Raw[[#This Row],[License Plate]])=1,"New","Returning")</f>
        <v>New</v>
      </c>
      <c r="H503">
        <v>24.99</v>
      </c>
      <c r="I503">
        <v>1</v>
      </c>
      <c r="J503" t="str">
        <f t="shared" si="23"/>
        <v>All Season</v>
      </c>
    </row>
    <row r="504" spans="1:10" x14ac:dyDescent="0.25">
      <c r="A504" t="s">
        <v>1940</v>
      </c>
      <c r="B504" t="str" cm="1">
        <f t="array" ref="B50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04" s="6">
        <v>45381.291666666664</v>
      </c>
      <c r="D504" t="str">
        <f t="shared" si="21"/>
        <v>Saturday</v>
      </c>
      <c r="E504" s="6">
        <v>45381.416666666664</v>
      </c>
      <c r="F504" s="6" t="str">
        <f t="shared" si="22"/>
        <v>Saturday</v>
      </c>
      <c r="G504" t="str">
        <f>IF(COUNTIF(INDEX(SkiResort_ParkingRevenue_Raw[License Plate],1):SkiResort_ParkingRevenue_Raw[[#This Row],[License Plate]],SkiResort_ParkingRevenue_Raw[[#This Row],[License Plate]])=1,"New","Returning")</f>
        <v>New</v>
      </c>
      <c r="H504">
        <v>24.99</v>
      </c>
      <c r="I504">
        <v>1</v>
      </c>
      <c r="J504" t="str">
        <f t="shared" si="23"/>
        <v>All Season</v>
      </c>
    </row>
    <row r="505" spans="1:10" x14ac:dyDescent="0.25">
      <c r="A505" t="s">
        <v>1652</v>
      </c>
      <c r="B505" t="str" cm="1">
        <f t="array" ref="B50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05" s="6">
        <v>45381.384189814817</v>
      </c>
      <c r="D505" t="str">
        <f t="shared" si="21"/>
        <v>Saturday</v>
      </c>
      <c r="E505" s="6">
        <v>45381.416666666664</v>
      </c>
      <c r="F505" s="6" t="str">
        <f t="shared" si="22"/>
        <v>Saturday</v>
      </c>
      <c r="G505" t="str">
        <f>IF(COUNTIF(INDEX(SkiResort_ParkingRevenue_Raw[License Plate],1):SkiResort_ParkingRevenue_Raw[[#This Row],[License Plate]],SkiResort_ParkingRevenue_Raw[[#This Row],[License Plate]])=1,"New","Returning")</f>
        <v>Returning</v>
      </c>
      <c r="H505">
        <v>24.99</v>
      </c>
      <c r="I505">
        <v>1</v>
      </c>
      <c r="J505" t="str">
        <f t="shared" si="23"/>
        <v>All Season</v>
      </c>
    </row>
    <row r="506" spans="1:10" x14ac:dyDescent="0.25">
      <c r="A506" t="s">
        <v>1685</v>
      </c>
      <c r="B506" t="str" cm="1">
        <f t="array" ref="B50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06" s="6">
        <v>45382.291666666664</v>
      </c>
      <c r="D506" t="str">
        <f t="shared" si="21"/>
        <v>Sunday</v>
      </c>
      <c r="E506" s="6">
        <v>45382.416666666664</v>
      </c>
      <c r="F506" s="6" t="str">
        <f t="shared" si="22"/>
        <v>Sunday</v>
      </c>
      <c r="G506" t="str">
        <f>IF(COUNTIF(INDEX(SkiResort_ParkingRevenue_Raw[License Plate],1):SkiResort_ParkingRevenue_Raw[[#This Row],[License Plate]],SkiResort_ParkingRevenue_Raw[[#This Row],[License Plate]])=1,"New","Returning")</f>
        <v>Returning</v>
      </c>
      <c r="H506">
        <v>24.99</v>
      </c>
      <c r="I506">
        <v>1</v>
      </c>
      <c r="J506" t="str">
        <f t="shared" si="23"/>
        <v>All Season</v>
      </c>
    </row>
    <row r="507" spans="1:10" x14ac:dyDescent="0.25">
      <c r="A507" t="s">
        <v>2049</v>
      </c>
      <c r="B507" t="str" cm="1">
        <f t="array" ref="B50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07" s="6">
        <v>45383.291666666664</v>
      </c>
      <c r="D507" t="str">
        <f t="shared" si="21"/>
        <v>Monday</v>
      </c>
      <c r="E507" s="6">
        <v>45383.416666666664</v>
      </c>
      <c r="F507" s="6" t="str">
        <f t="shared" si="22"/>
        <v>Monday</v>
      </c>
      <c r="G507" t="str">
        <f>IF(COUNTIF(INDEX(SkiResort_ParkingRevenue_Raw[License Plate],1):SkiResort_ParkingRevenue_Raw[[#This Row],[License Plate]],SkiResort_ParkingRevenue_Raw[[#This Row],[License Plate]])=1,"New","Returning")</f>
        <v>Returning</v>
      </c>
      <c r="H507">
        <v>39.979999999999997</v>
      </c>
      <c r="I507">
        <v>2</v>
      </c>
      <c r="J507" t="str">
        <f t="shared" si="23"/>
        <v>All Season</v>
      </c>
    </row>
    <row r="508" spans="1:10" x14ac:dyDescent="0.25">
      <c r="A508" t="s">
        <v>2051</v>
      </c>
      <c r="B508" t="str" cm="1">
        <f t="array" ref="B50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08" s="6">
        <v>45384.291666666664</v>
      </c>
      <c r="D508" t="str">
        <f t="shared" si="21"/>
        <v>Tuesday</v>
      </c>
      <c r="E508" s="6">
        <v>45384.416666666664</v>
      </c>
      <c r="F508" s="6" t="str">
        <f t="shared" si="22"/>
        <v>Tuesday</v>
      </c>
      <c r="G508" t="str">
        <f>IF(COUNTIF(INDEX(SkiResort_ParkingRevenue_Raw[License Plate],1):SkiResort_ParkingRevenue_Raw[[#This Row],[License Plate]],SkiResort_ParkingRevenue_Raw[[#This Row],[License Plate]])=1,"New","Returning")</f>
        <v>Returning</v>
      </c>
      <c r="H508">
        <v>39.979999999999997</v>
      </c>
      <c r="I508">
        <v>2</v>
      </c>
      <c r="J508" t="str">
        <f t="shared" si="23"/>
        <v>All Season</v>
      </c>
    </row>
    <row r="509" spans="1:10" x14ac:dyDescent="0.25">
      <c r="A509" t="s">
        <v>2019</v>
      </c>
      <c r="B509" t="str" cm="1">
        <f t="array" ref="B50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09" s="6">
        <v>45386.291666666664</v>
      </c>
      <c r="D509" t="str">
        <f t="shared" si="21"/>
        <v>Thursday</v>
      </c>
      <c r="E509" s="6">
        <v>45386.416666666664</v>
      </c>
      <c r="F509" s="6" t="str">
        <f t="shared" si="22"/>
        <v>Thursday</v>
      </c>
      <c r="G509" t="str">
        <f>IF(COUNTIF(INDEX(SkiResort_ParkingRevenue_Raw[License Plate],1):SkiResort_ParkingRevenue_Raw[[#This Row],[License Plate]],SkiResort_ParkingRevenue_Raw[[#This Row],[License Plate]])=1,"New","Returning")</f>
        <v>New</v>
      </c>
      <c r="H509">
        <v>19.989999999999998</v>
      </c>
      <c r="I509">
        <v>1</v>
      </c>
      <c r="J509" t="str">
        <f t="shared" si="23"/>
        <v>All Season</v>
      </c>
    </row>
    <row r="510" spans="1:10" x14ac:dyDescent="0.25">
      <c r="A510" t="s">
        <v>2014</v>
      </c>
      <c r="B510" t="str" cm="1">
        <f t="array" ref="B51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10" s="6">
        <v>45388.291666666664</v>
      </c>
      <c r="D510" t="str">
        <f t="shared" si="21"/>
        <v>Saturday</v>
      </c>
      <c r="E510" s="6">
        <v>45388.416666666664</v>
      </c>
      <c r="F510" s="6" t="str">
        <f t="shared" si="22"/>
        <v>Saturday</v>
      </c>
      <c r="G510" t="str">
        <f>IF(COUNTIF(INDEX(SkiResort_ParkingRevenue_Raw[License Plate],1):SkiResort_ParkingRevenue_Raw[[#This Row],[License Plate]],SkiResort_ParkingRevenue_Raw[[#This Row],[License Plate]])=1,"New","Returning")</f>
        <v>New</v>
      </c>
      <c r="H510">
        <v>24.99</v>
      </c>
      <c r="I510">
        <v>1</v>
      </c>
      <c r="J510" t="str">
        <f t="shared" si="23"/>
        <v>All Season</v>
      </c>
    </row>
    <row r="511" spans="1:10" x14ac:dyDescent="0.25">
      <c r="A511" t="s">
        <v>2024</v>
      </c>
      <c r="B511" t="str" cm="1">
        <f t="array" ref="B51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11" s="6">
        <v>45388.291666666664</v>
      </c>
      <c r="D511" t="str">
        <f t="shared" si="21"/>
        <v>Saturday</v>
      </c>
      <c r="E511" s="6">
        <v>45388.416666666664</v>
      </c>
      <c r="F511" s="6" t="str">
        <f t="shared" si="22"/>
        <v>Saturday</v>
      </c>
      <c r="G511" t="str">
        <f>IF(COUNTIF(INDEX(SkiResort_ParkingRevenue_Raw[License Plate],1):SkiResort_ParkingRevenue_Raw[[#This Row],[License Plate]],SkiResort_ParkingRevenue_Raw[[#This Row],[License Plate]])=1,"New","Returning")</f>
        <v>New</v>
      </c>
      <c r="H511">
        <v>24.99</v>
      </c>
      <c r="I511">
        <v>1</v>
      </c>
      <c r="J511" t="str">
        <f t="shared" si="23"/>
        <v>All Season</v>
      </c>
    </row>
    <row r="512" spans="1:10" x14ac:dyDescent="0.25">
      <c r="A512" t="s">
        <v>2029</v>
      </c>
      <c r="B512" t="str" cm="1">
        <f t="array" ref="B51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12" s="6">
        <v>45388.291666666664</v>
      </c>
      <c r="D512" t="str">
        <f t="shared" si="21"/>
        <v>Saturday</v>
      </c>
      <c r="E512" s="6">
        <v>45388.416666666664</v>
      </c>
      <c r="F512" s="6" t="str">
        <f t="shared" si="22"/>
        <v>Saturday</v>
      </c>
      <c r="G512" t="str">
        <f>IF(COUNTIF(INDEX(SkiResort_ParkingRevenue_Raw[License Plate],1):SkiResort_ParkingRevenue_Raw[[#This Row],[License Plate]],SkiResort_ParkingRevenue_Raw[[#This Row],[License Plate]])=1,"New","Returning")</f>
        <v>New</v>
      </c>
      <c r="H512">
        <v>24.99</v>
      </c>
      <c r="I512">
        <v>1</v>
      </c>
      <c r="J512" t="str">
        <f t="shared" si="23"/>
        <v>All Season</v>
      </c>
    </row>
    <row r="513" spans="1:10" x14ac:dyDescent="0.25">
      <c r="A513" t="s">
        <v>2070</v>
      </c>
      <c r="B513" t="str" cm="1">
        <f t="array" ref="B51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13" s="6">
        <v>45388.291666666664</v>
      </c>
      <c r="D513" t="str">
        <f t="shared" si="21"/>
        <v>Saturday</v>
      </c>
      <c r="E513" s="6">
        <v>45388.416666666664</v>
      </c>
      <c r="F513" s="6" t="str">
        <f t="shared" si="22"/>
        <v>Saturday</v>
      </c>
      <c r="G513" t="str">
        <f>IF(COUNTIF(INDEX(SkiResort_ParkingRevenue_Raw[License Plate],1):SkiResort_ParkingRevenue_Raw[[#This Row],[License Plate]],SkiResort_ParkingRevenue_Raw[[#This Row],[License Plate]])=1,"New","Returning")</f>
        <v>New</v>
      </c>
      <c r="H513">
        <v>49.98</v>
      </c>
      <c r="I513">
        <v>2</v>
      </c>
      <c r="J513" t="str">
        <f t="shared" si="23"/>
        <v>All Season</v>
      </c>
    </row>
    <row r="514" spans="1:10" x14ac:dyDescent="0.25">
      <c r="A514" t="s">
        <v>2034</v>
      </c>
      <c r="B514" t="str" cm="1">
        <f t="array" ref="B51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14" s="6">
        <v>45388.446516203701</v>
      </c>
      <c r="D514" t="str">
        <f t="shared" ref="D514:D577" si="24">_xlfn.TEXTBEFORE(TEXT(C514, "dddd, mmmm dd, yyyy"), ",")</f>
        <v>Saturday</v>
      </c>
      <c r="E514" s="6">
        <v>45388.416666666664</v>
      </c>
      <c r="F514" s="6" t="str">
        <f t="shared" si="22"/>
        <v>Saturday</v>
      </c>
      <c r="G514" t="str">
        <f>IF(COUNTIF(INDEX(SkiResort_ParkingRevenue_Raw[License Plate],1):SkiResort_ParkingRevenue_Raw[[#This Row],[License Plate]],SkiResort_ParkingRevenue_Raw[[#This Row],[License Plate]])=1,"New","Returning")</f>
        <v>New</v>
      </c>
      <c r="H514">
        <v>24.99</v>
      </c>
      <c r="I514">
        <v>1</v>
      </c>
      <c r="J514" t="str">
        <f t="shared" si="23"/>
        <v>All Season</v>
      </c>
    </row>
    <row r="515" spans="1:10" x14ac:dyDescent="0.25">
      <c r="A515" t="s">
        <v>2039</v>
      </c>
      <c r="B515" t="str" cm="1">
        <f t="array" ref="B51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15" s="6">
        <v>45389.291666666664</v>
      </c>
      <c r="D515" t="str">
        <f t="shared" si="24"/>
        <v>Sunday</v>
      </c>
      <c r="E515" s="6">
        <v>45389.416666666664</v>
      </c>
      <c r="F515" s="6" t="str">
        <f t="shared" ref="F515:F578" si="25">_xlfn.TEXTBEFORE(TEXT(E515,"dddd, mmmm dd, yyyy"), ",")</f>
        <v>Sunday</v>
      </c>
      <c r="G515" t="str">
        <f>IF(COUNTIF(INDEX(SkiResort_ParkingRevenue_Raw[License Plate],1):SkiResort_ParkingRevenue_Raw[[#This Row],[License Plate]],SkiResort_ParkingRevenue_Raw[[#This Row],[License Plate]])=1,"New","Returning")</f>
        <v>New</v>
      </c>
      <c r="H515">
        <v>24.99</v>
      </c>
      <c r="I515">
        <v>1</v>
      </c>
      <c r="J515" t="str">
        <f t="shared" ref="J515:J578" si="26">IF(C515&lt;DATE(2025,1,17), "All Season", "Weekends/Holiday Only")</f>
        <v>All Season</v>
      </c>
    </row>
    <row r="516" spans="1:10" x14ac:dyDescent="0.25">
      <c r="A516" t="s">
        <v>2075</v>
      </c>
      <c r="B516" t="str" cm="1">
        <f t="array" ref="B51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16" s="6">
        <v>45389.291666666664</v>
      </c>
      <c r="D516" t="str">
        <f t="shared" si="24"/>
        <v>Sunday</v>
      </c>
      <c r="E516" s="6">
        <v>45389.416666666664</v>
      </c>
      <c r="F516" s="6" t="str">
        <f t="shared" si="25"/>
        <v>Sunday</v>
      </c>
      <c r="G516" t="str">
        <f>IF(COUNTIF(INDEX(SkiResort_ParkingRevenue_Raw[License Plate],1):SkiResort_ParkingRevenue_Raw[[#This Row],[License Plate]],SkiResort_ParkingRevenue_Raw[[#This Row],[License Plate]])=1,"New","Returning")</f>
        <v>Returning</v>
      </c>
      <c r="H516">
        <v>49.98</v>
      </c>
      <c r="I516">
        <v>2</v>
      </c>
      <c r="J516" t="str">
        <f t="shared" si="26"/>
        <v>All Season</v>
      </c>
    </row>
    <row r="517" spans="1:10" x14ac:dyDescent="0.25">
      <c r="A517" t="s">
        <v>2065</v>
      </c>
      <c r="B517" t="str" cm="1">
        <f t="array" ref="B51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17" s="6">
        <v>45393.333564814813</v>
      </c>
      <c r="D517" t="str">
        <f t="shared" si="24"/>
        <v>Thursday</v>
      </c>
      <c r="E517" s="6">
        <v>45393.416666666664</v>
      </c>
      <c r="F517" s="6" t="str">
        <f t="shared" si="25"/>
        <v>Thursday</v>
      </c>
      <c r="G517" t="str">
        <f>IF(COUNTIF(INDEX(SkiResort_ParkingRevenue_Raw[License Plate],1):SkiResort_ParkingRevenue_Raw[[#This Row],[License Plate]],SkiResort_ParkingRevenue_Raw[[#This Row],[License Plate]])=1,"New","Returning")</f>
        <v>New</v>
      </c>
      <c r="H517">
        <v>19.989999999999998</v>
      </c>
      <c r="I517">
        <v>1</v>
      </c>
      <c r="J517" t="str">
        <f t="shared" si="26"/>
        <v>All Season</v>
      </c>
    </row>
    <row r="518" spans="1:10" x14ac:dyDescent="0.25">
      <c r="A518" t="s">
        <v>2085</v>
      </c>
      <c r="B518" t="str" cm="1">
        <f t="array" ref="B51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18" s="6">
        <v>45395.291666666664</v>
      </c>
      <c r="D518" t="str">
        <f t="shared" si="24"/>
        <v>Saturday</v>
      </c>
      <c r="E518" s="6">
        <v>45395.416666666664</v>
      </c>
      <c r="F518" s="6" t="str">
        <f t="shared" si="25"/>
        <v>Saturday</v>
      </c>
      <c r="G518" t="str">
        <f>IF(COUNTIF(INDEX(SkiResort_ParkingRevenue_Raw[License Plate],1):SkiResort_ParkingRevenue_Raw[[#This Row],[License Plate]],SkiResort_ParkingRevenue_Raw[[#This Row],[License Plate]])=1,"New","Returning")</f>
        <v>New</v>
      </c>
      <c r="H518">
        <v>24.99</v>
      </c>
      <c r="I518">
        <v>1</v>
      </c>
      <c r="J518" t="str">
        <f t="shared" si="26"/>
        <v>All Season</v>
      </c>
    </row>
    <row r="519" spans="1:10" x14ac:dyDescent="0.25">
      <c r="A519" t="s">
        <v>2091</v>
      </c>
      <c r="B519" t="str" cm="1">
        <f t="array" ref="B51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19" s="6">
        <v>45399.291666666664</v>
      </c>
      <c r="D519" t="str">
        <f t="shared" si="24"/>
        <v>Wednesday</v>
      </c>
      <c r="E519" s="6">
        <v>45399.416666666664</v>
      </c>
      <c r="F519" s="6" t="str">
        <f t="shared" si="25"/>
        <v>Wednesday</v>
      </c>
      <c r="G519" t="str">
        <f>IF(COUNTIF(INDEX(SkiResort_ParkingRevenue_Raw[License Plate],1):SkiResort_ParkingRevenue_Raw[[#This Row],[License Plate]],SkiResort_ParkingRevenue_Raw[[#This Row],[License Plate]])=1,"New","Returning")</f>
        <v>New</v>
      </c>
      <c r="H519">
        <v>19.989999999999998</v>
      </c>
      <c r="I519">
        <v>1</v>
      </c>
      <c r="J519" t="str">
        <f t="shared" si="26"/>
        <v>All Season</v>
      </c>
    </row>
    <row r="520" spans="1:10" x14ac:dyDescent="0.25">
      <c r="A520" t="s">
        <v>2052</v>
      </c>
      <c r="B520" t="str" cm="1">
        <f t="array" ref="B52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20" s="6">
        <v>45401.291666666664</v>
      </c>
      <c r="D520" t="str">
        <f t="shared" si="24"/>
        <v>Friday</v>
      </c>
      <c r="E520" s="6">
        <v>45401.416666666664</v>
      </c>
      <c r="F520" s="6" t="str">
        <f t="shared" si="25"/>
        <v>Friday</v>
      </c>
      <c r="G520" t="str">
        <f>IF(COUNTIF(INDEX(SkiResort_ParkingRevenue_Raw[License Plate],1):SkiResort_ParkingRevenue_Raw[[#This Row],[License Plate]],SkiResort_ParkingRevenue_Raw[[#This Row],[License Plate]])=1,"New","Returning")</f>
        <v>New</v>
      </c>
      <c r="H520">
        <v>19.989999999999998</v>
      </c>
      <c r="I520">
        <v>1</v>
      </c>
      <c r="J520" t="str">
        <f t="shared" si="26"/>
        <v>All Season</v>
      </c>
    </row>
    <row r="521" spans="1:10" x14ac:dyDescent="0.25">
      <c r="A521" t="s">
        <v>2044</v>
      </c>
      <c r="B521" t="str" cm="1">
        <f t="array" ref="B52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21" s="6">
        <v>45402.291666666664</v>
      </c>
      <c r="D521" t="str">
        <f t="shared" si="24"/>
        <v>Saturday</v>
      </c>
      <c r="E521" s="6">
        <v>45402.416666666664</v>
      </c>
      <c r="F521" s="6" t="str">
        <f t="shared" si="25"/>
        <v>Saturday</v>
      </c>
      <c r="G521" t="str">
        <f>IF(COUNTIF(INDEX(SkiResort_ParkingRevenue_Raw[License Plate],1):SkiResort_ParkingRevenue_Raw[[#This Row],[License Plate]],SkiResort_ParkingRevenue_Raw[[#This Row],[License Plate]])=1,"New","Returning")</f>
        <v>New</v>
      </c>
      <c r="H521">
        <v>24.99</v>
      </c>
      <c r="I521">
        <v>1</v>
      </c>
      <c r="J521" t="str">
        <f t="shared" si="26"/>
        <v>All Season</v>
      </c>
    </row>
    <row r="522" spans="1:10" x14ac:dyDescent="0.25">
      <c r="A522" t="s">
        <v>2057</v>
      </c>
      <c r="B522" t="str" cm="1">
        <f t="array" ref="B52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22" s="6">
        <v>45402.291666666664</v>
      </c>
      <c r="D522" t="str">
        <f t="shared" si="24"/>
        <v>Saturday</v>
      </c>
      <c r="E522" s="6">
        <v>45402.416666666664</v>
      </c>
      <c r="F522" s="6" t="str">
        <f t="shared" si="25"/>
        <v>Saturday</v>
      </c>
      <c r="G522" t="str">
        <f>IF(COUNTIF(INDEX(SkiResort_ParkingRevenue_Raw[License Plate],1):SkiResort_ParkingRevenue_Raw[[#This Row],[License Plate]],SkiResort_ParkingRevenue_Raw[[#This Row],[License Plate]])=1,"New","Returning")</f>
        <v>Returning</v>
      </c>
      <c r="H522">
        <v>49.98</v>
      </c>
      <c r="I522">
        <v>2</v>
      </c>
      <c r="J522" t="str">
        <f t="shared" si="26"/>
        <v>All Season</v>
      </c>
    </row>
    <row r="523" spans="1:10" x14ac:dyDescent="0.25">
      <c r="A523" t="s">
        <v>2060</v>
      </c>
      <c r="B523" t="str" cm="1">
        <f t="array" ref="B52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23" s="6">
        <v>45402.476053240738</v>
      </c>
      <c r="D523" t="str">
        <f t="shared" si="24"/>
        <v>Saturday</v>
      </c>
      <c r="E523" s="6">
        <v>45402.416666666664</v>
      </c>
      <c r="F523" s="6" t="str">
        <f t="shared" si="25"/>
        <v>Saturday</v>
      </c>
      <c r="G523" t="str">
        <f>IF(COUNTIF(INDEX(SkiResort_ParkingRevenue_Raw[License Plate],1):SkiResort_ParkingRevenue_Raw[[#This Row],[License Plate]],SkiResort_ParkingRevenue_Raw[[#This Row],[License Plate]])=1,"New","Returning")</f>
        <v>New</v>
      </c>
      <c r="H523">
        <v>24.99</v>
      </c>
      <c r="I523">
        <v>1</v>
      </c>
      <c r="J523" t="str">
        <f t="shared" si="26"/>
        <v>All Season</v>
      </c>
    </row>
    <row r="524" spans="1:10" x14ac:dyDescent="0.25">
      <c r="A524" t="s">
        <v>2059</v>
      </c>
      <c r="B524" t="str" cm="1">
        <f t="array" ref="B52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24" s="6">
        <v>45403.291666666664</v>
      </c>
      <c r="D524" t="str">
        <f t="shared" si="24"/>
        <v>Sunday</v>
      </c>
      <c r="E524" s="6">
        <v>45403.416666666664</v>
      </c>
      <c r="F524" s="6" t="str">
        <f t="shared" si="25"/>
        <v>Sunday</v>
      </c>
      <c r="G524" t="str">
        <f>IF(COUNTIF(INDEX(SkiResort_ParkingRevenue_Raw[License Plate],1):SkiResort_ParkingRevenue_Raw[[#This Row],[License Plate]],SkiResort_ParkingRevenue_Raw[[#This Row],[License Plate]])=1,"New","Returning")</f>
        <v>Returning</v>
      </c>
      <c r="H524">
        <v>49.98</v>
      </c>
      <c r="I524">
        <v>2</v>
      </c>
      <c r="J524" t="str">
        <f t="shared" si="26"/>
        <v>All Season</v>
      </c>
    </row>
    <row r="525" spans="1:10" x14ac:dyDescent="0.25">
      <c r="A525" t="s">
        <v>2009</v>
      </c>
      <c r="B525" t="str" cm="1">
        <f t="array" ref="B52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25" s="6">
        <v>45405.291666666664</v>
      </c>
      <c r="D525" t="str">
        <f t="shared" si="24"/>
        <v>Tuesday</v>
      </c>
      <c r="E525" s="6">
        <v>45405.416666666664</v>
      </c>
      <c r="F525" s="6" t="str">
        <f t="shared" si="25"/>
        <v>Tuesday</v>
      </c>
      <c r="G525" t="str">
        <f>IF(COUNTIF(INDEX(SkiResort_ParkingRevenue_Raw[License Plate],1):SkiResort_ParkingRevenue_Raw[[#This Row],[License Plate]],SkiResort_ParkingRevenue_Raw[[#This Row],[License Plate]])=1,"New","Returning")</f>
        <v>New</v>
      </c>
      <c r="H525">
        <v>19.989999999999998</v>
      </c>
      <c r="I525">
        <v>1</v>
      </c>
      <c r="J525" t="str">
        <f t="shared" si="26"/>
        <v>All Season</v>
      </c>
    </row>
    <row r="526" spans="1:10" x14ac:dyDescent="0.25">
      <c r="A526" t="s">
        <v>2076</v>
      </c>
      <c r="B526" t="str" cm="1">
        <f t="array" ref="B52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26" s="6">
        <v>45411.291666666664</v>
      </c>
      <c r="D526" t="str">
        <f t="shared" si="24"/>
        <v>Monday</v>
      </c>
      <c r="E526" s="6">
        <v>45411.416666666664</v>
      </c>
      <c r="F526" s="6" t="str">
        <f t="shared" si="25"/>
        <v>Monday</v>
      </c>
      <c r="G526" t="str">
        <f>IF(COUNTIF(INDEX(SkiResort_ParkingRevenue_Raw[License Plate],1):SkiResort_ParkingRevenue_Raw[[#This Row],[License Plate]],SkiResort_ParkingRevenue_Raw[[#This Row],[License Plate]])=1,"New","Returning")</f>
        <v>New</v>
      </c>
      <c r="H526">
        <v>19.989999999999998</v>
      </c>
      <c r="I526">
        <v>1</v>
      </c>
      <c r="J526" t="str">
        <f t="shared" si="26"/>
        <v>All Season</v>
      </c>
    </row>
    <row r="527" spans="1:10" x14ac:dyDescent="0.25">
      <c r="A527" t="s">
        <v>2080</v>
      </c>
      <c r="B527" t="str" cm="1">
        <f t="array" ref="B52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27" s="6">
        <v>45411.291666666664</v>
      </c>
      <c r="D527" t="str">
        <f t="shared" si="24"/>
        <v>Monday</v>
      </c>
      <c r="E527" s="6">
        <v>45411.416666666664</v>
      </c>
      <c r="F527" s="6" t="str">
        <f t="shared" si="25"/>
        <v>Monday</v>
      </c>
      <c r="G527" t="str">
        <f>IF(COUNTIF(INDEX(SkiResort_ParkingRevenue_Raw[License Plate],1):SkiResort_ParkingRevenue_Raw[[#This Row],[License Plate]],SkiResort_ParkingRevenue_Raw[[#This Row],[License Plate]])=1,"New","Returning")</f>
        <v>Returning</v>
      </c>
      <c r="H527">
        <v>19.989999999999998</v>
      </c>
      <c r="I527">
        <v>1</v>
      </c>
      <c r="J527" t="str">
        <f t="shared" si="26"/>
        <v>All Season</v>
      </c>
    </row>
    <row r="528" spans="1:10" x14ac:dyDescent="0.25">
      <c r="A528" t="s">
        <v>2081</v>
      </c>
      <c r="B528" t="str" cm="1">
        <f t="array" ref="B52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28" s="6">
        <v>45411.291666666664</v>
      </c>
      <c r="D528" t="str">
        <f t="shared" si="24"/>
        <v>Monday</v>
      </c>
      <c r="E528" s="6">
        <v>45411.416666666664</v>
      </c>
      <c r="F528" s="6" t="str">
        <f t="shared" si="25"/>
        <v>Monday</v>
      </c>
      <c r="G528" t="str">
        <f>IF(COUNTIF(INDEX(SkiResort_ParkingRevenue_Raw[License Plate],1):SkiResort_ParkingRevenue_Raw[[#This Row],[License Plate]],SkiResort_ParkingRevenue_Raw[[#This Row],[License Plate]])=1,"New","Returning")</f>
        <v>Returning</v>
      </c>
      <c r="H528">
        <v>19.989999999999998</v>
      </c>
      <c r="I528">
        <v>1</v>
      </c>
      <c r="J528" t="str">
        <f t="shared" si="26"/>
        <v>All Season</v>
      </c>
    </row>
    <row r="529" spans="1:10" x14ac:dyDescent="0.25">
      <c r="A529" t="s">
        <v>2082</v>
      </c>
      <c r="B529" t="str" cm="1">
        <f t="array" ref="B52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29" s="6">
        <v>45411.291666666664</v>
      </c>
      <c r="D529" t="str">
        <f t="shared" si="24"/>
        <v>Monday</v>
      </c>
      <c r="E529" s="6">
        <v>45411.416666666664</v>
      </c>
      <c r="F529" s="6" t="str">
        <f t="shared" si="25"/>
        <v>Monday</v>
      </c>
      <c r="G529" t="str">
        <f>IF(COUNTIF(INDEX(SkiResort_ParkingRevenue_Raw[License Plate],1):SkiResort_ParkingRevenue_Raw[[#This Row],[License Plate]],SkiResort_ParkingRevenue_Raw[[#This Row],[License Plate]])=1,"New","Returning")</f>
        <v>Returning</v>
      </c>
      <c r="H529">
        <v>19.989999999999998</v>
      </c>
      <c r="I529">
        <v>1</v>
      </c>
      <c r="J529" t="str">
        <f t="shared" si="26"/>
        <v>All Season</v>
      </c>
    </row>
    <row r="530" spans="1:10" x14ac:dyDescent="0.25">
      <c r="A530" t="s">
        <v>2083</v>
      </c>
      <c r="B530" t="str" cm="1">
        <f t="array" ref="B53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30" s="6">
        <v>45411.291666666664</v>
      </c>
      <c r="D530" t="str">
        <f t="shared" si="24"/>
        <v>Monday</v>
      </c>
      <c r="E530" s="6">
        <v>45411.416666666664</v>
      </c>
      <c r="F530" s="6" t="str">
        <f t="shared" si="25"/>
        <v>Monday</v>
      </c>
      <c r="G530" t="str">
        <f>IF(COUNTIF(INDEX(SkiResort_ParkingRevenue_Raw[License Plate],1):SkiResort_ParkingRevenue_Raw[[#This Row],[License Plate]],SkiResort_ParkingRevenue_Raw[[#This Row],[License Plate]])=1,"New","Returning")</f>
        <v>Returning</v>
      </c>
      <c r="H530">
        <v>19.989999999999998</v>
      </c>
      <c r="I530">
        <v>1</v>
      </c>
      <c r="J530" t="str">
        <f t="shared" si="26"/>
        <v>All Season</v>
      </c>
    </row>
    <row r="531" spans="1:10" x14ac:dyDescent="0.25">
      <c r="A531" t="s">
        <v>2096</v>
      </c>
      <c r="B531" t="str" cm="1">
        <f t="array" ref="B53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31" s="6">
        <v>45413.291666666664</v>
      </c>
      <c r="D531" t="str">
        <f t="shared" si="24"/>
        <v>Wednesday</v>
      </c>
      <c r="E531" s="6">
        <v>45413.416666666664</v>
      </c>
      <c r="F531" s="6" t="str">
        <f t="shared" si="25"/>
        <v>Wednesday</v>
      </c>
      <c r="G531" t="str">
        <f>IF(COUNTIF(INDEX(SkiResort_ParkingRevenue_Raw[License Plate],1):SkiResort_ParkingRevenue_Raw[[#This Row],[License Plate]],SkiResort_ParkingRevenue_Raw[[#This Row],[License Plate]])=1,"New","Returning")</f>
        <v>New</v>
      </c>
      <c r="H531">
        <v>19.989999999999998</v>
      </c>
      <c r="I531">
        <v>1</v>
      </c>
      <c r="J531" t="str">
        <f t="shared" si="26"/>
        <v>All Season</v>
      </c>
    </row>
    <row r="532" spans="1:10" x14ac:dyDescent="0.25">
      <c r="A532" t="s">
        <v>2102</v>
      </c>
      <c r="B532" t="str" cm="1">
        <f t="array" ref="B53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2023/24 Season</v>
      </c>
      <c r="C532" s="6">
        <v>45415.291666666664</v>
      </c>
      <c r="D532" t="str">
        <f t="shared" si="24"/>
        <v>Friday</v>
      </c>
      <c r="E532" s="6">
        <v>45415.416666666664</v>
      </c>
      <c r="F532" s="6" t="str">
        <f t="shared" si="25"/>
        <v>Friday</v>
      </c>
      <c r="G532" t="str">
        <f>IF(COUNTIF(INDEX(SkiResort_ParkingRevenue_Raw[License Plate],1):SkiResort_ParkingRevenue_Raw[[#This Row],[License Plate]],SkiResort_ParkingRevenue_Raw[[#This Row],[License Plate]])=1,"New","Returning")</f>
        <v>Returning</v>
      </c>
      <c r="H532">
        <v>19.989999999999998</v>
      </c>
      <c r="I532">
        <v>1</v>
      </c>
      <c r="J532" t="str">
        <f t="shared" si="26"/>
        <v>All Season</v>
      </c>
    </row>
    <row r="533" spans="1:10" x14ac:dyDescent="0.25">
      <c r="A533" t="s">
        <v>2109</v>
      </c>
      <c r="B533" t="str" cm="1">
        <f t="array" ref="B53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33" s="6">
        <v>45623.291666666664</v>
      </c>
      <c r="D533" t="str">
        <f t="shared" si="24"/>
        <v>Wednesday</v>
      </c>
      <c r="E533" s="6">
        <v>45623.416666666664</v>
      </c>
      <c r="F533" s="6" t="str">
        <f t="shared" si="25"/>
        <v>Wednesday</v>
      </c>
      <c r="G533" t="str">
        <f>IF(COUNTIF(INDEX(SkiResort_ParkingRevenue_Raw[License Plate],1):SkiResort_ParkingRevenue_Raw[[#This Row],[License Plate]],SkiResort_ParkingRevenue_Raw[[#This Row],[License Plate]])=1,"New","Returning")</f>
        <v>New</v>
      </c>
      <c r="H533">
        <v>19.989999999999998</v>
      </c>
      <c r="I533">
        <v>1</v>
      </c>
      <c r="J533" t="str">
        <f t="shared" si="26"/>
        <v>All Season</v>
      </c>
    </row>
    <row r="534" spans="1:10" x14ac:dyDescent="0.25">
      <c r="A534" t="s">
        <v>2104</v>
      </c>
      <c r="B534" t="str" cm="1">
        <f t="array" ref="B53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34" s="6">
        <v>45626.291666666664</v>
      </c>
      <c r="D534" t="str">
        <f t="shared" si="24"/>
        <v>Saturday</v>
      </c>
      <c r="E534" s="6">
        <v>45626.416666666664</v>
      </c>
      <c r="F534" s="6" t="str">
        <f t="shared" si="25"/>
        <v>Saturday</v>
      </c>
      <c r="G534" t="str">
        <f>IF(COUNTIF(INDEX(SkiResort_ParkingRevenue_Raw[License Plate],1):SkiResort_ParkingRevenue_Raw[[#This Row],[License Plate]],SkiResort_ParkingRevenue_Raw[[#This Row],[License Plate]])=1,"New","Returning")</f>
        <v>New</v>
      </c>
      <c r="H534">
        <v>24.99</v>
      </c>
      <c r="I534">
        <v>1</v>
      </c>
      <c r="J534" t="str">
        <f t="shared" si="26"/>
        <v>All Season</v>
      </c>
    </row>
    <row r="535" spans="1:10" x14ac:dyDescent="0.25">
      <c r="A535" t="s">
        <v>2255</v>
      </c>
      <c r="B535" t="str" cm="1">
        <f t="array" ref="B53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35" s="6">
        <v>45631.391469907408</v>
      </c>
      <c r="D535" t="str">
        <f t="shared" si="24"/>
        <v>Thursday</v>
      </c>
      <c r="E535" s="6">
        <v>45631.416666666664</v>
      </c>
      <c r="F535" s="6" t="str">
        <f t="shared" si="25"/>
        <v>Thursday</v>
      </c>
      <c r="G535" t="str">
        <f>IF(COUNTIF(INDEX(SkiResort_ParkingRevenue_Raw[License Plate],1):SkiResort_ParkingRevenue_Raw[[#This Row],[License Plate]],SkiResort_ParkingRevenue_Raw[[#This Row],[License Plate]])=1,"New","Returning")</f>
        <v>New</v>
      </c>
      <c r="H535">
        <v>19.989999999999998</v>
      </c>
      <c r="I535">
        <v>1</v>
      </c>
      <c r="J535" t="str">
        <f t="shared" si="26"/>
        <v>All Season</v>
      </c>
    </row>
    <row r="536" spans="1:10" x14ac:dyDescent="0.25">
      <c r="A536" t="s">
        <v>2114</v>
      </c>
      <c r="B536" t="str" cm="1">
        <f t="array" ref="B53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36" s="6">
        <v>45640.291666666664</v>
      </c>
      <c r="D536" t="str">
        <f t="shared" si="24"/>
        <v>Saturday</v>
      </c>
      <c r="E536" s="6">
        <v>45640.416666666664</v>
      </c>
      <c r="F536" s="6" t="str">
        <f t="shared" si="25"/>
        <v>Saturday</v>
      </c>
      <c r="G536" t="str">
        <f>IF(COUNTIF(INDEX(SkiResort_ParkingRevenue_Raw[License Plate],1):SkiResort_ParkingRevenue_Raw[[#This Row],[License Plate]],SkiResort_ParkingRevenue_Raw[[#This Row],[License Plate]])=1,"New","Returning")</f>
        <v>New</v>
      </c>
      <c r="H536">
        <v>24.99</v>
      </c>
      <c r="I536">
        <v>1</v>
      </c>
      <c r="J536" t="str">
        <f t="shared" si="26"/>
        <v>All Season</v>
      </c>
    </row>
    <row r="537" spans="1:10" x14ac:dyDescent="0.25">
      <c r="A537" t="s">
        <v>2249</v>
      </c>
      <c r="B537" t="str" cm="1">
        <f t="array" ref="B53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37" s="6">
        <v>45640.291666666664</v>
      </c>
      <c r="D537" t="str">
        <f t="shared" si="24"/>
        <v>Saturday</v>
      </c>
      <c r="E537" s="6">
        <v>45640.416666666664</v>
      </c>
      <c r="F537" s="6" t="str">
        <f t="shared" si="25"/>
        <v>Saturday</v>
      </c>
      <c r="G537" t="str">
        <f>IF(COUNTIF(INDEX(SkiResort_ParkingRevenue_Raw[License Plate],1):SkiResort_ParkingRevenue_Raw[[#This Row],[License Plate]],SkiResort_ParkingRevenue_Raw[[#This Row],[License Plate]])=1,"New","Returning")</f>
        <v>New</v>
      </c>
      <c r="H537">
        <v>24.99</v>
      </c>
      <c r="I537">
        <v>1</v>
      </c>
      <c r="J537" t="str">
        <f t="shared" si="26"/>
        <v>All Season</v>
      </c>
    </row>
    <row r="538" spans="1:10" x14ac:dyDescent="0.25">
      <c r="A538" t="s">
        <v>2119</v>
      </c>
      <c r="B538" t="str" cm="1">
        <f t="array" ref="B53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38" s="6">
        <v>45644.291666666664</v>
      </c>
      <c r="D538" t="str">
        <f t="shared" si="24"/>
        <v>Wednesday</v>
      </c>
      <c r="E538" s="6">
        <v>45644.416666666664</v>
      </c>
      <c r="F538" s="6" t="str">
        <f t="shared" si="25"/>
        <v>Wednesday</v>
      </c>
      <c r="G538" t="str">
        <f>IF(COUNTIF(INDEX(SkiResort_ParkingRevenue_Raw[License Plate],1):SkiResort_ParkingRevenue_Raw[[#This Row],[License Plate]],SkiResort_ParkingRevenue_Raw[[#This Row],[License Plate]])=1,"New","Returning")</f>
        <v>New</v>
      </c>
      <c r="H538">
        <v>19.989999999999998</v>
      </c>
      <c r="I538">
        <v>1</v>
      </c>
      <c r="J538" t="str">
        <f t="shared" si="26"/>
        <v>All Season</v>
      </c>
    </row>
    <row r="539" spans="1:10" x14ac:dyDescent="0.25">
      <c r="A539" t="s">
        <v>2138</v>
      </c>
      <c r="B539" t="str" cm="1">
        <f t="array" ref="B53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39" s="6">
        <v>45647.291666666664</v>
      </c>
      <c r="D539" t="str">
        <f t="shared" si="24"/>
        <v>Saturday</v>
      </c>
      <c r="E539" s="6">
        <v>45647.416666666664</v>
      </c>
      <c r="F539" s="6" t="str">
        <f t="shared" si="25"/>
        <v>Saturday</v>
      </c>
      <c r="G539" t="str">
        <f>IF(COUNTIF(INDEX(SkiResort_ParkingRevenue_Raw[License Plate],1):SkiResort_ParkingRevenue_Raw[[#This Row],[License Plate]],SkiResort_ParkingRevenue_Raw[[#This Row],[License Plate]])=1,"New","Returning")</f>
        <v>Returning</v>
      </c>
      <c r="H539">
        <v>24.99</v>
      </c>
      <c r="I539">
        <v>1</v>
      </c>
      <c r="J539" t="str">
        <f t="shared" si="26"/>
        <v>All Season</v>
      </c>
    </row>
    <row r="540" spans="1:10" x14ac:dyDescent="0.25">
      <c r="A540" t="s">
        <v>2129</v>
      </c>
      <c r="B540" t="str" cm="1">
        <f t="array" ref="B54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40" s="6">
        <v>45648.291666666664</v>
      </c>
      <c r="D540" t="str">
        <f t="shared" si="24"/>
        <v>Sunday</v>
      </c>
      <c r="E540" s="6">
        <v>45648.416666666664</v>
      </c>
      <c r="F540" s="6" t="str">
        <f t="shared" si="25"/>
        <v>Sunday</v>
      </c>
      <c r="G540" t="str">
        <f>IF(COUNTIF(INDEX(SkiResort_ParkingRevenue_Raw[License Plate],1):SkiResort_ParkingRevenue_Raw[[#This Row],[License Plate]],SkiResort_ParkingRevenue_Raw[[#This Row],[License Plate]])=1,"New","Returning")</f>
        <v>New</v>
      </c>
      <c r="H540">
        <v>24.99</v>
      </c>
      <c r="I540">
        <v>1</v>
      </c>
      <c r="J540" t="str">
        <f t="shared" si="26"/>
        <v>All Season</v>
      </c>
    </row>
    <row r="541" spans="1:10" x14ac:dyDescent="0.25">
      <c r="A541" t="s">
        <v>2134</v>
      </c>
      <c r="B541" t="str" cm="1">
        <f t="array" ref="B54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41" s="6">
        <v>45648.291666666664</v>
      </c>
      <c r="D541" t="str">
        <f t="shared" si="24"/>
        <v>Sunday</v>
      </c>
      <c r="E541" s="6">
        <v>45648.416666666664</v>
      </c>
      <c r="F541" s="6" t="str">
        <f t="shared" si="25"/>
        <v>Sunday</v>
      </c>
      <c r="G541" t="str">
        <f>IF(COUNTIF(INDEX(SkiResort_ParkingRevenue_Raw[License Plate],1):SkiResort_ParkingRevenue_Raw[[#This Row],[License Plate]],SkiResort_ParkingRevenue_Raw[[#This Row],[License Plate]])=1,"New","Returning")</f>
        <v>Returning</v>
      </c>
      <c r="H541">
        <v>24.99</v>
      </c>
      <c r="I541">
        <v>1</v>
      </c>
      <c r="J541" t="str">
        <f t="shared" si="26"/>
        <v>All Season</v>
      </c>
    </row>
    <row r="542" spans="1:10" x14ac:dyDescent="0.25">
      <c r="A542" t="s">
        <v>2124</v>
      </c>
      <c r="B542" t="str" cm="1">
        <f t="array" ref="B54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42" s="6">
        <v>45649.291666666664</v>
      </c>
      <c r="D542" t="str">
        <f t="shared" si="24"/>
        <v>Monday</v>
      </c>
      <c r="E542" s="6">
        <v>45649.416666666664</v>
      </c>
      <c r="F542" s="6" t="str">
        <f t="shared" si="25"/>
        <v>Monday</v>
      </c>
      <c r="G542" t="str">
        <f>IF(COUNTIF(INDEX(SkiResort_ParkingRevenue_Raw[License Plate],1):SkiResort_ParkingRevenue_Raw[[#This Row],[License Plate]],SkiResort_ParkingRevenue_Raw[[#This Row],[License Plate]])=1,"New","Returning")</f>
        <v>New</v>
      </c>
      <c r="H542">
        <v>19.989999999999998</v>
      </c>
      <c r="I542">
        <v>1</v>
      </c>
      <c r="J542" t="str">
        <f t="shared" si="26"/>
        <v>All Season</v>
      </c>
    </row>
    <row r="543" spans="1:10" x14ac:dyDescent="0.25">
      <c r="A543" t="s">
        <v>2140</v>
      </c>
      <c r="B543" t="str" cm="1">
        <f t="array" ref="B54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43" s="6">
        <v>45653.291666666664</v>
      </c>
      <c r="D543" t="str">
        <f t="shared" si="24"/>
        <v>Friday</v>
      </c>
      <c r="E543" s="6">
        <v>45653.416666666664</v>
      </c>
      <c r="F543" s="6" t="str">
        <f t="shared" si="25"/>
        <v>Friday</v>
      </c>
      <c r="G543" t="str">
        <f>IF(COUNTIF(INDEX(SkiResort_ParkingRevenue_Raw[License Plate],1):SkiResort_ParkingRevenue_Raw[[#This Row],[License Plate]],SkiResort_ParkingRevenue_Raw[[#This Row],[License Plate]])=1,"New","Returning")</f>
        <v>New</v>
      </c>
      <c r="H543">
        <v>19.989999999999998</v>
      </c>
      <c r="I543">
        <v>1</v>
      </c>
      <c r="J543" t="str">
        <f t="shared" si="26"/>
        <v>All Season</v>
      </c>
    </row>
    <row r="544" spans="1:10" x14ac:dyDescent="0.25">
      <c r="A544" t="s">
        <v>2148</v>
      </c>
      <c r="B544" t="str" cm="1">
        <f t="array" ref="B54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44" s="6">
        <v>45653.291666666664</v>
      </c>
      <c r="D544" t="str">
        <f t="shared" si="24"/>
        <v>Friday</v>
      </c>
      <c r="E544" s="6">
        <v>45653.416666666664</v>
      </c>
      <c r="F544" s="6" t="str">
        <f t="shared" si="25"/>
        <v>Friday</v>
      </c>
      <c r="G544" t="str">
        <f>IF(COUNTIF(INDEX(SkiResort_ParkingRevenue_Raw[License Plate],1):SkiResort_ParkingRevenue_Raw[[#This Row],[License Plate]],SkiResort_ParkingRevenue_Raw[[#This Row],[License Plate]])=1,"New","Returning")</f>
        <v>Returning</v>
      </c>
      <c r="H544">
        <v>19.989999999999998</v>
      </c>
      <c r="I544">
        <v>1</v>
      </c>
      <c r="J544" t="str">
        <f t="shared" si="26"/>
        <v>All Season</v>
      </c>
    </row>
    <row r="545" spans="1:10" x14ac:dyDescent="0.25">
      <c r="A545" t="s">
        <v>2161</v>
      </c>
      <c r="B545" t="str" cm="1">
        <f t="array" ref="B54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45" s="6">
        <v>45653.291666666664</v>
      </c>
      <c r="D545" t="str">
        <f t="shared" si="24"/>
        <v>Friday</v>
      </c>
      <c r="E545" s="6">
        <v>45653.416666666664</v>
      </c>
      <c r="F545" s="6" t="str">
        <f t="shared" si="25"/>
        <v>Friday</v>
      </c>
      <c r="G545" t="str">
        <f>IF(COUNTIF(INDEX(SkiResort_ParkingRevenue_Raw[License Plate],1):SkiResort_ParkingRevenue_Raw[[#This Row],[License Plate]],SkiResort_ParkingRevenue_Raw[[#This Row],[License Plate]])=1,"New","Returning")</f>
        <v>Returning</v>
      </c>
      <c r="H545">
        <v>19.989999999999998</v>
      </c>
      <c r="I545">
        <v>1</v>
      </c>
      <c r="J545" t="str">
        <f t="shared" si="26"/>
        <v>All Season</v>
      </c>
    </row>
    <row r="546" spans="1:10" x14ac:dyDescent="0.25">
      <c r="A546" t="s">
        <v>2168</v>
      </c>
      <c r="B546" t="str" cm="1">
        <f t="array" ref="B54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46" s="6">
        <v>45653.291666666664</v>
      </c>
      <c r="D546" t="str">
        <f t="shared" si="24"/>
        <v>Friday</v>
      </c>
      <c r="E546" s="6">
        <v>45653.416666666664</v>
      </c>
      <c r="F546" s="6" t="str">
        <f t="shared" si="25"/>
        <v>Friday</v>
      </c>
      <c r="G546" t="str">
        <f>IF(COUNTIF(INDEX(SkiResort_ParkingRevenue_Raw[License Plate],1):SkiResort_ParkingRevenue_Raw[[#This Row],[License Plate]],SkiResort_ParkingRevenue_Raw[[#This Row],[License Plate]])=1,"New","Returning")</f>
        <v>New</v>
      </c>
      <c r="H546">
        <v>19.989999999999998</v>
      </c>
      <c r="I546">
        <v>1</v>
      </c>
      <c r="J546" t="str">
        <f t="shared" si="26"/>
        <v>All Season</v>
      </c>
    </row>
    <row r="547" spans="1:10" x14ac:dyDescent="0.25">
      <c r="A547" t="s">
        <v>2183</v>
      </c>
      <c r="B547" t="str" cm="1">
        <f t="array" ref="B54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47" s="6">
        <v>45653.291666666664</v>
      </c>
      <c r="D547" t="str">
        <f t="shared" si="24"/>
        <v>Friday</v>
      </c>
      <c r="E547" s="6">
        <v>45653.416666666664</v>
      </c>
      <c r="F547" s="6" t="str">
        <f t="shared" si="25"/>
        <v>Friday</v>
      </c>
      <c r="G547" t="str">
        <f>IF(COUNTIF(INDEX(SkiResort_ParkingRevenue_Raw[License Plate],1):SkiResort_ParkingRevenue_Raw[[#This Row],[License Plate]],SkiResort_ParkingRevenue_Raw[[#This Row],[License Plate]])=1,"New","Returning")</f>
        <v>New</v>
      </c>
      <c r="H547">
        <v>19.989999999999998</v>
      </c>
      <c r="I547">
        <v>1</v>
      </c>
      <c r="J547" t="str">
        <f t="shared" si="26"/>
        <v>All Season</v>
      </c>
    </row>
    <row r="548" spans="1:10" x14ac:dyDescent="0.25">
      <c r="A548" t="s">
        <v>2174</v>
      </c>
      <c r="B548" t="str" cm="1">
        <f t="array" ref="B54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48" s="6">
        <v>45653.338888888888</v>
      </c>
      <c r="D548" t="str">
        <f t="shared" si="24"/>
        <v>Friday</v>
      </c>
      <c r="E548" s="6">
        <v>45653.416666666664</v>
      </c>
      <c r="F548" s="6" t="str">
        <f t="shared" si="25"/>
        <v>Friday</v>
      </c>
      <c r="G548" t="str">
        <f>IF(COUNTIF(INDEX(SkiResort_ParkingRevenue_Raw[License Plate],1):SkiResort_ParkingRevenue_Raw[[#This Row],[License Plate]],SkiResort_ParkingRevenue_Raw[[#This Row],[License Plate]])=1,"New","Returning")</f>
        <v>New</v>
      </c>
      <c r="H548">
        <v>19.989999999999998</v>
      </c>
      <c r="I548">
        <v>1</v>
      </c>
      <c r="J548" t="str">
        <f t="shared" si="26"/>
        <v>All Season</v>
      </c>
    </row>
    <row r="549" spans="1:10" x14ac:dyDescent="0.25">
      <c r="A549" t="s">
        <v>2179</v>
      </c>
      <c r="B549" t="str" cm="1">
        <f t="array" ref="B54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49" s="6">
        <v>45653.3516087963</v>
      </c>
      <c r="D549" t="str">
        <f t="shared" si="24"/>
        <v>Friday</v>
      </c>
      <c r="E549" s="6">
        <v>45653.416666666664</v>
      </c>
      <c r="F549" s="6" t="str">
        <f t="shared" si="25"/>
        <v>Friday</v>
      </c>
      <c r="G549" t="str">
        <f>IF(COUNTIF(INDEX(SkiResort_ParkingRevenue_Raw[License Plate],1):SkiResort_ParkingRevenue_Raw[[#This Row],[License Plate]],SkiResort_ParkingRevenue_Raw[[#This Row],[License Plate]])=1,"New","Returning")</f>
        <v>Returning</v>
      </c>
      <c r="H549">
        <v>19.989999999999998</v>
      </c>
      <c r="I549">
        <v>1</v>
      </c>
      <c r="J549" t="str">
        <f t="shared" si="26"/>
        <v>All Season</v>
      </c>
    </row>
    <row r="550" spans="1:10" x14ac:dyDescent="0.25">
      <c r="A550" t="s">
        <v>2234</v>
      </c>
      <c r="B550" t="str" cm="1">
        <f t="array" ref="B55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50" s="6">
        <v>45654</v>
      </c>
      <c r="D550" t="str">
        <f t="shared" si="24"/>
        <v>Saturday</v>
      </c>
      <c r="E550" s="6">
        <v>45654.707638888889</v>
      </c>
      <c r="F550" s="6" t="str">
        <f t="shared" si="25"/>
        <v>Saturday</v>
      </c>
      <c r="G550" t="str">
        <f>IF(COUNTIF(INDEX(SkiResort_ParkingRevenue_Raw[License Plate],1):SkiResort_ParkingRevenue_Raw[[#This Row],[License Plate]],SkiResort_ParkingRevenue_Raw[[#This Row],[License Plate]])=1,"New","Returning")</f>
        <v>New</v>
      </c>
      <c r="H550">
        <v>1</v>
      </c>
      <c r="I550">
        <v>1</v>
      </c>
      <c r="J550" t="str">
        <f t="shared" si="26"/>
        <v>All Season</v>
      </c>
    </row>
    <row r="551" spans="1:10" x14ac:dyDescent="0.25">
      <c r="A551" t="s">
        <v>2160</v>
      </c>
      <c r="B551" t="str" cm="1">
        <f t="array" ref="B55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51" s="6">
        <v>45654.291666666664</v>
      </c>
      <c r="D551" t="str">
        <f t="shared" si="24"/>
        <v>Saturday</v>
      </c>
      <c r="E551" s="6">
        <v>45654.416666666664</v>
      </c>
      <c r="F551" s="6" t="str">
        <f t="shared" si="25"/>
        <v>Saturday</v>
      </c>
      <c r="G551" t="str">
        <f>IF(COUNTIF(INDEX(SkiResort_ParkingRevenue_Raw[License Plate],1):SkiResort_ParkingRevenue_Raw[[#This Row],[License Plate]],SkiResort_ParkingRevenue_Raw[[#This Row],[License Plate]])=1,"New","Returning")</f>
        <v>New</v>
      </c>
      <c r="H551">
        <v>49.98</v>
      </c>
      <c r="I551">
        <v>2</v>
      </c>
      <c r="J551" t="str">
        <f t="shared" si="26"/>
        <v>All Season</v>
      </c>
    </row>
    <row r="552" spans="1:10" x14ac:dyDescent="0.25">
      <c r="A552" t="s">
        <v>2181</v>
      </c>
      <c r="B552" t="str" cm="1">
        <f t="array" ref="B55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52" s="6">
        <v>45654.291666666664</v>
      </c>
      <c r="D552" t="str">
        <f t="shared" si="24"/>
        <v>Saturday</v>
      </c>
      <c r="E552" s="6">
        <v>45654.416666666664</v>
      </c>
      <c r="F552" s="6" t="str">
        <f t="shared" si="25"/>
        <v>Saturday</v>
      </c>
      <c r="G552" t="str">
        <f>IF(COUNTIF(INDEX(SkiResort_ParkingRevenue_Raw[License Plate],1):SkiResort_ParkingRevenue_Raw[[#This Row],[License Plate]],SkiResort_ParkingRevenue_Raw[[#This Row],[License Plate]])=1,"New","Returning")</f>
        <v>Returning</v>
      </c>
      <c r="H552">
        <v>24.99</v>
      </c>
      <c r="I552">
        <v>1</v>
      </c>
      <c r="J552" t="str">
        <f t="shared" si="26"/>
        <v>All Season</v>
      </c>
    </row>
    <row r="553" spans="1:10" x14ac:dyDescent="0.25">
      <c r="A553" t="s">
        <v>2194</v>
      </c>
      <c r="B553" t="str" cm="1">
        <f t="array" ref="B55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53" s="6">
        <v>45654.291666666664</v>
      </c>
      <c r="D553" t="str">
        <f t="shared" si="24"/>
        <v>Saturday</v>
      </c>
      <c r="E553" s="6">
        <v>45654.416666666664</v>
      </c>
      <c r="F553" s="6" t="str">
        <f t="shared" si="25"/>
        <v>Saturday</v>
      </c>
      <c r="G553" t="str">
        <f>IF(COUNTIF(INDEX(SkiResort_ParkingRevenue_Raw[License Plate],1):SkiResort_ParkingRevenue_Raw[[#This Row],[License Plate]],SkiResort_ParkingRevenue_Raw[[#This Row],[License Plate]])=1,"New","Returning")</f>
        <v>Returning</v>
      </c>
      <c r="H553">
        <v>24.99</v>
      </c>
      <c r="I553">
        <v>1</v>
      </c>
      <c r="J553" t="str">
        <f t="shared" si="26"/>
        <v>All Season</v>
      </c>
    </row>
    <row r="554" spans="1:10" x14ac:dyDescent="0.25">
      <c r="A554" t="s">
        <v>2204</v>
      </c>
      <c r="B554" t="str" cm="1">
        <f t="array" ref="B55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54" s="6">
        <v>45654.291666666664</v>
      </c>
      <c r="D554" t="str">
        <f t="shared" si="24"/>
        <v>Saturday</v>
      </c>
      <c r="E554" s="6">
        <v>45654.416666666664</v>
      </c>
      <c r="F554" s="6" t="str">
        <f t="shared" si="25"/>
        <v>Saturday</v>
      </c>
      <c r="G554" t="str">
        <f>IF(COUNTIF(INDEX(SkiResort_ParkingRevenue_Raw[License Plate],1):SkiResort_ParkingRevenue_Raw[[#This Row],[License Plate]],SkiResort_ParkingRevenue_Raw[[#This Row],[License Plate]])=1,"New","Returning")</f>
        <v>New</v>
      </c>
      <c r="H554">
        <v>24.99</v>
      </c>
      <c r="I554">
        <v>1</v>
      </c>
      <c r="J554" t="str">
        <f t="shared" si="26"/>
        <v>All Season</v>
      </c>
    </row>
    <row r="555" spans="1:10" x14ac:dyDescent="0.25">
      <c r="A555" t="s">
        <v>2208</v>
      </c>
      <c r="B555" t="str" cm="1">
        <f t="array" ref="B55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55" s="6">
        <v>45654.291666666664</v>
      </c>
      <c r="D555" t="str">
        <f t="shared" si="24"/>
        <v>Saturday</v>
      </c>
      <c r="E555" s="6">
        <v>45654.416666666664</v>
      </c>
      <c r="F555" s="6" t="str">
        <f t="shared" si="25"/>
        <v>Saturday</v>
      </c>
      <c r="G555" t="str">
        <f>IF(COUNTIF(INDEX(SkiResort_ParkingRevenue_Raw[License Plate],1):SkiResort_ParkingRevenue_Raw[[#This Row],[License Plate]],SkiResort_ParkingRevenue_Raw[[#This Row],[License Plate]])=1,"New","Returning")</f>
        <v>New</v>
      </c>
      <c r="H555">
        <v>24.99</v>
      </c>
      <c r="I555">
        <v>1</v>
      </c>
      <c r="J555" t="str">
        <f t="shared" si="26"/>
        <v>All Season</v>
      </c>
    </row>
    <row r="556" spans="1:10" x14ac:dyDescent="0.25">
      <c r="A556" t="s">
        <v>2211</v>
      </c>
      <c r="B556" t="str" cm="1">
        <f t="array" ref="B55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56" s="6">
        <v>45654.291666666664</v>
      </c>
      <c r="D556" t="str">
        <f t="shared" si="24"/>
        <v>Saturday</v>
      </c>
      <c r="E556" s="6">
        <v>45654.416666666664</v>
      </c>
      <c r="F556" s="6" t="str">
        <f t="shared" si="25"/>
        <v>Saturday</v>
      </c>
      <c r="G556" t="str">
        <f>IF(COUNTIF(INDEX(SkiResort_ParkingRevenue_Raw[License Plate],1):SkiResort_ParkingRevenue_Raw[[#This Row],[License Plate]],SkiResort_ParkingRevenue_Raw[[#This Row],[License Plate]])=1,"New","Returning")</f>
        <v>Returning</v>
      </c>
      <c r="H556">
        <v>24.99</v>
      </c>
      <c r="I556">
        <v>1</v>
      </c>
      <c r="J556" t="str">
        <f t="shared" si="26"/>
        <v>All Season</v>
      </c>
    </row>
    <row r="557" spans="1:10" x14ac:dyDescent="0.25">
      <c r="A557" t="s">
        <v>2219</v>
      </c>
      <c r="B557" t="str" cm="1">
        <f t="array" ref="B55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57" s="6">
        <v>45654.291666666664</v>
      </c>
      <c r="D557" t="str">
        <f t="shared" si="24"/>
        <v>Saturday</v>
      </c>
      <c r="E557" s="6">
        <v>45654.416666666664</v>
      </c>
      <c r="F557" s="6" t="str">
        <f t="shared" si="25"/>
        <v>Saturday</v>
      </c>
      <c r="G557" t="str">
        <f>IF(COUNTIF(INDEX(SkiResort_ParkingRevenue_Raw[License Plate],1):SkiResort_ParkingRevenue_Raw[[#This Row],[License Plate]],SkiResort_ParkingRevenue_Raw[[#This Row],[License Plate]])=1,"New","Returning")</f>
        <v>New</v>
      </c>
      <c r="H557">
        <v>24.99</v>
      </c>
      <c r="I557">
        <v>1</v>
      </c>
      <c r="J557" t="str">
        <f t="shared" si="26"/>
        <v>All Season</v>
      </c>
    </row>
    <row r="558" spans="1:10" x14ac:dyDescent="0.25">
      <c r="A558" t="s">
        <v>2231</v>
      </c>
      <c r="B558" t="str" cm="1">
        <f t="array" ref="B55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58" s="6">
        <v>45654.291666666664</v>
      </c>
      <c r="D558" t="str">
        <f t="shared" si="24"/>
        <v>Saturday</v>
      </c>
      <c r="E558" s="6">
        <v>45654.416666666664</v>
      </c>
      <c r="F558" s="6" t="str">
        <f t="shared" si="25"/>
        <v>Saturday</v>
      </c>
      <c r="G558" t="str">
        <f>IF(COUNTIF(INDEX(SkiResort_ParkingRevenue_Raw[License Plate],1):SkiResort_ParkingRevenue_Raw[[#This Row],[License Plate]],SkiResort_ParkingRevenue_Raw[[#This Row],[License Plate]])=1,"New","Returning")</f>
        <v>New</v>
      </c>
      <c r="H558">
        <v>49.98</v>
      </c>
      <c r="I558">
        <v>2</v>
      </c>
      <c r="J558" t="str">
        <f t="shared" si="26"/>
        <v>All Season</v>
      </c>
    </row>
    <row r="559" spans="1:10" x14ac:dyDescent="0.25">
      <c r="A559" t="s">
        <v>2163</v>
      </c>
      <c r="B559" t="str" cm="1">
        <f t="array" ref="B55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59" s="6">
        <v>45654.39371527778</v>
      </c>
      <c r="D559" t="str">
        <f t="shared" si="24"/>
        <v>Saturday</v>
      </c>
      <c r="E559" s="6">
        <v>45654.416666666664</v>
      </c>
      <c r="F559" s="6" t="str">
        <f t="shared" si="25"/>
        <v>Saturday</v>
      </c>
      <c r="G559" t="str">
        <f>IF(COUNTIF(INDEX(SkiResort_ParkingRevenue_Raw[License Plate],1):SkiResort_ParkingRevenue_Raw[[#This Row],[License Plate]],SkiResort_ParkingRevenue_Raw[[#This Row],[License Plate]])=1,"New","Returning")</f>
        <v>New</v>
      </c>
      <c r="H559">
        <v>24.99</v>
      </c>
      <c r="I559">
        <v>1</v>
      </c>
      <c r="J559" t="str">
        <f t="shared" si="26"/>
        <v>All Season</v>
      </c>
    </row>
    <row r="560" spans="1:10" x14ac:dyDescent="0.25">
      <c r="A560" t="s">
        <v>2155</v>
      </c>
      <c r="B560" t="str" cm="1">
        <f t="array" ref="B56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60" s="6">
        <v>45655.291666666664</v>
      </c>
      <c r="D560" t="str">
        <f t="shared" si="24"/>
        <v>Sunday</v>
      </c>
      <c r="E560" s="6">
        <v>45655.416666666664</v>
      </c>
      <c r="F560" s="6" t="str">
        <f t="shared" si="25"/>
        <v>Sunday</v>
      </c>
      <c r="G560" t="str">
        <f>IF(COUNTIF(INDEX(SkiResort_ParkingRevenue_Raw[License Plate],1):SkiResort_ParkingRevenue_Raw[[#This Row],[License Plate]],SkiResort_ParkingRevenue_Raw[[#This Row],[License Plate]])=1,"New","Returning")</f>
        <v>Returning</v>
      </c>
      <c r="H560">
        <v>49.98</v>
      </c>
      <c r="I560">
        <v>2</v>
      </c>
      <c r="J560" t="str">
        <f t="shared" si="26"/>
        <v>All Season</v>
      </c>
    </row>
    <row r="561" spans="1:10" x14ac:dyDescent="0.25">
      <c r="A561" t="s">
        <v>2196</v>
      </c>
      <c r="B561" t="str" cm="1">
        <f t="array" ref="B56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61" s="6">
        <v>45655.291666666664</v>
      </c>
      <c r="D561" t="str">
        <f t="shared" si="24"/>
        <v>Sunday</v>
      </c>
      <c r="E561" s="6">
        <v>45655.416666666664</v>
      </c>
      <c r="F561" s="6" t="str">
        <f t="shared" si="25"/>
        <v>Sunday</v>
      </c>
      <c r="G561" t="str">
        <f>IF(COUNTIF(INDEX(SkiResort_ParkingRevenue_Raw[License Plate],1):SkiResort_ParkingRevenue_Raw[[#This Row],[License Plate]],SkiResort_ParkingRevenue_Raw[[#This Row],[License Plate]])=1,"New","Returning")</f>
        <v>Returning</v>
      </c>
      <c r="H561">
        <v>49.98</v>
      </c>
      <c r="I561">
        <v>2</v>
      </c>
      <c r="J561" t="str">
        <f t="shared" si="26"/>
        <v>All Season</v>
      </c>
    </row>
    <row r="562" spans="1:10" x14ac:dyDescent="0.25">
      <c r="A562" t="s">
        <v>2199</v>
      </c>
      <c r="B562" t="str" cm="1">
        <f t="array" ref="B56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62" s="6">
        <v>45655.291666666664</v>
      </c>
      <c r="D562" t="str">
        <f t="shared" si="24"/>
        <v>Sunday</v>
      </c>
      <c r="E562" s="6">
        <v>45655.416666666664</v>
      </c>
      <c r="F562" s="6" t="str">
        <f t="shared" si="25"/>
        <v>Sunday</v>
      </c>
      <c r="G562" t="str">
        <f>IF(COUNTIF(INDEX(SkiResort_ParkingRevenue_Raw[License Plate],1):SkiResort_ParkingRevenue_Raw[[#This Row],[License Plate]],SkiResort_ParkingRevenue_Raw[[#This Row],[License Plate]])=1,"New","Returning")</f>
        <v>Returning</v>
      </c>
      <c r="H562">
        <v>24.99</v>
      </c>
      <c r="I562">
        <v>1</v>
      </c>
      <c r="J562" t="str">
        <f t="shared" si="26"/>
        <v>All Season</v>
      </c>
    </row>
    <row r="563" spans="1:10" x14ac:dyDescent="0.25">
      <c r="A563" t="s">
        <v>2201</v>
      </c>
      <c r="B563" t="str" cm="1">
        <f t="array" ref="B56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63" s="6">
        <v>45655.291666666664</v>
      </c>
      <c r="D563" t="str">
        <f t="shared" si="24"/>
        <v>Sunday</v>
      </c>
      <c r="E563" s="6">
        <v>45655.416666666664</v>
      </c>
      <c r="F563" s="6" t="str">
        <f t="shared" si="25"/>
        <v>Sunday</v>
      </c>
      <c r="G563" t="str">
        <f>IF(COUNTIF(INDEX(SkiResort_ParkingRevenue_Raw[License Plate],1):SkiResort_ParkingRevenue_Raw[[#This Row],[License Plate]],SkiResort_ParkingRevenue_Raw[[#This Row],[License Plate]])=1,"New","Returning")</f>
        <v>New</v>
      </c>
      <c r="H563">
        <v>24.99</v>
      </c>
      <c r="I563">
        <v>1</v>
      </c>
      <c r="J563" t="str">
        <f t="shared" si="26"/>
        <v>All Season</v>
      </c>
    </row>
    <row r="564" spans="1:10" x14ac:dyDescent="0.25">
      <c r="A564" t="s">
        <v>2213</v>
      </c>
      <c r="B564" t="str" cm="1">
        <f t="array" ref="B56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64" s="6">
        <v>45655.291666666664</v>
      </c>
      <c r="D564" t="str">
        <f t="shared" si="24"/>
        <v>Sunday</v>
      </c>
      <c r="E564" s="6">
        <v>45655.416666666664</v>
      </c>
      <c r="F564" s="6" t="str">
        <f t="shared" si="25"/>
        <v>Sunday</v>
      </c>
      <c r="G564" t="str">
        <f>IF(COUNTIF(INDEX(SkiResort_ParkingRevenue_Raw[License Plate],1):SkiResort_ParkingRevenue_Raw[[#This Row],[License Plate]],SkiResort_ParkingRevenue_Raw[[#This Row],[License Plate]])=1,"New","Returning")</f>
        <v>New</v>
      </c>
      <c r="H564">
        <v>24.99</v>
      </c>
      <c r="I564">
        <v>1</v>
      </c>
      <c r="J564" t="str">
        <f t="shared" si="26"/>
        <v>All Season</v>
      </c>
    </row>
    <row r="565" spans="1:10" x14ac:dyDescent="0.25">
      <c r="A565" t="s">
        <v>2239</v>
      </c>
      <c r="B565" t="str" cm="1">
        <f t="array" ref="B56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65" s="6">
        <v>45655.346203703702</v>
      </c>
      <c r="D565" t="str">
        <f t="shared" si="24"/>
        <v>Sunday</v>
      </c>
      <c r="E565" s="6">
        <v>45655.416666666664</v>
      </c>
      <c r="F565" s="6" t="str">
        <f t="shared" si="25"/>
        <v>Sunday</v>
      </c>
      <c r="G565" t="str">
        <f>IF(COUNTIF(INDEX(SkiResort_ParkingRevenue_Raw[License Plate],1):SkiResort_ParkingRevenue_Raw[[#This Row],[License Plate]],SkiResort_ParkingRevenue_Raw[[#This Row],[License Plate]])=1,"New","Returning")</f>
        <v>Returning</v>
      </c>
      <c r="H565">
        <v>24.99</v>
      </c>
      <c r="I565">
        <v>1</v>
      </c>
      <c r="J565" t="str">
        <f t="shared" si="26"/>
        <v>All Season</v>
      </c>
    </row>
    <row r="566" spans="1:10" x14ac:dyDescent="0.25">
      <c r="A566" t="s">
        <v>2136</v>
      </c>
      <c r="B566" t="str" cm="1">
        <f t="array" ref="B56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66" s="6">
        <v>45656.291666666664</v>
      </c>
      <c r="D566" t="str">
        <f t="shared" si="24"/>
        <v>Monday</v>
      </c>
      <c r="E566" s="6">
        <v>45656.416666666664</v>
      </c>
      <c r="F566" s="6" t="str">
        <f t="shared" si="25"/>
        <v>Monday</v>
      </c>
      <c r="G566" t="str">
        <f>IF(COUNTIF(INDEX(SkiResort_ParkingRevenue_Raw[License Plate],1):SkiResort_ParkingRevenue_Raw[[#This Row],[License Plate]],SkiResort_ParkingRevenue_Raw[[#This Row],[License Plate]])=1,"New","Returning")</f>
        <v>Returning</v>
      </c>
      <c r="H566">
        <v>19.989999999999998</v>
      </c>
      <c r="I566">
        <v>1</v>
      </c>
      <c r="J566" t="str">
        <f t="shared" si="26"/>
        <v>All Season</v>
      </c>
    </row>
    <row r="567" spans="1:10" x14ac:dyDescent="0.25">
      <c r="A567" t="s">
        <v>2143</v>
      </c>
      <c r="B567" t="str" cm="1">
        <f t="array" ref="B56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67" s="6">
        <v>45656.291666666664</v>
      </c>
      <c r="D567" t="str">
        <f t="shared" si="24"/>
        <v>Monday</v>
      </c>
      <c r="E567" s="6">
        <v>45656.416666666664</v>
      </c>
      <c r="F567" s="6" t="str">
        <f t="shared" si="25"/>
        <v>Monday</v>
      </c>
      <c r="G567" t="str">
        <f>IF(COUNTIF(INDEX(SkiResort_ParkingRevenue_Raw[License Plate],1):SkiResort_ParkingRevenue_Raw[[#This Row],[License Plate]],SkiResort_ParkingRevenue_Raw[[#This Row],[License Plate]])=1,"New","Returning")</f>
        <v>New</v>
      </c>
      <c r="H567">
        <v>39.979999999999997</v>
      </c>
      <c r="I567">
        <v>2</v>
      </c>
      <c r="J567" t="str">
        <f t="shared" si="26"/>
        <v>All Season</v>
      </c>
    </row>
    <row r="568" spans="1:10" x14ac:dyDescent="0.25">
      <c r="A568" t="s">
        <v>2188</v>
      </c>
      <c r="B568" t="str" cm="1">
        <f t="array" ref="B56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68" s="6">
        <v>45656.291666666664</v>
      </c>
      <c r="D568" t="str">
        <f t="shared" si="24"/>
        <v>Monday</v>
      </c>
      <c r="E568" s="6">
        <v>45656.416666666664</v>
      </c>
      <c r="F568" s="6" t="str">
        <f t="shared" si="25"/>
        <v>Monday</v>
      </c>
      <c r="G568" t="str">
        <f>IF(COUNTIF(INDEX(SkiResort_ParkingRevenue_Raw[License Plate],1):SkiResort_ParkingRevenue_Raw[[#This Row],[License Plate]],SkiResort_ParkingRevenue_Raw[[#This Row],[License Plate]])=1,"New","Returning")</f>
        <v>New</v>
      </c>
      <c r="H568">
        <v>79.959999999999994</v>
      </c>
      <c r="I568">
        <v>4</v>
      </c>
      <c r="J568" t="str">
        <f t="shared" si="26"/>
        <v>All Season</v>
      </c>
    </row>
    <row r="569" spans="1:10" x14ac:dyDescent="0.25">
      <c r="A569" t="s">
        <v>2224</v>
      </c>
      <c r="B569" t="str" cm="1">
        <f t="array" ref="B56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69" s="6">
        <v>45656.291666666664</v>
      </c>
      <c r="D569" t="str">
        <f t="shared" si="24"/>
        <v>Monday</v>
      </c>
      <c r="E569" s="6">
        <v>45656.416666666664</v>
      </c>
      <c r="F569" s="6" t="str">
        <f t="shared" si="25"/>
        <v>Monday</v>
      </c>
      <c r="G569" t="str">
        <f>IF(COUNTIF(INDEX(SkiResort_ParkingRevenue_Raw[License Plate],1):SkiResort_ParkingRevenue_Raw[[#This Row],[License Plate]],SkiResort_ParkingRevenue_Raw[[#This Row],[License Plate]])=1,"New","Returning")</f>
        <v>Returning</v>
      </c>
      <c r="H569">
        <v>19.989999999999998</v>
      </c>
      <c r="I569">
        <v>1</v>
      </c>
      <c r="J569" t="str">
        <f t="shared" si="26"/>
        <v>All Season</v>
      </c>
    </row>
    <row r="570" spans="1:10" x14ac:dyDescent="0.25">
      <c r="A570" t="s">
        <v>2242</v>
      </c>
      <c r="B570" t="str" cm="1">
        <f t="array" ref="B57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70" s="6">
        <v>45656.291666666664</v>
      </c>
      <c r="D570" t="str">
        <f t="shared" si="24"/>
        <v>Monday</v>
      </c>
      <c r="E570" s="6">
        <v>45656.416666666664</v>
      </c>
      <c r="F570" s="6" t="str">
        <f t="shared" si="25"/>
        <v>Monday</v>
      </c>
      <c r="G570" t="str">
        <f>IF(COUNTIF(INDEX(SkiResort_ParkingRevenue_Raw[License Plate],1):SkiResort_ParkingRevenue_Raw[[#This Row],[License Plate]],SkiResort_ParkingRevenue_Raw[[#This Row],[License Plate]])=1,"New","Returning")</f>
        <v>New</v>
      </c>
      <c r="H570">
        <v>19.989999999999998</v>
      </c>
      <c r="I570">
        <v>1</v>
      </c>
      <c r="J570" t="str">
        <f t="shared" si="26"/>
        <v>All Season</v>
      </c>
    </row>
    <row r="571" spans="1:10" x14ac:dyDescent="0.25">
      <c r="A571" t="s">
        <v>2247</v>
      </c>
      <c r="B571" t="str" cm="1">
        <f t="array" ref="B57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71" s="6">
        <v>45656.291666666664</v>
      </c>
      <c r="D571" t="str">
        <f t="shared" si="24"/>
        <v>Monday</v>
      </c>
      <c r="E571" s="6">
        <v>45656.416666666664</v>
      </c>
      <c r="F571" s="6" t="str">
        <f t="shared" si="25"/>
        <v>Monday</v>
      </c>
      <c r="G571" t="str">
        <f>IF(COUNTIF(INDEX(SkiResort_ParkingRevenue_Raw[License Plate],1):SkiResort_ParkingRevenue_Raw[[#This Row],[License Plate]],SkiResort_ParkingRevenue_Raw[[#This Row],[License Plate]])=1,"New","Returning")</f>
        <v>New</v>
      </c>
      <c r="H571">
        <v>19.989999999999998</v>
      </c>
      <c r="I571">
        <v>1</v>
      </c>
      <c r="J571" t="str">
        <f t="shared" si="26"/>
        <v>All Season</v>
      </c>
    </row>
    <row r="572" spans="1:10" x14ac:dyDescent="0.25">
      <c r="A572" t="s">
        <v>2260</v>
      </c>
      <c r="B572" t="str" cm="1">
        <f t="array" ref="B57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72" s="6">
        <v>45656.291666666664</v>
      </c>
      <c r="D572" t="str">
        <f t="shared" si="24"/>
        <v>Monday</v>
      </c>
      <c r="E572" s="6">
        <v>45656.416666666664</v>
      </c>
      <c r="F572" s="6" t="str">
        <f t="shared" si="25"/>
        <v>Monday</v>
      </c>
      <c r="G572" t="str">
        <f>IF(COUNTIF(INDEX(SkiResort_ParkingRevenue_Raw[License Plate],1):SkiResort_ParkingRevenue_Raw[[#This Row],[License Plate]],SkiResort_ParkingRevenue_Raw[[#This Row],[License Plate]])=1,"New","Returning")</f>
        <v>Returning</v>
      </c>
      <c r="H572">
        <v>19.989999999999998</v>
      </c>
      <c r="I572">
        <v>1</v>
      </c>
      <c r="J572" t="str">
        <f t="shared" si="26"/>
        <v>All Season</v>
      </c>
    </row>
    <row r="573" spans="1:10" x14ac:dyDescent="0.25">
      <c r="A573" t="s">
        <v>2150</v>
      </c>
      <c r="B573" t="str" cm="1">
        <f t="array" ref="B57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73" s="6">
        <v>45657.291666666664</v>
      </c>
      <c r="D573" t="str">
        <f t="shared" si="24"/>
        <v>Tuesday</v>
      </c>
      <c r="E573" s="6">
        <v>45657.416666666664</v>
      </c>
      <c r="F573" s="6" t="str">
        <f t="shared" si="25"/>
        <v>Tuesday</v>
      </c>
      <c r="G573" t="str">
        <f>IF(COUNTIF(INDEX(SkiResort_ParkingRevenue_Raw[License Plate],1):SkiResort_ParkingRevenue_Raw[[#This Row],[License Plate]],SkiResort_ParkingRevenue_Raw[[#This Row],[License Plate]])=1,"New","Returning")</f>
        <v>New</v>
      </c>
      <c r="H573">
        <v>19.989999999999998</v>
      </c>
      <c r="I573">
        <v>1</v>
      </c>
      <c r="J573" t="str">
        <f t="shared" si="26"/>
        <v>All Season</v>
      </c>
    </row>
    <row r="574" spans="1:10" x14ac:dyDescent="0.25">
      <c r="A574" t="s">
        <v>2193</v>
      </c>
      <c r="B574" t="str" cm="1">
        <f t="array" ref="B57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74" s="6">
        <v>45657.291666666664</v>
      </c>
      <c r="D574" t="str">
        <f t="shared" si="24"/>
        <v>Tuesday</v>
      </c>
      <c r="E574" s="6">
        <v>45657.416666666664</v>
      </c>
      <c r="F574" s="6" t="str">
        <f t="shared" si="25"/>
        <v>Tuesday</v>
      </c>
      <c r="G574" t="str">
        <f>IF(COUNTIF(INDEX(SkiResort_ParkingRevenue_Raw[License Plate],1):SkiResort_ParkingRevenue_Raw[[#This Row],[License Plate]],SkiResort_ParkingRevenue_Raw[[#This Row],[License Plate]])=1,"New","Returning")</f>
        <v>Returning</v>
      </c>
      <c r="H574">
        <v>79.959999999999994</v>
      </c>
      <c r="I574">
        <v>4</v>
      </c>
      <c r="J574" t="str">
        <f t="shared" si="26"/>
        <v>All Season</v>
      </c>
    </row>
    <row r="575" spans="1:10" x14ac:dyDescent="0.25">
      <c r="A575" t="s">
        <v>2232</v>
      </c>
      <c r="B575" t="str" cm="1">
        <f t="array" ref="B57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75" s="6">
        <v>45657.291666666664</v>
      </c>
      <c r="D575" t="str">
        <f t="shared" si="24"/>
        <v>Tuesday</v>
      </c>
      <c r="E575" s="6">
        <v>45657.416666666664</v>
      </c>
      <c r="F575" s="6" t="str">
        <f t="shared" si="25"/>
        <v>Tuesday</v>
      </c>
      <c r="G575" t="str">
        <f>IF(COUNTIF(INDEX(SkiResort_ParkingRevenue_Raw[License Plate],1):SkiResort_ParkingRevenue_Raw[[#This Row],[License Plate]],SkiResort_ParkingRevenue_Raw[[#This Row],[License Plate]])=1,"New","Returning")</f>
        <v>Returning</v>
      </c>
      <c r="H575">
        <v>19.989999999999998</v>
      </c>
      <c r="I575">
        <v>1</v>
      </c>
      <c r="J575" t="str">
        <f t="shared" si="26"/>
        <v>All Season</v>
      </c>
    </row>
    <row r="576" spans="1:10" x14ac:dyDescent="0.25">
      <c r="A576" t="s">
        <v>2262</v>
      </c>
      <c r="B576" t="str" cm="1">
        <f t="array" ref="B57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76" s="6">
        <v>45657.291666666664</v>
      </c>
      <c r="D576" t="str">
        <f t="shared" si="24"/>
        <v>Tuesday</v>
      </c>
      <c r="E576" s="6">
        <v>45657.416666666664</v>
      </c>
      <c r="F576" s="6" t="str">
        <f t="shared" si="25"/>
        <v>Tuesday</v>
      </c>
      <c r="G576" t="str">
        <f>IF(COUNTIF(INDEX(SkiResort_ParkingRevenue_Raw[License Plate],1):SkiResort_ParkingRevenue_Raw[[#This Row],[License Plate]],SkiResort_ParkingRevenue_Raw[[#This Row],[License Plate]])=1,"New","Returning")</f>
        <v>Returning</v>
      </c>
      <c r="H576">
        <v>39.979999999999997</v>
      </c>
      <c r="I576">
        <v>2</v>
      </c>
      <c r="J576" t="str">
        <f t="shared" si="26"/>
        <v>All Season</v>
      </c>
    </row>
    <row r="577" spans="1:10" x14ac:dyDescent="0.25">
      <c r="A577" t="s">
        <v>2226</v>
      </c>
      <c r="B577" t="str" cm="1">
        <f t="array" ref="B57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77" s="6">
        <v>45657.318680555552</v>
      </c>
      <c r="D577" t="str">
        <f t="shared" si="24"/>
        <v>Tuesday</v>
      </c>
      <c r="E577" s="6">
        <v>45657.416666666664</v>
      </c>
      <c r="F577" s="6" t="str">
        <f t="shared" si="25"/>
        <v>Tuesday</v>
      </c>
      <c r="G577" t="str">
        <f>IF(COUNTIF(INDEX(SkiResort_ParkingRevenue_Raw[License Plate],1):SkiResort_ParkingRevenue_Raw[[#This Row],[License Plate]],SkiResort_ParkingRevenue_Raw[[#This Row],[License Plate]])=1,"New","Returning")</f>
        <v>Returning</v>
      </c>
      <c r="H577">
        <v>19.989999999999998</v>
      </c>
      <c r="I577">
        <v>1</v>
      </c>
      <c r="J577" t="str">
        <f t="shared" si="26"/>
        <v>All Season</v>
      </c>
    </row>
    <row r="578" spans="1:10" x14ac:dyDescent="0.25">
      <c r="A578" t="s">
        <v>2293</v>
      </c>
      <c r="B578" t="str" cm="1">
        <f t="array" ref="B57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78" s="6">
        <v>45658.291666666664</v>
      </c>
      <c r="D578" t="str">
        <f t="shared" ref="D578:D641" si="27">_xlfn.TEXTBEFORE(TEXT(C578, "dddd, mmmm dd, yyyy"), ",")</f>
        <v>Wednesday</v>
      </c>
      <c r="E578" s="6">
        <v>45658.416666666664</v>
      </c>
      <c r="F578" s="6" t="str">
        <f t="shared" si="25"/>
        <v>Wednesday</v>
      </c>
      <c r="G578" t="str">
        <f>IF(COUNTIF(INDEX(SkiResort_ParkingRevenue_Raw[License Plate],1):SkiResort_ParkingRevenue_Raw[[#This Row],[License Plate]],SkiResort_ParkingRevenue_Raw[[#This Row],[License Plate]])=1,"New","Returning")</f>
        <v>Returning</v>
      </c>
      <c r="H578">
        <v>79.959999999999994</v>
      </c>
      <c r="I578">
        <v>4</v>
      </c>
      <c r="J578" t="str">
        <f t="shared" si="26"/>
        <v>All Season</v>
      </c>
    </row>
    <row r="579" spans="1:10" x14ac:dyDescent="0.25">
      <c r="A579" t="s">
        <v>2294</v>
      </c>
      <c r="B579" t="str" cm="1">
        <f t="array" ref="B57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79" s="6">
        <v>45658.291666666664</v>
      </c>
      <c r="D579" t="str">
        <f t="shared" si="27"/>
        <v>Wednesday</v>
      </c>
      <c r="E579" s="6">
        <v>45658.416666666664</v>
      </c>
      <c r="F579" s="6" t="str">
        <f t="shared" ref="F579:F642" si="28">_xlfn.TEXTBEFORE(TEXT(E579,"dddd, mmmm dd, yyyy"), ",")</f>
        <v>Wednesday</v>
      </c>
      <c r="G579" t="str">
        <f>IF(COUNTIF(INDEX(SkiResort_ParkingRevenue_Raw[License Plate],1):SkiResort_ParkingRevenue_Raw[[#This Row],[License Plate]],SkiResort_ParkingRevenue_Raw[[#This Row],[License Plate]])=1,"New","Returning")</f>
        <v>Returning</v>
      </c>
      <c r="H579">
        <v>19.989999999999998</v>
      </c>
      <c r="I579">
        <v>1</v>
      </c>
      <c r="J579" t="str">
        <f t="shared" ref="J579:J642" si="29">IF(C579&lt;DATE(2025,1,17), "All Season", "Weekends/Holiday Only")</f>
        <v>All Season</v>
      </c>
    </row>
    <row r="580" spans="1:10" x14ac:dyDescent="0.25">
      <c r="A580" t="s">
        <v>2298</v>
      </c>
      <c r="B580" t="str" cm="1">
        <f t="array" ref="B58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80" s="6">
        <v>45658.291666666664</v>
      </c>
      <c r="D580" t="str">
        <f t="shared" si="27"/>
        <v>Wednesday</v>
      </c>
      <c r="E580" s="6">
        <v>45658.416666666664</v>
      </c>
      <c r="F580" s="6" t="str">
        <f t="shared" si="28"/>
        <v>Wednesday</v>
      </c>
      <c r="G580" t="str">
        <f>IF(COUNTIF(INDEX(SkiResort_ParkingRevenue_Raw[License Plate],1):SkiResort_ParkingRevenue_Raw[[#This Row],[License Plate]],SkiResort_ParkingRevenue_Raw[[#This Row],[License Plate]])=1,"New","Returning")</f>
        <v>Returning</v>
      </c>
      <c r="H580">
        <v>19.989999999999998</v>
      </c>
      <c r="I580">
        <v>1</v>
      </c>
      <c r="J580" t="str">
        <f t="shared" si="29"/>
        <v>All Season</v>
      </c>
    </row>
    <row r="581" spans="1:10" x14ac:dyDescent="0.25">
      <c r="A581" t="s">
        <v>2393</v>
      </c>
      <c r="B581" t="str" cm="1">
        <f t="array" ref="B58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81" s="6">
        <v>45658.291666666664</v>
      </c>
      <c r="D581" t="str">
        <f t="shared" si="27"/>
        <v>Wednesday</v>
      </c>
      <c r="E581" s="6">
        <v>45658.416666666664</v>
      </c>
      <c r="F581" s="6" t="str">
        <f t="shared" si="28"/>
        <v>Wednesday</v>
      </c>
      <c r="G581" t="str">
        <f>IF(COUNTIF(INDEX(SkiResort_ParkingRevenue_Raw[License Plate],1):SkiResort_ParkingRevenue_Raw[[#This Row],[License Plate]],SkiResort_ParkingRevenue_Raw[[#This Row],[License Plate]])=1,"New","Returning")</f>
        <v>Returning</v>
      </c>
      <c r="H581">
        <v>19.989999999999998</v>
      </c>
      <c r="I581">
        <v>1</v>
      </c>
      <c r="J581" t="str">
        <f t="shared" si="29"/>
        <v>All Season</v>
      </c>
    </row>
    <row r="582" spans="1:10" x14ac:dyDescent="0.25">
      <c r="A582" t="s">
        <v>2292</v>
      </c>
      <c r="B582" t="str" cm="1">
        <f t="array" ref="B58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82" s="6">
        <v>45659.291666666664</v>
      </c>
      <c r="D582" t="str">
        <f t="shared" si="27"/>
        <v>Thursday</v>
      </c>
      <c r="E582" s="6">
        <v>45659.416666666664</v>
      </c>
      <c r="F582" s="6" t="str">
        <f t="shared" si="28"/>
        <v>Thursday</v>
      </c>
      <c r="G582" t="str">
        <f>IF(COUNTIF(INDEX(SkiResort_ParkingRevenue_Raw[License Plate],1):SkiResort_ParkingRevenue_Raw[[#This Row],[License Plate]],SkiResort_ParkingRevenue_Raw[[#This Row],[License Plate]])=1,"New","Returning")</f>
        <v>Returning</v>
      </c>
      <c r="H582">
        <v>79.959999999999994</v>
      </c>
      <c r="I582">
        <v>4</v>
      </c>
      <c r="J582" t="str">
        <f t="shared" si="29"/>
        <v>All Season</v>
      </c>
    </row>
    <row r="583" spans="1:10" x14ac:dyDescent="0.25">
      <c r="A583" t="s">
        <v>2296</v>
      </c>
      <c r="B583" t="str" cm="1">
        <f t="array" ref="B58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83" s="6">
        <v>45659.291666666664</v>
      </c>
      <c r="D583" t="str">
        <f t="shared" si="27"/>
        <v>Thursday</v>
      </c>
      <c r="E583" s="6">
        <v>45659.416666666664</v>
      </c>
      <c r="F583" s="6" t="str">
        <f t="shared" si="28"/>
        <v>Thursday</v>
      </c>
      <c r="G583" t="str">
        <f>IF(COUNTIF(INDEX(SkiResort_ParkingRevenue_Raw[License Plate],1):SkiResort_ParkingRevenue_Raw[[#This Row],[License Plate]],SkiResort_ParkingRevenue_Raw[[#This Row],[License Plate]])=1,"New","Returning")</f>
        <v>Returning</v>
      </c>
      <c r="H583">
        <v>19.989999999999998</v>
      </c>
      <c r="I583">
        <v>1</v>
      </c>
      <c r="J583" t="str">
        <f t="shared" si="29"/>
        <v>All Season</v>
      </c>
    </row>
    <row r="584" spans="1:10" x14ac:dyDescent="0.25">
      <c r="A584" t="s">
        <v>2300</v>
      </c>
      <c r="B584" t="str" cm="1">
        <f t="array" ref="B58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84" s="6">
        <v>45659.291666666664</v>
      </c>
      <c r="D584" t="str">
        <f t="shared" si="27"/>
        <v>Thursday</v>
      </c>
      <c r="E584" s="6">
        <v>45659.416666666664</v>
      </c>
      <c r="F584" s="6" t="str">
        <f t="shared" si="28"/>
        <v>Thursday</v>
      </c>
      <c r="G584" t="str">
        <f>IF(COUNTIF(INDEX(SkiResort_ParkingRevenue_Raw[License Plate],1):SkiResort_ParkingRevenue_Raw[[#This Row],[License Plate]],SkiResort_ParkingRevenue_Raw[[#This Row],[License Plate]])=1,"New","Returning")</f>
        <v>New</v>
      </c>
      <c r="H584">
        <v>19.989999999999998</v>
      </c>
      <c r="I584">
        <v>1</v>
      </c>
      <c r="J584" t="str">
        <f t="shared" si="29"/>
        <v>All Season</v>
      </c>
    </row>
    <row r="585" spans="1:10" x14ac:dyDescent="0.25">
      <c r="A585" t="s">
        <v>2285</v>
      </c>
      <c r="B585" t="str" cm="1">
        <f t="array" ref="B58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85" s="6">
        <v>45660.291666666664</v>
      </c>
      <c r="D585" t="str">
        <f t="shared" si="27"/>
        <v>Friday</v>
      </c>
      <c r="E585" s="6">
        <v>45660.416666666664</v>
      </c>
      <c r="F585" s="6" t="str">
        <f t="shared" si="28"/>
        <v>Friday</v>
      </c>
      <c r="G585" t="str">
        <f>IF(COUNTIF(INDEX(SkiResort_ParkingRevenue_Raw[License Plate],1):SkiResort_ParkingRevenue_Raw[[#This Row],[License Plate]],SkiResort_ParkingRevenue_Raw[[#This Row],[License Plate]])=1,"New","Returning")</f>
        <v>Returning</v>
      </c>
      <c r="H585">
        <v>19.989999999999998</v>
      </c>
      <c r="I585">
        <v>1</v>
      </c>
      <c r="J585" t="str">
        <f t="shared" si="29"/>
        <v>All Season</v>
      </c>
    </row>
    <row r="586" spans="1:10" x14ac:dyDescent="0.25">
      <c r="A586" t="s">
        <v>2309</v>
      </c>
      <c r="B586" t="str" cm="1">
        <f t="array" ref="B58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86" s="6">
        <v>45660.291666666664</v>
      </c>
      <c r="D586" t="str">
        <f t="shared" si="27"/>
        <v>Friday</v>
      </c>
      <c r="E586" s="6">
        <v>45660.416666666664</v>
      </c>
      <c r="F586" s="6" t="str">
        <f t="shared" si="28"/>
        <v>Friday</v>
      </c>
      <c r="G586" t="str">
        <f>IF(COUNTIF(INDEX(SkiResort_ParkingRevenue_Raw[License Plate],1):SkiResort_ParkingRevenue_Raw[[#This Row],[License Plate]],SkiResort_ParkingRevenue_Raw[[#This Row],[License Plate]])=1,"New","Returning")</f>
        <v>Returning</v>
      </c>
      <c r="H586">
        <v>19.989999999999998</v>
      </c>
      <c r="I586">
        <v>1</v>
      </c>
      <c r="J586" t="str">
        <f t="shared" si="29"/>
        <v>All Season</v>
      </c>
    </row>
    <row r="587" spans="1:10" x14ac:dyDescent="0.25">
      <c r="A587" t="s">
        <v>2314</v>
      </c>
      <c r="B587" t="str" cm="1">
        <f t="array" ref="B58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87" s="6">
        <v>45660.291666666664</v>
      </c>
      <c r="D587" t="str">
        <f t="shared" si="27"/>
        <v>Friday</v>
      </c>
      <c r="E587" s="6">
        <v>45660.416666666664</v>
      </c>
      <c r="F587" s="6" t="str">
        <f t="shared" si="28"/>
        <v>Friday</v>
      </c>
      <c r="G587" t="str">
        <f>IF(COUNTIF(INDEX(SkiResort_ParkingRevenue_Raw[License Plate],1):SkiResort_ParkingRevenue_Raw[[#This Row],[License Plate]],SkiResort_ParkingRevenue_Raw[[#This Row],[License Plate]])=1,"New","Returning")</f>
        <v>New</v>
      </c>
      <c r="H587">
        <v>19.989999999999998</v>
      </c>
      <c r="I587">
        <v>1</v>
      </c>
      <c r="J587" t="str">
        <f t="shared" si="29"/>
        <v>All Season</v>
      </c>
    </row>
    <row r="588" spans="1:10" x14ac:dyDescent="0.25">
      <c r="A588" t="s">
        <v>2400</v>
      </c>
      <c r="B588" t="str" cm="1">
        <f t="array" ref="B58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88" s="6">
        <v>45660.291666666664</v>
      </c>
      <c r="D588" t="str">
        <f t="shared" si="27"/>
        <v>Friday</v>
      </c>
      <c r="E588" s="6">
        <v>45660.416666666664</v>
      </c>
      <c r="F588" s="6" t="str">
        <f t="shared" si="28"/>
        <v>Friday</v>
      </c>
      <c r="G588" t="str">
        <f>IF(COUNTIF(INDEX(SkiResort_ParkingRevenue_Raw[License Plate],1):SkiResort_ParkingRevenue_Raw[[#This Row],[License Plate]],SkiResort_ParkingRevenue_Raw[[#This Row],[License Plate]])=1,"New","Returning")</f>
        <v>New</v>
      </c>
      <c r="H588">
        <v>19.989999999999998</v>
      </c>
      <c r="I588">
        <v>1</v>
      </c>
      <c r="J588" t="str">
        <f t="shared" si="29"/>
        <v>All Season</v>
      </c>
    </row>
    <row r="589" spans="1:10" x14ac:dyDescent="0.25">
      <c r="A589" t="s">
        <v>2305</v>
      </c>
      <c r="B589" t="str" cm="1">
        <f t="array" ref="B58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89" s="6">
        <v>45661.291666666664</v>
      </c>
      <c r="D589" t="str">
        <f t="shared" si="27"/>
        <v>Saturday</v>
      </c>
      <c r="E589" s="6">
        <v>45661.416666666664</v>
      </c>
      <c r="F589" s="6" t="str">
        <f t="shared" si="28"/>
        <v>Saturday</v>
      </c>
      <c r="G589" t="str">
        <f>IF(COUNTIF(INDEX(SkiResort_ParkingRevenue_Raw[License Plate],1):SkiResort_ParkingRevenue_Raw[[#This Row],[License Plate]],SkiResort_ParkingRevenue_Raw[[#This Row],[License Plate]])=1,"New","Returning")</f>
        <v>Returning</v>
      </c>
      <c r="H589">
        <v>24.99</v>
      </c>
      <c r="I589">
        <v>1</v>
      </c>
      <c r="J589" t="str">
        <f t="shared" si="29"/>
        <v>All Season</v>
      </c>
    </row>
    <row r="590" spans="1:10" x14ac:dyDescent="0.25">
      <c r="A590" t="s">
        <v>2319</v>
      </c>
      <c r="B590" t="str" cm="1">
        <f t="array" ref="B59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90" s="6">
        <v>45661.291666666664</v>
      </c>
      <c r="D590" t="str">
        <f t="shared" si="27"/>
        <v>Saturday</v>
      </c>
      <c r="E590" s="6">
        <v>45661.416666666664</v>
      </c>
      <c r="F590" s="6" t="str">
        <f t="shared" si="28"/>
        <v>Saturday</v>
      </c>
      <c r="G590" t="str">
        <f>IF(COUNTIF(INDEX(SkiResort_ParkingRevenue_Raw[License Plate],1):SkiResort_ParkingRevenue_Raw[[#This Row],[License Plate]],SkiResort_ParkingRevenue_Raw[[#This Row],[License Plate]])=1,"New","Returning")</f>
        <v>New</v>
      </c>
      <c r="H590">
        <v>24.99</v>
      </c>
      <c r="I590">
        <v>1</v>
      </c>
      <c r="J590" t="str">
        <f t="shared" si="29"/>
        <v>All Season</v>
      </c>
    </row>
    <row r="591" spans="1:10" x14ac:dyDescent="0.25">
      <c r="A591" t="s">
        <v>2329</v>
      </c>
      <c r="B591" t="str" cm="1">
        <f t="array" ref="B59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91" s="6">
        <v>45661.291666666664</v>
      </c>
      <c r="D591" t="str">
        <f t="shared" si="27"/>
        <v>Saturday</v>
      </c>
      <c r="E591" s="6">
        <v>45661.416666666664</v>
      </c>
      <c r="F591" s="6" t="str">
        <f t="shared" si="28"/>
        <v>Saturday</v>
      </c>
      <c r="G591" t="str">
        <f>IF(COUNTIF(INDEX(SkiResort_ParkingRevenue_Raw[License Plate],1):SkiResort_ParkingRevenue_Raw[[#This Row],[License Plate]],SkiResort_ParkingRevenue_Raw[[#This Row],[License Plate]])=1,"New","Returning")</f>
        <v>New</v>
      </c>
      <c r="H591">
        <v>24.99</v>
      </c>
      <c r="I591">
        <v>1</v>
      </c>
      <c r="J591" t="str">
        <f t="shared" si="29"/>
        <v>All Season</v>
      </c>
    </row>
    <row r="592" spans="1:10" x14ac:dyDescent="0.25">
      <c r="A592" t="s">
        <v>2327</v>
      </c>
      <c r="B592" t="str" cm="1">
        <f t="array" ref="B59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92" s="6">
        <v>45661.408321759256</v>
      </c>
      <c r="D592" t="str">
        <f t="shared" si="27"/>
        <v>Saturday</v>
      </c>
      <c r="E592" s="6">
        <v>45661.416666666664</v>
      </c>
      <c r="F592" s="6" t="str">
        <f t="shared" si="28"/>
        <v>Saturday</v>
      </c>
      <c r="G592" t="str">
        <f>IF(COUNTIF(INDEX(SkiResort_ParkingRevenue_Raw[License Plate],1):SkiResort_ParkingRevenue_Raw[[#This Row],[License Plate]],SkiResort_ParkingRevenue_Raw[[#This Row],[License Plate]])=1,"New","Returning")</f>
        <v>Returning</v>
      </c>
      <c r="H592">
        <v>24.99</v>
      </c>
      <c r="I592">
        <v>1</v>
      </c>
      <c r="J592" t="str">
        <f t="shared" si="29"/>
        <v>All Season</v>
      </c>
    </row>
    <row r="593" spans="1:10" x14ac:dyDescent="0.25">
      <c r="A593" t="s">
        <v>2395</v>
      </c>
      <c r="B593" t="str" cm="1">
        <f t="array" ref="B59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93" s="6">
        <v>45665.291666666664</v>
      </c>
      <c r="D593" t="str">
        <f t="shared" si="27"/>
        <v>Wednesday</v>
      </c>
      <c r="E593" s="6">
        <v>45665.416666666664</v>
      </c>
      <c r="F593" s="6" t="str">
        <f t="shared" si="28"/>
        <v>Wednesday</v>
      </c>
      <c r="G593" t="str">
        <f>IF(COUNTIF(INDEX(SkiResort_ParkingRevenue_Raw[License Plate],1):SkiResort_ParkingRevenue_Raw[[#This Row],[License Plate]],SkiResort_ParkingRevenue_Raw[[#This Row],[License Plate]])=1,"New","Returning")</f>
        <v>New</v>
      </c>
      <c r="H593">
        <v>19.989999999999998</v>
      </c>
      <c r="I593">
        <v>1</v>
      </c>
      <c r="J593" t="str">
        <f t="shared" si="29"/>
        <v>All Season</v>
      </c>
    </row>
    <row r="594" spans="1:10" x14ac:dyDescent="0.25">
      <c r="A594" t="s">
        <v>2311</v>
      </c>
      <c r="B594" t="str" cm="1">
        <f t="array" ref="B59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94" s="6">
        <v>45668.291666666664</v>
      </c>
      <c r="D594" t="str">
        <f t="shared" si="27"/>
        <v>Saturday</v>
      </c>
      <c r="E594" s="6">
        <v>45668.416666666664</v>
      </c>
      <c r="F594" s="6" t="str">
        <f t="shared" si="28"/>
        <v>Saturday</v>
      </c>
      <c r="G594" t="str">
        <f>IF(COUNTIF(INDEX(SkiResort_ParkingRevenue_Raw[License Plate],1):SkiResort_ParkingRevenue_Raw[[#This Row],[License Plate]],SkiResort_ParkingRevenue_Raw[[#This Row],[License Plate]])=1,"New","Returning")</f>
        <v>Returning</v>
      </c>
      <c r="H594">
        <v>49.98</v>
      </c>
      <c r="I594">
        <v>2</v>
      </c>
      <c r="J594" t="str">
        <f t="shared" si="29"/>
        <v>All Season</v>
      </c>
    </row>
    <row r="595" spans="1:10" x14ac:dyDescent="0.25">
      <c r="A595" t="s">
        <v>2322</v>
      </c>
      <c r="B595" t="str" cm="1">
        <f t="array" ref="B59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95" s="6">
        <v>45668.291666666664</v>
      </c>
      <c r="D595" t="str">
        <f t="shared" si="27"/>
        <v>Saturday</v>
      </c>
      <c r="E595" s="6">
        <v>45668.416666666664</v>
      </c>
      <c r="F595" s="6" t="str">
        <f t="shared" si="28"/>
        <v>Saturday</v>
      </c>
      <c r="G595" t="str">
        <f>IF(COUNTIF(INDEX(SkiResort_ParkingRevenue_Raw[License Plate],1):SkiResort_ParkingRevenue_Raw[[#This Row],[License Plate]],SkiResort_ParkingRevenue_Raw[[#This Row],[License Plate]])=1,"New","Returning")</f>
        <v>New</v>
      </c>
      <c r="H595">
        <v>24.99</v>
      </c>
      <c r="I595">
        <v>1</v>
      </c>
      <c r="J595" t="str">
        <f t="shared" si="29"/>
        <v>All Season</v>
      </c>
    </row>
    <row r="596" spans="1:10" x14ac:dyDescent="0.25">
      <c r="A596" t="s">
        <v>2388</v>
      </c>
      <c r="B596" t="str" cm="1">
        <f t="array" ref="B59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96" s="6">
        <v>45668.291666666664</v>
      </c>
      <c r="D596" t="str">
        <f t="shared" si="27"/>
        <v>Saturday</v>
      </c>
      <c r="E596" s="6">
        <v>45668.416666666664</v>
      </c>
      <c r="F596" s="6" t="str">
        <f t="shared" si="28"/>
        <v>Saturday</v>
      </c>
      <c r="G596" t="str">
        <f>IF(COUNTIF(INDEX(SkiResort_ParkingRevenue_Raw[License Plate],1):SkiResort_ParkingRevenue_Raw[[#This Row],[License Plate]],SkiResort_ParkingRevenue_Raw[[#This Row],[License Plate]])=1,"New","Returning")</f>
        <v>New</v>
      </c>
      <c r="H596">
        <v>24.99</v>
      </c>
      <c r="I596">
        <v>1</v>
      </c>
      <c r="J596" t="str">
        <f t="shared" si="29"/>
        <v>All Season</v>
      </c>
    </row>
    <row r="597" spans="1:10" x14ac:dyDescent="0.25">
      <c r="A597" t="s">
        <v>2313</v>
      </c>
      <c r="B597" t="str" cm="1">
        <f t="array" ref="B59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97" s="6">
        <v>45669.291666666664</v>
      </c>
      <c r="D597" t="str">
        <f t="shared" si="27"/>
        <v>Sunday</v>
      </c>
      <c r="E597" s="6">
        <v>45669.416666666664</v>
      </c>
      <c r="F597" s="6" t="str">
        <f t="shared" si="28"/>
        <v>Sunday</v>
      </c>
      <c r="G597" t="str">
        <f>IF(COUNTIF(INDEX(SkiResort_ParkingRevenue_Raw[License Plate],1):SkiResort_ParkingRevenue_Raw[[#This Row],[License Plate]],SkiResort_ParkingRevenue_Raw[[#This Row],[License Plate]])=1,"New","Returning")</f>
        <v>Returning</v>
      </c>
      <c r="H597">
        <v>49.98</v>
      </c>
      <c r="I597">
        <v>2</v>
      </c>
      <c r="J597" t="str">
        <f t="shared" si="29"/>
        <v>All Season</v>
      </c>
    </row>
    <row r="598" spans="1:10" x14ac:dyDescent="0.25">
      <c r="A598" t="s">
        <v>2269</v>
      </c>
      <c r="B598" t="str" cm="1">
        <f t="array" ref="B59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98" s="6">
        <v>45672.291666666664</v>
      </c>
      <c r="D598" t="str">
        <f t="shared" si="27"/>
        <v>Wednesday</v>
      </c>
      <c r="E598" s="6">
        <v>45672.416666666664</v>
      </c>
      <c r="F598" s="6" t="str">
        <f t="shared" si="28"/>
        <v>Wednesday</v>
      </c>
      <c r="G598" t="str">
        <f>IF(COUNTIF(INDEX(SkiResort_ParkingRevenue_Raw[License Plate],1):SkiResort_ParkingRevenue_Raw[[#This Row],[License Plate]],SkiResort_ParkingRevenue_Raw[[#This Row],[License Plate]])=1,"New","Returning")</f>
        <v>Returning</v>
      </c>
      <c r="H598">
        <v>24.99</v>
      </c>
      <c r="I598">
        <v>1</v>
      </c>
      <c r="J598" t="str">
        <f t="shared" si="29"/>
        <v>All Season</v>
      </c>
    </row>
    <row r="599" spans="1:10" x14ac:dyDescent="0.25">
      <c r="A599" t="s">
        <v>2263</v>
      </c>
      <c r="B599" t="str" cm="1">
        <f t="array" ref="B59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599" s="6">
        <v>45673.291666666664</v>
      </c>
      <c r="D599" t="str">
        <f t="shared" si="27"/>
        <v>Thursday</v>
      </c>
      <c r="E599" s="6">
        <v>45673.416666666664</v>
      </c>
      <c r="F599" s="6" t="str">
        <f t="shared" si="28"/>
        <v>Thursday</v>
      </c>
      <c r="G599" t="str">
        <f>IF(COUNTIF(INDEX(SkiResort_ParkingRevenue_Raw[License Plate],1):SkiResort_ParkingRevenue_Raw[[#This Row],[License Plate]],SkiResort_ParkingRevenue_Raw[[#This Row],[License Plate]])=1,"New","Returning")</f>
        <v>New</v>
      </c>
      <c r="H599">
        <v>19.989999999999998</v>
      </c>
      <c r="I599">
        <v>1</v>
      </c>
      <c r="J599" t="str">
        <f t="shared" si="29"/>
        <v>All Season</v>
      </c>
    </row>
    <row r="600" spans="1:10" x14ac:dyDescent="0.25">
      <c r="A600" t="s">
        <v>2271</v>
      </c>
      <c r="B600" t="str" cm="1">
        <f t="array" ref="B60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00" s="6">
        <v>45673.510254629633</v>
      </c>
      <c r="D600" t="str">
        <f t="shared" si="27"/>
        <v>Thursday</v>
      </c>
      <c r="E600" s="6">
        <v>45673.416666666664</v>
      </c>
      <c r="F600" s="6" t="str">
        <f t="shared" si="28"/>
        <v>Thursday</v>
      </c>
      <c r="G600" t="str">
        <f>IF(COUNTIF(INDEX(SkiResort_ParkingRevenue_Raw[License Plate],1):SkiResort_ParkingRevenue_Raw[[#This Row],[License Plate]],SkiResort_ParkingRevenue_Raw[[#This Row],[License Plate]])=1,"New","Returning")</f>
        <v>New</v>
      </c>
      <c r="H600">
        <v>24.99</v>
      </c>
      <c r="I600">
        <v>1</v>
      </c>
      <c r="J600" t="str">
        <f t="shared" si="29"/>
        <v>All Season</v>
      </c>
    </row>
    <row r="601" spans="1:10" x14ac:dyDescent="0.25">
      <c r="A601" t="s">
        <v>2276</v>
      </c>
      <c r="B601" t="str" cm="1">
        <f t="array" ref="B60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01" s="6">
        <v>45675.291666666664</v>
      </c>
      <c r="D601" t="str">
        <f t="shared" si="27"/>
        <v>Saturday</v>
      </c>
      <c r="E601" s="6">
        <v>45675.416666666664</v>
      </c>
      <c r="F601" s="6" t="str">
        <f t="shared" si="28"/>
        <v>Saturday</v>
      </c>
      <c r="G601" t="str">
        <f>IF(COUNTIF(INDEX(SkiResort_ParkingRevenue_Raw[License Plate],1):SkiResort_ParkingRevenue_Raw[[#This Row],[License Plate]],SkiResort_ParkingRevenue_Raw[[#This Row],[License Plate]])=1,"New","Returning")</f>
        <v>New</v>
      </c>
      <c r="H601">
        <v>24.99</v>
      </c>
      <c r="I601">
        <v>1</v>
      </c>
      <c r="J601" t="str">
        <f t="shared" si="29"/>
        <v>Weekends/Holiday Only</v>
      </c>
    </row>
    <row r="602" spans="1:10" x14ac:dyDescent="0.25">
      <c r="A602" t="s">
        <v>2283</v>
      </c>
      <c r="B602" t="str" cm="1">
        <f t="array" ref="B60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02" s="6">
        <v>45675.291666666664</v>
      </c>
      <c r="D602" t="str">
        <f t="shared" si="27"/>
        <v>Saturday</v>
      </c>
      <c r="E602" s="6">
        <v>45675.416666666664</v>
      </c>
      <c r="F602" s="6" t="str">
        <f t="shared" si="28"/>
        <v>Saturday</v>
      </c>
      <c r="G602" t="str">
        <f>IF(COUNTIF(INDEX(SkiResort_ParkingRevenue_Raw[License Plate],1):SkiResort_ParkingRevenue_Raw[[#This Row],[License Plate]],SkiResort_ParkingRevenue_Raw[[#This Row],[License Plate]])=1,"New","Returning")</f>
        <v>Returning</v>
      </c>
      <c r="H602">
        <v>24.99</v>
      </c>
      <c r="I602">
        <v>1</v>
      </c>
      <c r="J602" t="str">
        <f t="shared" si="29"/>
        <v>Weekends/Holiday Only</v>
      </c>
    </row>
    <row r="603" spans="1:10" x14ac:dyDescent="0.25">
      <c r="A603" t="s">
        <v>2281</v>
      </c>
      <c r="B603" t="str" cm="1">
        <f t="array" ref="B60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03" s="6">
        <v>45676.291666666664</v>
      </c>
      <c r="D603" t="str">
        <f t="shared" si="27"/>
        <v>Sunday</v>
      </c>
      <c r="E603" s="6">
        <v>45676.416666666664</v>
      </c>
      <c r="F603" s="6" t="str">
        <f t="shared" si="28"/>
        <v>Sunday</v>
      </c>
      <c r="G603" t="str">
        <f>IF(COUNTIF(INDEX(SkiResort_ParkingRevenue_Raw[License Plate],1):SkiResort_ParkingRevenue_Raw[[#This Row],[License Plate]],SkiResort_ParkingRevenue_Raw[[#This Row],[License Plate]])=1,"New","Returning")</f>
        <v>Returning</v>
      </c>
      <c r="H603">
        <v>24.99</v>
      </c>
      <c r="I603">
        <v>1</v>
      </c>
      <c r="J603" t="str">
        <f t="shared" si="29"/>
        <v>Weekends/Holiday Only</v>
      </c>
    </row>
    <row r="604" spans="1:10" x14ac:dyDescent="0.25">
      <c r="A604" t="s">
        <v>2287</v>
      </c>
      <c r="B604" t="str" cm="1">
        <f t="array" ref="B60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04" s="6">
        <v>45682.291666666664</v>
      </c>
      <c r="D604" t="str">
        <f t="shared" si="27"/>
        <v>Saturday</v>
      </c>
      <c r="E604" s="6">
        <v>45682.416666666664</v>
      </c>
      <c r="F604" s="6" t="str">
        <f t="shared" si="28"/>
        <v>Saturday</v>
      </c>
      <c r="G604" t="str">
        <f>IF(COUNTIF(INDEX(SkiResort_ParkingRevenue_Raw[License Plate],1):SkiResort_ParkingRevenue_Raw[[#This Row],[License Plate]],SkiResort_ParkingRevenue_Raw[[#This Row],[License Plate]])=1,"New","Returning")</f>
        <v>New</v>
      </c>
      <c r="H604">
        <v>24.99</v>
      </c>
      <c r="I604">
        <v>1</v>
      </c>
      <c r="J604" t="str">
        <f t="shared" si="29"/>
        <v>Weekends/Holiday Only</v>
      </c>
    </row>
    <row r="605" spans="1:10" x14ac:dyDescent="0.25">
      <c r="A605" t="s">
        <v>2307</v>
      </c>
      <c r="B605" t="str" cm="1">
        <f t="array" ref="B60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05" s="6">
        <v>45682.291666666664</v>
      </c>
      <c r="D605" t="str">
        <f t="shared" si="27"/>
        <v>Saturday</v>
      </c>
      <c r="E605" s="6">
        <v>45682.416666666664</v>
      </c>
      <c r="F605" s="6" t="str">
        <f t="shared" si="28"/>
        <v>Saturday</v>
      </c>
      <c r="G605" t="str">
        <f>IF(COUNTIF(INDEX(SkiResort_ParkingRevenue_Raw[License Plate],1):SkiResort_ParkingRevenue_Raw[[#This Row],[License Plate]],SkiResort_ParkingRevenue_Raw[[#This Row],[License Plate]])=1,"New","Returning")</f>
        <v>Returning</v>
      </c>
      <c r="H605">
        <v>24.99</v>
      </c>
      <c r="I605">
        <v>1</v>
      </c>
      <c r="J605" t="str">
        <f t="shared" si="29"/>
        <v>Weekends/Holiday Only</v>
      </c>
    </row>
    <row r="606" spans="1:10" x14ac:dyDescent="0.25">
      <c r="A606" t="s">
        <v>2334</v>
      </c>
      <c r="B606" t="str" cm="1">
        <f t="array" ref="B60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06" s="6">
        <v>45682.291666666664</v>
      </c>
      <c r="D606" t="str">
        <f t="shared" si="27"/>
        <v>Saturday</v>
      </c>
      <c r="E606" s="6">
        <v>45682.416666666664</v>
      </c>
      <c r="F606" s="6" t="str">
        <f t="shared" si="28"/>
        <v>Saturday</v>
      </c>
      <c r="G606" t="str">
        <f>IF(COUNTIF(INDEX(SkiResort_ParkingRevenue_Raw[License Plate],1):SkiResort_ParkingRevenue_Raw[[#This Row],[License Plate]],SkiResort_ParkingRevenue_Raw[[#This Row],[License Plate]])=1,"New","Returning")</f>
        <v>Returning</v>
      </c>
      <c r="H606">
        <v>24.99</v>
      </c>
      <c r="I606">
        <v>1</v>
      </c>
      <c r="J606" t="str">
        <f t="shared" si="29"/>
        <v>Weekends/Holiday Only</v>
      </c>
    </row>
    <row r="607" spans="1:10" x14ac:dyDescent="0.25">
      <c r="A607" t="s">
        <v>2341</v>
      </c>
      <c r="B607" t="str" cm="1">
        <f t="array" ref="B60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07" s="6">
        <v>45682.291666666664</v>
      </c>
      <c r="D607" t="str">
        <f t="shared" si="27"/>
        <v>Saturday</v>
      </c>
      <c r="E607" s="6">
        <v>45682.416666666664</v>
      </c>
      <c r="F607" s="6" t="str">
        <f t="shared" si="28"/>
        <v>Saturday</v>
      </c>
      <c r="G607" t="str">
        <f>IF(COUNTIF(INDEX(SkiResort_ParkingRevenue_Raw[License Plate],1):SkiResort_ParkingRevenue_Raw[[#This Row],[License Plate]],SkiResort_ParkingRevenue_Raw[[#This Row],[License Plate]])=1,"New","Returning")</f>
        <v>New</v>
      </c>
      <c r="H607">
        <v>24.99</v>
      </c>
      <c r="I607">
        <v>1</v>
      </c>
      <c r="J607" t="str">
        <f t="shared" si="29"/>
        <v>Weekends/Holiday Only</v>
      </c>
    </row>
    <row r="608" spans="1:10" x14ac:dyDescent="0.25">
      <c r="A608" t="s">
        <v>2346</v>
      </c>
      <c r="B608" t="str" cm="1">
        <f t="array" ref="B60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08" s="6">
        <v>45682.291666666664</v>
      </c>
      <c r="D608" t="str">
        <f t="shared" si="27"/>
        <v>Saturday</v>
      </c>
      <c r="E608" s="6">
        <v>45682.416666666664</v>
      </c>
      <c r="F608" s="6" t="str">
        <f t="shared" si="28"/>
        <v>Saturday</v>
      </c>
      <c r="G608" t="str">
        <f>IF(COUNTIF(INDEX(SkiResort_ParkingRevenue_Raw[License Plate],1):SkiResort_ParkingRevenue_Raw[[#This Row],[License Plate]],SkiResort_ParkingRevenue_Raw[[#This Row],[License Plate]])=1,"New","Returning")</f>
        <v>New</v>
      </c>
      <c r="H608">
        <v>24.99</v>
      </c>
      <c r="I608">
        <v>1</v>
      </c>
      <c r="J608" t="str">
        <f t="shared" si="29"/>
        <v>Weekends/Holiday Only</v>
      </c>
    </row>
    <row r="609" spans="1:10" x14ac:dyDescent="0.25">
      <c r="A609" t="s">
        <v>2352</v>
      </c>
      <c r="B609" t="str" cm="1">
        <f t="array" ref="B60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09" s="6">
        <v>45682.291666666664</v>
      </c>
      <c r="D609" t="str">
        <f t="shared" si="27"/>
        <v>Saturday</v>
      </c>
      <c r="E609" s="6">
        <v>45682.416666666664</v>
      </c>
      <c r="F609" s="6" t="str">
        <f t="shared" si="28"/>
        <v>Saturday</v>
      </c>
      <c r="G609" t="str">
        <f>IF(COUNTIF(INDEX(SkiResort_ParkingRevenue_Raw[License Plate],1):SkiResort_ParkingRevenue_Raw[[#This Row],[License Plate]],SkiResort_ParkingRevenue_Raw[[#This Row],[License Plate]])=1,"New","Returning")</f>
        <v>Returning</v>
      </c>
      <c r="H609">
        <v>24.99</v>
      </c>
      <c r="I609">
        <v>1</v>
      </c>
      <c r="J609" t="str">
        <f t="shared" si="29"/>
        <v>Weekends/Holiday Only</v>
      </c>
    </row>
    <row r="610" spans="1:10" x14ac:dyDescent="0.25">
      <c r="A610" t="s">
        <v>2354</v>
      </c>
      <c r="B610" t="str" cm="1">
        <f t="array" ref="B61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10" s="6">
        <v>45682.44258101852</v>
      </c>
      <c r="D610" t="str">
        <f t="shared" si="27"/>
        <v>Saturday</v>
      </c>
      <c r="E610" s="6">
        <v>45682.416666666664</v>
      </c>
      <c r="F610" s="6" t="str">
        <f t="shared" si="28"/>
        <v>Saturday</v>
      </c>
      <c r="G610" t="str">
        <f>IF(COUNTIF(INDEX(SkiResort_ParkingRevenue_Raw[License Plate],1):SkiResort_ParkingRevenue_Raw[[#This Row],[License Plate]],SkiResort_ParkingRevenue_Raw[[#This Row],[License Plate]])=1,"New","Returning")</f>
        <v>New</v>
      </c>
      <c r="H610">
        <v>24.99</v>
      </c>
      <c r="I610">
        <v>1</v>
      </c>
      <c r="J610" t="str">
        <f t="shared" si="29"/>
        <v>Weekends/Holiday Only</v>
      </c>
    </row>
    <row r="611" spans="1:10" x14ac:dyDescent="0.25">
      <c r="A611" t="s">
        <v>2359</v>
      </c>
      <c r="B611" t="str" cm="1">
        <f t="array" ref="B61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11" s="6">
        <v>45682.509594907409</v>
      </c>
      <c r="D611" t="str">
        <f t="shared" si="27"/>
        <v>Saturday</v>
      </c>
      <c r="E611" s="6">
        <v>45682.416666666664</v>
      </c>
      <c r="F611" s="6" t="str">
        <f t="shared" si="28"/>
        <v>Saturday</v>
      </c>
      <c r="G611" t="str">
        <f>IF(COUNTIF(INDEX(SkiResort_ParkingRevenue_Raw[License Plate],1):SkiResort_ParkingRevenue_Raw[[#This Row],[License Plate]],SkiResort_ParkingRevenue_Raw[[#This Row],[License Plate]])=1,"New","Returning")</f>
        <v>New</v>
      </c>
      <c r="H611">
        <v>24.99</v>
      </c>
      <c r="I611">
        <v>1</v>
      </c>
      <c r="J611" t="str">
        <f t="shared" si="29"/>
        <v>Weekends/Holiday Only</v>
      </c>
    </row>
    <row r="612" spans="1:10" x14ac:dyDescent="0.25">
      <c r="A612" t="s">
        <v>2362</v>
      </c>
      <c r="B612" t="str" cm="1">
        <f t="array" ref="B61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12" s="6">
        <v>45683.291666666664</v>
      </c>
      <c r="D612" t="str">
        <f t="shared" si="27"/>
        <v>Sunday</v>
      </c>
      <c r="E612" s="6">
        <v>45683.416666666664</v>
      </c>
      <c r="F612" s="6" t="str">
        <f t="shared" si="28"/>
        <v>Sunday</v>
      </c>
      <c r="G612" t="str">
        <f>IF(COUNTIF(INDEX(SkiResort_ParkingRevenue_Raw[License Plate],1):SkiResort_ParkingRevenue_Raw[[#This Row],[License Plate]],SkiResort_ParkingRevenue_Raw[[#This Row],[License Plate]])=1,"New","Returning")</f>
        <v>New</v>
      </c>
      <c r="H612">
        <v>24.99</v>
      </c>
      <c r="I612">
        <v>1</v>
      </c>
      <c r="J612" t="str">
        <f t="shared" si="29"/>
        <v>Weekends/Holiday Only</v>
      </c>
    </row>
    <row r="613" spans="1:10" x14ac:dyDescent="0.25">
      <c r="A613" t="s">
        <v>2368</v>
      </c>
      <c r="B613" t="str" cm="1">
        <f t="array" ref="B61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13" s="6">
        <v>45683.334467592591</v>
      </c>
      <c r="D613" t="str">
        <f t="shared" si="27"/>
        <v>Sunday</v>
      </c>
      <c r="E613" s="6">
        <v>45683.416666666664</v>
      </c>
      <c r="F613" s="6" t="str">
        <f t="shared" si="28"/>
        <v>Sunday</v>
      </c>
      <c r="G613" t="str">
        <f>IF(COUNTIF(INDEX(SkiResort_ParkingRevenue_Raw[License Plate],1):SkiResort_ParkingRevenue_Raw[[#This Row],[License Plate]],SkiResort_ParkingRevenue_Raw[[#This Row],[License Plate]])=1,"New","Returning")</f>
        <v>New</v>
      </c>
      <c r="H613">
        <v>24.99</v>
      </c>
      <c r="I613">
        <v>1</v>
      </c>
      <c r="J613" t="str">
        <f t="shared" si="29"/>
        <v>Weekends/Holiday Only</v>
      </c>
    </row>
    <row r="614" spans="1:10" x14ac:dyDescent="0.25">
      <c r="A614" t="s">
        <v>2371</v>
      </c>
      <c r="B614" t="str" cm="1">
        <f t="array" ref="B61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14" s="6">
        <v>45683.381006944444</v>
      </c>
      <c r="D614" t="str">
        <f t="shared" si="27"/>
        <v>Sunday</v>
      </c>
      <c r="E614" s="6">
        <v>45683.416666666664</v>
      </c>
      <c r="F614" s="6" t="str">
        <f t="shared" si="28"/>
        <v>Sunday</v>
      </c>
      <c r="G614" t="str">
        <f>IF(COUNTIF(INDEX(SkiResort_ParkingRevenue_Raw[License Plate],1):SkiResort_ParkingRevenue_Raw[[#This Row],[License Plate]],SkiResort_ParkingRevenue_Raw[[#This Row],[License Plate]])=1,"New","Returning")</f>
        <v>New</v>
      </c>
      <c r="H614">
        <v>24.99</v>
      </c>
      <c r="I614">
        <v>1</v>
      </c>
      <c r="J614" t="str">
        <f t="shared" si="29"/>
        <v>Weekends/Holiday Only</v>
      </c>
    </row>
    <row r="615" spans="1:10" x14ac:dyDescent="0.25">
      <c r="A615" t="s">
        <v>2376</v>
      </c>
      <c r="B615" t="str" cm="1">
        <f t="array" ref="B61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15" s="6">
        <v>45683.420451388891</v>
      </c>
      <c r="D615" t="str">
        <f t="shared" si="27"/>
        <v>Sunday</v>
      </c>
      <c r="E615" s="6">
        <v>45683.416666666664</v>
      </c>
      <c r="F615" s="6" t="str">
        <f t="shared" si="28"/>
        <v>Sunday</v>
      </c>
      <c r="G615" t="str">
        <f>IF(COUNTIF(INDEX(SkiResort_ParkingRevenue_Raw[License Plate],1):SkiResort_ParkingRevenue_Raw[[#This Row],[License Plate]],SkiResort_ParkingRevenue_Raw[[#This Row],[License Plate]])=1,"New","Returning")</f>
        <v>Returning</v>
      </c>
      <c r="H615">
        <v>24.99</v>
      </c>
      <c r="I615">
        <v>1</v>
      </c>
      <c r="J615" t="str">
        <f t="shared" si="29"/>
        <v>Weekends/Holiday Only</v>
      </c>
    </row>
    <row r="616" spans="1:10" x14ac:dyDescent="0.25">
      <c r="A616" t="s">
        <v>2378</v>
      </c>
      <c r="B616" t="str" cm="1">
        <f t="array" ref="B61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16" s="6">
        <v>45683.422546296293</v>
      </c>
      <c r="D616" t="str">
        <f t="shared" si="27"/>
        <v>Sunday</v>
      </c>
      <c r="E616" s="6">
        <v>45683.416666666664</v>
      </c>
      <c r="F616" s="6" t="str">
        <f t="shared" si="28"/>
        <v>Sunday</v>
      </c>
      <c r="G616" t="str">
        <f>IF(COUNTIF(INDEX(SkiResort_ParkingRevenue_Raw[License Plate],1):SkiResort_ParkingRevenue_Raw[[#This Row],[License Plate]],SkiResort_ParkingRevenue_Raw[[#This Row],[License Plate]])=1,"New","Returning")</f>
        <v>Returning</v>
      </c>
      <c r="H616">
        <v>24.99</v>
      </c>
      <c r="I616">
        <v>1</v>
      </c>
      <c r="J616" t="str">
        <f t="shared" si="29"/>
        <v>Weekends/Holiday Only</v>
      </c>
    </row>
    <row r="617" spans="1:10" x14ac:dyDescent="0.25">
      <c r="A617" t="s">
        <v>2336</v>
      </c>
      <c r="B617" t="str" cm="1">
        <f t="array" ref="B61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17" s="6">
        <v>45688.291666666664</v>
      </c>
      <c r="D617" t="str">
        <f t="shared" si="27"/>
        <v>Friday</v>
      </c>
      <c r="E617" s="6">
        <v>45688.416666666664</v>
      </c>
      <c r="F617" s="6" t="str">
        <f t="shared" si="28"/>
        <v>Friday</v>
      </c>
      <c r="G617" t="str">
        <f>IF(COUNTIF(INDEX(SkiResort_ParkingRevenue_Raw[License Plate],1):SkiResort_ParkingRevenue_Raw[[#This Row],[License Plate]],SkiResort_ParkingRevenue_Raw[[#This Row],[License Plate]])=1,"New","Returning")</f>
        <v>New</v>
      </c>
      <c r="H617">
        <v>24.99</v>
      </c>
      <c r="I617">
        <v>1</v>
      </c>
      <c r="J617" t="str">
        <f t="shared" si="29"/>
        <v>Weekends/Holiday Only</v>
      </c>
    </row>
    <row r="618" spans="1:10" x14ac:dyDescent="0.25">
      <c r="A618" t="s">
        <v>2380</v>
      </c>
      <c r="B618" t="str" cm="1">
        <f t="array" ref="B61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18" s="6">
        <v>45688.291666666664</v>
      </c>
      <c r="D618" t="str">
        <f t="shared" si="27"/>
        <v>Friday</v>
      </c>
      <c r="E618" s="6">
        <v>45688.416666666664</v>
      </c>
      <c r="F618" s="6" t="str">
        <f t="shared" si="28"/>
        <v>Friday</v>
      </c>
      <c r="G618" t="str">
        <f>IF(COUNTIF(INDEX(SkiResort_ParkingRevenue_Raw[License Plate],1):SkiResort_ParkingRevenue_Raw[[#This Row],[License Plate]],SkiResort_ParkingRevenue_Raw[[#This Row],[License Plate]])=1,"New","Returning")</f>
        <v>New</v>
      </c>
      <c r="H618">
        <v>24.99</v>
      </c>
      <c r="I618">
        <v>1</v>
      </c>
      <c r="J618" t="str">
        <f t="shared" si="29"/>
        <v>Weekends/Holiday Only</v>
      </c>
    </row>
    <row r="619" spans="1:10" x14ac:dyDescent="0.25">
      <c r="A619" t="s">
        <v>2386</v>
      </c>
      <c r="B619" t="str" cm="1">
        <f t="array" ref="B61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19" s="6">
        <v>45688.291666666664</v>
      </c>
      <c r="D619" t="str">
        <f t="shared" si="27"/>
        <v>Friday</v>
      </c>
      <c r="E619" s="6">
        <v>45688.416666666664</v>
      </c>
      <c r="F619" s="6" t="str">
        <f t="shared" si="28"/>
        <v>Friday</v>
      </c>
      <c r="G619" t="str">
        <f>IF(COUNTIF(INDEX(SkiResort_ParkingRevenue_Raw[License Plate],1):SkiResort_ParkingRevenue_Raw[[#This Row],[License Plate]],SkiResort_ParkingRevenue_Raw[[#This Row],[License Plate]])=1,"New","Returning")</f>
        <v>Returning</v>
      </c>
      <c r="H619">
        <v>24.99</v>
      </c>
      <c r="I619">
        <v>1</v>
      </c>
      <c r="J619" t="str">
        <f t="shared" si="29"/>
        <v>Weekends/Holiday Only</v>
      </c>
    </row>
    <row r="620" spans="1:10" x14ac:dyDescent="0.25">
      <c r="A620" t="s">
        <v>2403</v>
      </c>
      <c r="B620" t="str" cm="1">
        <f t="array" ref="B62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20" s="6">
        <v>45689.291666666664</v>
      </c>
      <c r="D620" t="str">
        <f t="shared" si="27"/>
        <v>Saturday</v>
      </c>
      <c r="E620" s="6">
        <v>45689.416666666664</v>
      </c>
      <c r="F620" s="6" t="str">
        <f t="shared" si="28"/>
        <v>Saturday</v>
      </c>
      <c r="G620" t="str">
        <f>IF(COUNTIF(INDEX(SkiResort_ParkingRevenue_Raw[License Plate],1):SkiResort_ParkingRevenue_Raw[[#This Row],[License Plate]],SkiResort_ParkingRevenue_Raw[[#This Row],[License Plate]])=1,"New","Returning")</f>
        <v>New</v>
      </c>
      <c r="H620">
        <v>24.99</v>
      </c>
      <c r="I620">
        <v>1</v>
      </c>
      <c r="J620" t="str">
        <f t="shared" si="29"/>
        <v>Weekends/Holiday Only</v>
      </c>
    </row>
    <row r="621" spans="1:10" x14ac:dyDescent="0.25">
      <c r="A621" t="s">
        <v>2413</v>
      </c>
      <c r="B621" t="str" cm="1">
        <f t="array" ref="B62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21" s="6">
        <v>45689.291666666664</v>
      </c>
      <c r="D621" t="str">
        <f t="shared" si="27"/>
        <v>Saturday</v>
      </c>
      <c r="E621" s="6">
        <v>45689.416666666664</v>
      </c>
      <c r="F621" s="6" t="str">
        <f t="shared" si="28"/>
        <v>Saturday</v>
      </c>
      <c r="G621" t="str">
        <f>IF(COUNTIF(INDEX(SkiResort_ParkingRevenue_Raw[License Plate],1):SkiResort_ParkingRevenue_Raw[[#This Row],[License Plate]],SkiResort_ParkingRevenue_Raw[[#This Row],[License Plate]])=1,"New","Returning")</f>
        <v>Returning</v>
      </c>
      <c r="H621">
        <v>24.99</v>
      </c>
      <c r="I621">
        <v>1</v>
      </c>
      <c r="J621" t="str">
        <f t="shared" si="29"/>
        <v>Weekends/Holiday Only</v>
      </c>
    </row>
    <row r="622" spans="1:10" x14ac:dyDescent="0.25">
      <c r="A622" t="s">
        <v>2415</v>
      </c>
      <c r="B622" t="str" cm="1">
        <f t="array" ref="B62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22" s="6">
        <v>45689.291666666664</v>
      </c>
      <c r="D622" t="str">
        <f t="shared" si="27"/>
        <v>Saturday</v>
      </c>
      <c r="E622" s="6">
        <v>45689.416666666664</v>
      </c>
      <c r="F622" s="6" t="str">
        <f t="shared" si="28"/>
        <v>Saturday</v>
      </c>
      <c r="G622" t="str">
        <f>IF(COUNTIF(INDEX(SkiResort_ParkingRevenue_Raw[License Plate],1):SkiResort_ParkingRevenue_Raw[[#This Row],[License Plate]],SkiResort_ParkingRevenue_Raw[[#This Row],[License Plate]])=1,"New","Returning")</f>
        <v>Returning</v>
      </c>
      <c r="H622">
        <v>24.99</v>
      </c>
      <c r="I622">
        <v>1</v>
      </c>
      <c r="J622" t="str">
        <f t="shared" si="29"/>
        <v>Weekends/Holiday Only</v>
      </c>
    </row>
    <row r="623" spans="1:10" x14ac:dyDescent="0.25">
      <c r="A623" t="s">
        <v>2419</v>
      </c>
      <c r="B623" t="str" cm="1">
        <f t="array" ref="B62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23" s="6">
        <v>45695.291666666664</v>
      </c>
      <c r="D623" t="str">
        <f t="shared" si="27"/>
        <v>Friday</v>
      </c>
      <c r="E623" s="6">
        <v>45695.416666666664</v>
      </c>
      <c r="F623" s="6" t="str">
        <f t="shared" si="28"/>
        <v>Friday</v>
      </c>
      <c r="G623" t="str">
        <f>IF(COUNTIF(INDEX(SkiResort_ParkingRevenue_Raw[License Plate],1):SkiResort_ParkingRevenue_Raw[[#This Row],[License Plate]],SkiResort_ParkingRevenue_Raw[[#This Row],[License Plate]])=1,"New","Returning")</f>
        <v>Returning</v>
      </c>
      <c r="H623">
        <v>24.99</v>
      </c>
      <c r="I623">
        <v>1</v>
      </c>
      <c r="J623" t="str">
        <f t="shared" si="29"/>
        <v>Weekends/Holiday Only</v>
      </c>
    </row>
    <row r="624" spans="1:10" x14ac:dyDescent="0.25">
      <c r="A624" t="s">
        <v>2408</v>
      </c>
      <c r="B624" t="str" cm="1">
        <f t="array" ref="B62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24" s="6">
        <v>45703.291666666664</v>
      </c>
      <c r="D624" t="str">
        <f t="shared" si="27"/>
        <v>Saturday</v>
      </c>
      <c r="E624" s="6">
        <v>45703.416666666664</v>
      </c>
      <c r="F624" s="6" t="str">
        <f t="shared" si="28"/>
        <v>Saturday</v>
      </c>
      <c r="G624" t="str">
        <f>IF(COUNTIF(INDEX(SkiResort_ParkingRevenue_Raw[License Plate],1):SkiResort_ParkingRevenue_Raw[[#This Row],[License Plate]],SkiResort_ParkingRevenue_Raw[[#This Row],[License Plate]])=1,"New","Returning")</f>
        <v>New</v>
      </c>
      <c r="H624">
        <v>24.99</v>
      </c>
      <c r="I624">
        <v>1</v>
      </c>
      <c r="J624" t="str">
        <f t="shared" si="29"/>
        <v>Weekends/Holiday Only</v>
      </c>
    </row>
    <row r="625" spans="1:10" x14ac:dyDescent="0.25">
      <c r="A625" t="s">
        <v>2417</v>
      </c>
      <c r="B625" t="str" cm="1">
        <f t="array" ref="B62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25" s="6">
        <v>45704.291666666664</v>
      </c>
      <c r="D625" t="str">
        <f t="shared" si="27"/>
        <v>Sunday</v>
      </c>
      <c r="E625" s="6">
        <v>45704.416666666664</v>
      </c>
      <c r="F625" s="6" t="str">
        <f t="shared" si="28"/>
        <v>Sunday</v>
      </c>
      <c r="G625" t="str">
        <f>IF(COUNTIF(INDEX(SkiResort_ParkingRevenue_Raw[License Plate],1):SkiResort_ParkingRevenue_Raw[[#This Row],[License Plate]],SkiResort_ParkingRevenue_Raw[[#This Row],[License Plate]])=1,"New","Returning")</f>
        <v>Returning</v>
      </c>
      <c r="H625">
        <v>24.99</v>
      </c>
      <c r="I625">
        <v>1</v>
      </c>
      <c r="J625" t="str">
        <f t="shared" si="29"/>
        <v>Weekends/Holiday Only</v>
      </c>
    </row>
    <row r="626" spans="1:10" x14ac:dyDescent="0.25">
      <c r="A626" t="s">
        <v>2421</v>
      </c>
      <c r="B626" t="str" cm="1">
        <f t="array" ref="B62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26" s="6">
        <v>45704.291666666664</v>
      </c>
      <c r="D626" t="str">
        <f t="shared" si="27"/>
        <v>Sunday</v>
      </c>
      <c r="E626" s="6">
        <v>45704.416666666664</v>
      </c>
      <c r="F626" s="6" t="str">
        <f t="shared" si="28"/>
        <v>Sunday</v>
      </c>
      <c r="G626" t="str">
        <f>IF(COUNTIF(INDEX(SkiResort_ParkingRevenue_Raw[License Plate],1):SkiResort_ParkingRevenue_Raw[[#This Row],[License Plate]],SkiResort_ParkingRevenue_Raw[[#This Row],[License Plate]])=1,"New","Returning")</f>
        <v>Returning</v>
      </c>
      <c r="H626">
        <v>24.99</v>
      </c>
      <c r="I626">
        <v>1</v>
      </c>
      <c r="J626" t="str">
        <f t="shared" si="29"/>
        <v>Weekends/Holiday Only</v>
      </c>
    </row>
    <row r="627" spans="1:10" x14ac:dyDescent="0.25">
      <c r="A627" t="s">
        <v>2423</v>
      </c>
      <c r="B627" t="str" cm="1">
        <f t="array" ref="B62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27" s="6">
        <v>45704.291666666664</v>
      </c>
      <c r="D627" t="str">
        <f t="shared" si="27"/>
        <v>Sunday</v>
      </c>
      <c r="E627" s="6">
        <v>45704.416666666664</v>
      </c>
      <c r="F627" s="6" t="str">
        <f t="shared" si="28"/>
        <v>Sunday</v>
      </c>
      <c r="G627" t="str">
        <f>IF(COUNTIF(INDEX(SkiResort_ParkingRevenue_Raw[License Plate],1):SkiResort_ParkingRevenue_Raw[[#This Row],[License Plate]],SkiResort_ParkingRevenue_Raw[[#This Row],[License Plate]])=1,"New","Returning")</f>
        <v>New</v>
      </c>
      <c r="H627">
        <v>24.99</v>
      </c>
      <c r="I627">
        <v>1</v>
      </c>
      <c r="J627" t="str">
        <f t="shared" si="29"/>
        <v>Weekends/Holiday Only</v>
      </c>
    </row>
    <row r="628" spans="1:10" x14ac:dyDescent="0.25">
      <c r="A628" t="s">
        <v>2428</v>
      </c>
      <c r="B628" t="str" cm="1">
        <f t="array" ref="B62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28" s="6">
        <v>45704.291666666664</v>
      </c>
      <c r="D628" t="str">
        <f t="shared" si="27"/>
        <v>Sunday</v>
      </c>
      <c r="E628" s="6">
        <v>45704.416666666664</v>
      </c>
      <c r="F628" s="6" t="str">
        <f t="shared" si="28"/>
        <v>Sunday</v>
      </c>
      <c r="G628" t="str">
        <f>IF(COUNTIF(INDEX(SkiResort_ParkingRevenue_Raw[License Plate],1):SkiResort_ParkingRevenue_Raw[[#This Row],[License Plate]],SkiResort_ParkingRevenue_Raw[[#This Row],[License Plate]])=1,"New","Returning")</f>
        <v>Returning</v>
      </c>
      <c r="H628">
        <v>24.99</v>
      </c>
      <c r="I628">
        <v>1</v>
      </c>
      <c r="J628" t="str">
        <f t="shared" si="29"/>
        <v>Weekends/Holiday Only</v>
      </c>
    </row>
    <row r="629" spans="1:10" x14ac:dyDescent="0.25">
      <c r="A629" t="s">
        <v>2444</v>
      </c>
      <c r="B629" t="str" cm="1">
        <f t="array" ref="B62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29" s="6">
        <v>45705.291666666664</v>
      </c>
      <c r="D629" t="str">
        <f t="shared" si="27"/>
        <v>Monday</v>
      </c>
      <c r="E629" s="6">
        <v>45705.416666666664</v>
      </c>
      <c r="F629" s="6" t="str">
        <f t="shared" si="28"/>
        <v>Monday</v>
      </c>
      <c r="G629" t="str">
        <f>IF(COUNTIF(INDEX(SkiResort_ParkingRevenue_Raw[License Plate],1):SkiResort_ParkingRevenue_Raw[[#This Row],[License Plate]],SkiResort_ParkingRevenue_Raw[[#This Row],[License Plate]])=1,"New","Returning")</f>
        <v>New</v>
      </c>
      <c r="H629">
        <v>24.99</v>
      </c>
      <c r="I629">
        <v>1</v>
      </c>
      <c r="J629" t="str">
        <f t="shared" si="29"/>
        <v>Weekends/Holiday Only</v>
      </c>
    </row>
    <row r="630" spans="1:10" x14ac:dyDescent="0.25">
      <c r="A630" t="s">
        <v>2430</v>
      </c>
      <c r="B630" t="str" cm="1">
        <f t="array" ref="B63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30" s="6">
        <v>45710.291666666664</v>
      </c>
      <c r="D630" t="str">
        <f t="shared" si="27"/>
        <v>Saturday</v>
      </c>
      <c r="E630" s="6">
        <v>45710.416666666664</v>
      </c>
      <c r="F630" s="6" t="str">
        <f t="shared" si="28"/>
        <v>Saturday</v>
      </c>
      <c r="G630" t="str">
        <f>IF(COUNTIF(INDEX(SkiResort_ParkingRevenue_Raw[License Plate],1):SkiResort_ParkingRevenue_Raw[[#This Row],[License Plate]],SkiResort_ParkingRevenue_Raw[[#This Row],[License Plate]])=1,"New","Returning")</f>
        <v>New</v>
      </c>
      <c r="H630">
        <v>49.98</v>
      </c>
      <c r="I630">
        <v>2</v>
      </c>
      <c r="J630" t="str">
        <f t="shared" si="29"/>
        <v>Weekends/Holiday Only</v>
      </c>
    </row>
    <row r="631" spans="1:10" x14ac:dyDescent="0.25">
      <c r="A631" t="s">
        <v>2437</v>
      </c>
      <c r="B631" t="str" cm="1">
        <f t="array" ref="B63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31" s="6">
        <v>45710.291666666664</v>
      </c>
      <c r="D631" t="str">
        <f t="shared" si="27"/>
        <v>Saturday</v>
      </c>
      <c r="E631" s="6">
        <v>45710.416666666664</v>
      </c>
      <c r="F631" s="6" t="str">
        <f t="shared" si="28"/>
        <v>Saturday</v>
      </c>
      <c r="G631" t="str">
        <f>IF(COUNTIF(INDEX(SkiResort_ParkingRevenue_Raw[License Plate],1):SkiResort_ParkingRevenue_Raw[[#This Row],[License Plate]],SkiResort_ParkingRevenue_Raw[[#This Row],[License Plate]])=1,"New","Returning")</f>
        <v>Returning</v>
      </c>
      <c r="H631">
        <v>24.99</v>
      </c>
      <c r="I631">
        <v>1</v>
      </c>
      <c r="J631" t="str">
        <f t="shared" si="29"/>
        <v>Weekends/Holiday Only</v>
      </c>
    </row>
    <row r="632" spans="1:10" x14ac:dyDescent="0.25">
      <c r="A632" t="s">
        <v>2439</v>
      </c>
      <c r="B632" t="str" cm="1">
        <f t="array" ref="B63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32" s="6">
        <v>45710.291666666664</v>
      </c>
      <c r="D632" t="str">
        <f t="shared" si="27"/>
        <v>Saturday</v>
      </c>
      <c r="E632" s="6">
        <v>45710.416666666664</v>
      </c>
      <c r="F632" s="6" t="str">
        <f t="shared" si="28"/>
        <v>Saturday</v>
      </c>
      <c r="G632" t="str">
        <f>IF(COUNTIF(INDEX(SkiResort_ParkingRevenue_Raw[License Plate],1):SkiResort_ParkingRevenue_Raw[[#This Row],[License Plate]],SkiResort_ParkingRevenue_Raw[[#This Row],[License Plate]])=1,"New","Returning")</f>
        <v>New</v>
      </c>
      <c r="H632">
        <v>24.99</v>
      </c>
      <c r="I632">
        <v>1</v>
      </c>
      <c r="J632" t="str">
        <f t="shared" si="29"/>
        <v>Weekends/Holiday Only</v>
      </c>
    </row>
    <row r="633" spans="1:10" x14ac:dyDescent="0.25">
      <c r="A633" t="s">
        <v>2436</v>
      </c>
      <c r="B633" t="str" cm="1">
        <f t="array" ref="B63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33" s="6">
        <v>45711.291666666664</v>
      </c>
      <c r="D633" t="str">
        <f t="shared" si="27"/>
        <v>Sunday</v>
      </c>
      <c r="E633" s="6">
        <v>45711.416666666664</v>
      </c>
      <c r="F633" s="6" t="str">
        <f t="shared" si="28"/>
        <v>Sunday</v>
      </c>
      <c r="G633" t="str">
        <f>IF(COUNTIF(INDEX(SkiResort_ParkingRevenue_Raw[License Plate],1):SkiResort_ParkingRevenue_Raw[[#This Row],[License Plate]],SkiResort_ParkingRevenue_Raw[[#This Row],[License Plate]])=1,"New","Returning")</f>
        <v>Returning</v>
      </c>
      <c r="H633">
        <v>49.98</v>
      </c>
      <c r="I633">
        <v>2</v>
      </c>
      <c r="J633" t="str">
        <f t="shared" si="29"/>
        <v>Weekends/Holiday Only</v>
      </c>
    </row>
    <row r="634" spans="1:10" x14ac:dyDescent="0.25">
      <c r="A634" t="s">
        <v>2449</v>
      </c>
      <c r="B634" t="str" cm="1">
        <f t="array" ref="B63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34" s="6">
        <v>45716.291666666664</v>
      </c>
      <c r="D634" t="str">
        <f t="shared" si="27"/>
        <v>Friday</v>
      </c>
      <c r="E634" s="6">
        <v>45716.416666666664</v>
      </c>
      <c r="F634" s="6" t="str">
        <f t="shared" si="28"/>
        <v>Friday</v>
      </c>
      <c r="G634" t="str">
        <f>IF(COUNTIF(INDEX(SkiResort_ParkingRevenue_Raw[License Plate],1):SkiResort_ParkingRevenue_Raw[[#This Row],[License Plate]],SkiResort_ParkingRevenue_Raw[[#This Row],[License Plate]])=1,"New","Returning")</f>
        <v>New</v>
      </c>
      <c r="H634">
        <v>24.99</v>
      </c>
      <c r="I634">
        <v>1</v>
      </c>
      <c r="J634" t="str">
        <f t="shared" si="29"/>
        <v>Weekends/Holiday Only</v>
      </c>
    </row>
    <row r="635" spans="1:10" x14ac:dyDescent="0.25">
      <c r="A635" t="s">
        <v>2452</v>
      </c>
      <c r="B635" t="str" cm="1">
        <f t="array" ref="B63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35" s="6">
        <v>45716.291666666664</v>
      </c>
      <c r="D635" t="str">
        <f t="shared" si="27"/>
        <v>Friday</v>
      </c>
      <c r="E635" s="6">
        <v>45716.416666666664</v>
      </c>
      <c r="F635" s="6" t="str">
        <f t="shared" si="28"/>
        <v>Friday</v>
      </c>
      <c r="G635" t="str">
        <f>IF(COUNTIF(INDEX(SkiResort_ParkingRevenue_Raw[License Plate],1):SkiResort_ParkingRevenue_Raw[[#This Row],[License Plate]],SkiResort_ParkingRevenue_Raw[[#This Row],[License Plate]])=1,"New","Returning")</f>
        <v>Returning</v>
      </c>
      <c r="H635">
        <v>24.99</v>
      </c>
      <c r="I635">
        <v>1</v>
      </c>
      <c r="J635" t="str">
        <f t="shared" si="29"/>
        <v>Weekends/Holiday Only</v>
      </c>
    </row>
    <row r="636" spans="1:10" x14ac:dyDescent="0.25">
      <c r="A636" t="s">
        <v>2456</v>
      </c>
      <c r="B636" t="str" cm="1">
        <f t="array" ref="B63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36" s="6">
        <v>45723.291666666664</v>
      </c>
      <c r="D636" t="str">
        <f t="shared" si="27"/>
        <v>Friday</v>
      </c>
      <c r="E636" s="6">
        <v>45723.416666666664</v>
      </c>
      <c r="F636" s="6" t="str">
        <f t="shared" si="28"/>
        <v>Friday</v>
      </c>
      <c r="G636" t="str">
        <f>IF(COUNTIF(INDEX(SkiResort_ParkingRevenue_Raw[License Plate],1):SkiResort_ParkingRevenue_Raw[[#This Row],[License Plate]],SkiResort_ParkingRevenue_Raw[[#This Row],[License Plate]])=1,"New","Returning")</f>
        <v>New</v>
      </c>
      <c r="H636">
        <v>24.99</v>
      </c>
      <c r="I636">
        <v>1</v>
      </c>
      <c r="J636" t="str">
        <f t="shared" si="29"/>
        <v>Weekends/Holiday Only</v>
      </c>
    </row>
    <row r="637" spans="1:10" x14ac:dyDescent="0.25">
      <c r="A637" t="s">
        <v>2485</v>
      </c>
      <c r="B637" t="str" cm="1">
        <f t="array" ref="B63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37" s="6">
        <v>45724.291666666664</v>
      </c>
      <c r="D637" t="str">
        <f t="shared" si="27"/>
        <v>Saturday</v>
      </c>
      <c r="E637" s="6">
        <v>45724.416666666664</v>
      </c>
      <c r="F637" s="6" t="str">
        <f t="shared" si="28"/>
        <v>Saturday</v>
      </c>
      <c r="G637" t="str">
        <f>IF(COUNTIF(INDEX(SkiResort_ParkingRevenue_Raw[License Plate],1):SkiResort_ParkingRevenue_Raw[[#This Row],[License Plate]],SkiResort_ParkingRevenue_Raw[[#This Row],[License Plate]])=1,"New","Returning")</f>
        <v>New</v>
      </c>
      <c r="H637">
        <v>24.99</v>
      </c>
      <c r="I637">
        <v>1</v>
      </c>
      <c r="J637" t="str">
        <f t="shared" si="29"/>
        <v>Weekends/Holiday Only</v>
      </c>
    </row>
    <row r="638" spans="1:10" x14ac:dyDescent="0.25">
      <c r="A638" t="s">
        <v>2488</v>
      </c>
      <c r="B638" t="str" cm="1">
        <f t="array" ref="B63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38" s="6">
        <v>45725.291666666664</v>
      </c>
      <c r="D638" t="str">
        <f t="shared" si="27"/>
        <v>Sunday</v>
      </c>
      <c r="E638" s="6">
        <v>45725.416666666664</v>
      </c>
      <c r="F638" s="6" t="str">
        <f t="shared" si="28"/>
        <v>Sunday</v>
      </c>
      <c r="G638" t="str">
        <f>IF(COUNTIF(INDEX(SkiResort_ParkingRevenue_Raw[License Plate],1):SkiResort_ParkingRevenue_Raw[[#This Row],[License Plate]],SkiResort_ParkingRevenue_Raw[[#This Row],[License Plate]])=1,"New","Returning")</f>
        <v>New</v>
      </c>
      <c r="H638">
        <v>24.99</v>
      </c>
      <c r="I638">
        <v>1</v>
      </c>
      <c r="J638" t="str">
        <f t="shared" si="29"/>
        <v>Weekends/Holiday Only</v>
      </c>
    </row>
    <row r="639" spans="1:10" x14ac:dyDescent="0.25">
      <c r="A639" t="s">
        <v>2454</v>
      </c>
      <c r="B639" t="str" cm="1">
        <f t="array" ref="B63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39" s="6">
        <v>45731.291666666664</v>
      </c>
      <c r="D639" t="str">
        <f t="shared" si="27"/>
        <v>Saturday</v>
      </c>
      <c r="E639" s="6">
        <v>45731.416666666664</v>
      </c>
      <c r="F639" s="6" t="str">
        <f t="shared" si="28"/>
        <v>Saturday</v>
      </c>
      <c r="G639" t="str">
        <f>IF(COUNTIF(INDEX(SkiResort_ParkingRevenue_Raw[License Plate],1):SkiResort_ParkingRevenue_Raw[[#This Row],[License Plate]],SkiResort_ParkingRevenue_Raw[[#This Row],[License Plate]])=1,"New","Returning")</f>
        <v>Returning</v>
      </c>
      <c r="H639">
        <v>24.99</v>
      </c>
      <c r="I639">
        <v>1</v>
      </c>
      <c r="J639" t="str">
        <f t="shared" si="29"/>
        <v>Weekends/Holiday Only</v>
      </c>
    </row>
    <row r="640" spans="1:10" x14ac:dyDescent="0.25">
      <c r="A640" t="s">
        <v>2461</v>
      </c>
      <c r="B640" t="str" cm="1">
        <f t="array" ref="B64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40" s="6">
        <v>45731.291666666664</v>
      </c>
      <c r="D640" t="str">
        <f t="shared" si="27"/>
        <v>Saturday</v>
      </c>
      <c r="E640" s="6">
        <v>45731.416666666664</v>
      </c>
      <c r="F640" s="6" t="str">
        <f t="shared" si="28"/>
        <v>Saturday</v>
      </c>
      <c r="G640" t="str">
        <f>IF(COUNTIF(INDEX(SkiResort_ParkingRevenue_Raw[License Plate],1):SkiResort_ParkingRevenue_Raw[[#This Row],[License Plate]],SkiResort_ParkingRevenue_Raw[[#This Row],[License Plate]])=1,"New","Returning")</f>
        <v>New</v>
      </c>
      <c r="H640">
        <v>24.99</v>
      </c>
      <c r="I640">
        <v>1</v>
      </c>
      <c r="J640" t="str">
        <f t="shared" si="29"/>
        <v>Weekends/Holiday Only</v>
      </c>
    </row>
    <row r="641" spans="1:10" x14ac:dyDescent="0.25">
      <c r="A641" t="s">
        <v>2467</v>
      </c>
      <c r="B641" t="str" cm="1">
        <f t="array" ref="B64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41" s="6">
        <v>45731.291666666664</v>
      </c>
      <c r="D641" t="str">
        <f t="shared" si="27"/>
        <v>Saturday</v>
      </c>
      <c r="E641" s="6">
        <v>45731.416666666664</v>
      </c>
      <c r="F641" s="6" t="str">
        <f t="shared" si="28"/>
        <v>Saturday</v>
      </c>
      <c r="G641" t="str">
        <f>IF(COUNTIF(INDEX(SkiResort_ParkingRevenue_Raw[License Plate],1):SkiResort_ParkingRevenue_Raw[[#This Row],[License Plate]],SkiResort_ParkingRevenue_Raw[[#This Row],[License Plate]])=1,"New","Returning")</f>
        <v>New</v>
      </c>
      <c r="H641">
        <v>24.99</v>
      </c>
      <c r="I641">
        <v>1</v>
      </c>
      <c r="J641" t="str">
        <f t="shared" si="29"/>
        <v>Weekends/Holiday Only</v>
      </c>
    </row>
    <row r="642" spans="1:10" x14ac:dyDescent="0.25">
      <c r="A642" t="s">
        <v>2472</v>
      </c>
      <c r="B642" t="str" cm="1">
        <f t="array" ref="B64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42" s="6">
        <v>45731.291666666664</v>
      </c>
      <c r="D642" t="str">
        <f t="shared" ref="D642:D705" si="30">_xlfn.TEXTBEFORE(TEXT(C642, "dddd, mmmm dd, yyyy"), ",")</f>
        <v>Saturday</v>
      </c>
      <c r="E642" s="6">
        <v>45731.416666666664</v>
      </c>
      <c r="F642" s="6" t="str">
        <f t="shared" si="28"/>
        <v>Saturday</v>
      </c>
      <c r="G642" t="str">
        <f>IF(COUNTIF(INDEX(SkiResort_ParkingRevenue_Raw[License Plate],1):SkiResort_ParkingRevenue_Raw[[#This Row],[License Plate]],SkiResort_ParkingRevenue_Raw[[#This Row],[License Plate]])=1,"New","Returning")</f>
        <v>New</v>
      </c>
      <c r="H642">
        <v>24.99</v>
      </c>
      <c r="I642">
        <v>1</v>
      </c>
      <c r="J642" t="str">
        <f t="shared" si="29"/>
        <v>Weekends/Holiday Only</v>
      </c>
    </row>
    <row r="643" spans="1:10" x14ac:dyDescent="0.25">
      <c r="A643" t="s">
        <v>2477</v>
      </c>
      <c r="B643" t="str" cm="1">
        <f t="array" ref="B64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43" s="6">
        <v>45731.291666666664</v>
      </c>
      <c r="D643" t="str">
        <f t="shared" si="30"/>
        <v>Saturday</v>
      </c>
      <c r="E643" s="6">
        <v>45731.416666666664</v>
      </c>
      <c r="F643" s="6" t="str">
        <f t="shared" ref="F643:F706" si="31">_xlfn.TEXTBEFORE(TEXT(E643,"dddd, mmmm dd, yyyy"), ",")</f>
        <v>Saturday</v>
      </c>
      <c r="G643" t="str">
        <f>IF(COUNTIF(INDEX(SkiResort_ParkingRevenue_Raw[License Plate],1):SkiResort_ParkingRevenue_Raw[[#This Row],[License Plate]],SkiResort_ParkingRevenue_Raw[[#This Row],[License Plate]])=1,"New","Returning")</f>
        <v>New</v>
      </c>
      <c r="H643">
        <v>49.98</v>
      </c>
      <c r="I643">
        <v>2</v>
      </c>
      <c r="J643" t="str">
        <f t="shared" ref="J643:J706" si="32">IF(C643&lt;DATE(2025,1,17), "All Season", "Weekends/Holiday Only")</f>
        <v>Weekends/Holiday Only</v>
      </c>
    </row>
    <row r="644" spans="1:10" x14ac:dyDescent="0.25">
      <c r="A644" t="s">
        <v>2483</v>
      </c>
      <c r="B644" t="str" cm="1">
        <f t="array" ref="B64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44" s="6">
        <v>45731.291666666664</v>
      </c>
      <c r="D644" t="str">
        <f t="shared" si="30"/>
        <v>Saturday</v>
      </c>
      <c r="E644" s="6">
        <v>45731.416666666664</v>
      </c>
      <c r="F644" s="6" t="str">
        <f t="shared" si="31"/>
        <v>Saturday</v>
      </c>
      <c r="G644" t="str">
        <f>IF(COUNTIF(INDEX(SkiResort_ParkingRevenue_Raw[License Plate],1):SkiResort_ParkingRevenue_Raw[[#This Row],[License Plate]],SkiResort_ParkingRevenue_Raw[[#This Row],[License Plate]])=1,"New","Returning")</f>
        <v>Returning</v>
      </c>
      <c r="H644">
        <v>24.99</v>
      </c>
      <c r="I644">
        <v>1</v>
      </c>
      <c r="J644" t="str">
        <f t="shared" si="32"/>
        <v>Weekends/Holiday Only</v>
      </c>
    </row>
    <row r="645" spans="1:10" x14ac:dyDescent="0.25">
      <c r="A645" t="s">
        <v>2482</v>
      </c>
      <c r="B645" t="str" cm="1">
        <f t="array" ref="B64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45" s="6">
        <v>45732.291666666664</v>
      </c>
      <c r="D645" t="str">
        <f t="shared" si="30"/>
        <v>Sunday</v>
      </c>
      <c r="E645" s="6">
        <v>45732.416666666664</v>
      </c>
      <c r="F645" s="6" t="str">
        <f t="shared" si="31"/>
        <v>Sunday</v>
      </c>
      <c r="G645" t="str">
        <f>IF(COUNTIF(INDEX(SkiResort_ParkingRevenue_Raw[License Plate],1):SkiResort_ParkingRevenue_Raw[[#This Row],[License Plate]],SkiResort_ParkingRevenue_Raw[[#This Row],[License Plate]])=1,"New","Returning")</f>
        <v>Returning</v>
      </c>
      <c r="H645">
        <v>49.98</v>
      </c>
      <c r="I645">
        <v>2</v>
      </c>
      <c r="J645" t="str">
        <f t="shared" si="32"/>
        <v>Weekends/Holiday Only</v>
      </c>
    </row>
    <row r="646" spans="1:10" x14ac:dyDescent="0.25">
      <c r="A646" t="s">
        <v>2497</v>
      </c>
      <c r="B646" t="str" cm="1">
        <f t="array" ref="B64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46" s="6">
        <v>45732.291666666664</v>
      </c>
      <c r="D646" t="str">
        <f t="shared" si="30"/>
        <v>Sunday</v>
      </c>
      <c r="E646" s="6">
        <v>45732.416666666664</v>
      </c>
      <c r="F646" s="6" t="str">
        <f t="shared" si="31"/>
        <v>Sunday</v>
      </c>
      <c r="G646" t="str">
        <f>IF(COUNTIF(INDEX(SkiResort_ParkingRevenue_Raw[License Plate],1):SkiResort_ParkingRevenue_Raw[[#This Row],[License Plate]],SkiResort_ParkingRevenue_Raw[[#This Row],[License Plate]])=1,"New","Returning")</f>
        <v>New</v>
      </c>
      <c r="H646">
        <v>24.99</v>
      </c>
      <c r="I646">
        <v>1</v>
      </c>
      <c r="J646" t="str">
        <f t="shared" si="32"/>
        <v>Weekends/Holiday Only</v>
      </c>
    </row>
    <row r="647" spans="1:10" x14ac:dyDescent="0.25">
      <c r="A647" t="s">
        <v>2494</v>
      </c>
      <c r="B647" t="str" cm="1">
        <f t="array" ref="B64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47" s="6">
        <v>45732.431238425925</v>
      </c>
      <c r="D647" t="str">
        <f t="shared" si="30"/>
        <v>Sunday</v>
      </c>
      <c r="E647" s="6">
        <v>45732.416666666664</v>
      </c>
      <c r="F647" s="6" t="str">
        <f t="shared" si="31"/>
        <v>Sunday</v>
      </c>
      <c r="G647" t="str">
        <f>IF(COUNTIF(INDEX(SkiResort_ParkingRevenue_Raw[License Plate],1):SkiResort_ParkingRevenue_Raw[[#This Row],[License Plate]],SkiResort_ParkingRevenue_Raw[[#This Row],[License Plate]])=1,"New","Returning")</f>
        <v>New</v>
      </c>
      <c r="H647">
        <v>24.99</v>
      </c>
      <c r="I647">
        <v>1</v>
      </c>
      <c r="J647" t="str">
        <f t="shared" si="32"/>
        <v>Weekends/Holiday Only</v>
      </c>
    </row>
    <row r="648" spans="1:10" x14ac:dyDescent="0.25">
      <c r="A648" t="s">
        <v>2502</v>
      </c>
      <c r="B648" t="str" cm="1">
        <f t="array" ref="B64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48" s="6">
        <v>45738.291666666664</v>
      </c>
      <c r="D648" t="str">
        <f t="shared" si="30"/>
        <v>Saturday</v>
      </c>
      <c r="E648" s="6">
        <v>45738.416666666664</v>
      </c>
      <c r="F648" s="6" t="str">
        <f t="shared" si="31"/>
        <v>Saturday</v>
      </c>
      <c r="G648" t="str">
        <f>IF(COUNTIF(INDEX(SkiResort_ParkingRevenue_Raw[License Plate],1):SkiResort_ParkingRevenue_Raw[[#This Row],[License Plate]],SkiResort_ParkingRevenue_Raw[[#This Row],[License Plate]])=1,"New","Returning")</f>
        <v>Returning</v>
      </c>
      <c r="H648">
        <v>24.99</v>
      </c>
      <c r="I648">
        <v>1</v>
      </c>
      <c r="J648" t="str">
        <f t="shared" si="32"/>
        <v>Weekends/Holiday Only</v>
      </c>
    </row>
    <row r="649" spans="1:10" x14ac:dyDescent="0.25">
      <c r="A649" t="s">
        <v>2506</v>
      </c>
      <c r="B649" t="str" cm="1">
        <f t="array" ref="B64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49" s="6">
        <v>45739.291666666664</v>
      </c>
      <c r="D649" t="str">
        <f t="shared" si="30"/>
        <v>Sunday</v>
      </c>
      <c r="E649" s="6">
        <v>45739.416666666664</v>
      </c>
      <c r="F649" s="6" t="str">
        <f t="shared" si="31"/>
        <v>Sunday</v>
      </c>
      <c r="G649" t="str">
        <f>IF(COUNTIF(INDEX(SkiResort_ParkingRevenue_Raw[License Plate],1):SkiResort_ParkingRevenue_Raw[[#This Row],[License Plate]],SkiResort_ParkingRevenue_Raw[[#This Row],[License Plate]])=1,"New","Returning")</f>
        <v>Returning</v>
      </c>
      <c r="H649">
        <v>24.99</v>
      </c>
      <c r="I649">
        <v>1</v>
      </c>
      <c r="J649" t="str">
        <f t="shared" si="32"/>
        <v>Weekends/Holiday Only</v>
      </c>
    </row>
    <row r="650" spans="1:10" x14ac:dyDescent="0.25">
      <c r="A650" t="s">
        <v>2508</v>
      </c>
      <c r="B650" t="str" cm="1">
        <f t="array" ref="B65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50" s="6">
        <v>45746.291666666664</v>
      </c>
      <c r="D650" t="str">
        <f t="shared" si="30"/>
        <v>Sunday</v>
      </c>
      <c r="E650" s="6">
        <v>45746.416666666664</v>
      </c>
      <c r="F650" s="6" t="str">
        <f t="shared" si="31"/>
        <v>Sunday</v>
      </c>
      <c r="G650" t="str">
        <f>IF(COUNTIF(INDEX(SkiResort_ParkingRevenue_Raw[License Plate],1):SkiResort_ParkingRevenue_Raw[[#This Row],[License Plate]],SkiResort_ParkingRevenue_Raw[[#This Row],[License Plate]])=1,"New","Returning")</f>
        <v>Returning</v>
      </c>
      <c r="H650">
        <v>24.99</v>
      </c>
      <c r="I650">
        <v>1</v>
      </c>
      <c r="J650" t="str">
        <f t="shared" si="32"/>
        <v>Weekends/Holiday Only</v>
      </c>
    </row>
    <row r="651" spans="1:10" x14ac:dyDescent="0.25">
      <c r="A651" t="s">
        <v>2510</v>
      </c>
      <c r="B651" t="str" cm="1">
        <f t="array" ref="B65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51" s="6">
        <v>45746.291666666664</v>
      </c>
      <c r="D651" t="str">
        <f t="shared" si="30"/>
        <v>Sunday</v>
      </c>
      <c r="E651" s="6">
        <v>45746.416666666664</v>
      </c>
      <c r="F651" s="6" t="str">
        <f t="shared" si="31"/>
        <v>Sunday</v>
      </c>
      <c r="G651" t="str">
        <f>IF(COUNTIF(INDEX(SkiResort_ParkingRevenue_Raw[License Plate],1):SkiResort_ParkingRevenue_Raw[[#This Row],[License Plate]],SkiResort_ParkingRevenue_Raw[[#This Row],[License Plate]])=1,"New","Returning")</f>
        <v>Returning</v>
      </c>
      <c r="H651">
        <v>24.99</v>
      </c>
      <c r="I651">
        <v>1</v>
      </c>
      <c r="J651" t="str">
        <f t="shared" si="32"/>
        <v>Weekends/Holiday Only</v>
      </c>
    </row>
    <row r="652" spans="1:10" x14ac:dyDescent="0.25">
      <c r="A652" t="s">
        <v>2512</v>
      </c>
      <c r="B652" t="str" cm="1">
        <f t="array" ref="B65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52" s="6">
        <v>45751.291666666664</v>
      </c>
      <c r="D652" t="str">
        <f t="shared" si="30"/>
        <v>Friday</v>
      </c>
      <c r="E652" s="6">
        <v>45751.416666666664</v>
      </c>
      <c r="F652" s="6" t="str">
        <f t="shared" si="31"/>
        <v>Friday</v>
      </c>
      <c r="G652" t="str">
        <f>IF(COUNTIF(INDEX(SkiResort_ParkingRevenue_Raw[License Plate],1):SkiResort_ParkingRevenue_Raw[[#This Row],[License Plate]],SkiResort_ParkingRevenue_Raw[[#This Row],[License Plate]])=1,"New","Returning")</f>
        <v>New</v>
      </c>
      <c r="H652">
        <v>24.99</v>
      </c>
      <c r="I652">
        <v>1</v>
      </c>
      <c r="J652" t="str">
        <f t="shared" si="32"/>
        <v>Weekends/Holiday Only</v>
      </c>
    </row>
    <row r="653" spans="1:10" x14ac:dyDescent="0.25">
      <c r="A653" t="s">
        <v>2518</v>
      </c>
      <c r="B653" t="str" cm="1">
        <f t="array" ref="B65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53" s="6">
        <v>45753.291666666664</v>
      </c>
      <c r="D653" t="str">
        <f t="shared" si="30"/>
        <v>Sunday</v>
      </c>
      <c r="E653" s="6">
        <v>45753.416666666664</v>
      </c>
      <c r="F653" s="6" t="str">
        <f t="shared" si="31"/>
        <v>Sunday</v>
      </c>
      <c r="G653" t="str">
        <f>IF(COUNTIF(INDEX(SkiResort_ParkingRevenue_Raw[License Plate],1):SkiResort_ParkingRevenue_Raw[[#This Row],[License Plate]],SkiResort_ParkingRevenue_Raw[[#This Row],[License Plate]])=1,"New","Returning")</f>
        <v>New</v>
      </c>
      <c r="H653">
        <v>24.99</v>
      </c>
      <c r="I653">
        <v>1</v>
      </c>
      <c r="J653" t="str">
        <f t="shared" si="32"/>
        <v>Weekends/Holiday Only</v>
      </c>
    </row>
    <row r="654" spans="1:10" x14ac:dyDescent="0.25">
      <c r="A654" t="s">
        <v>2521</v>
      </c>
      <c r="B654" t="str" cm="1">
        <f t="array" ref="B65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54" s="6">
        <v>45758.291666666664</v>
      </c>
      <c r="D654" t="str">
        <f t="shared" si="30"/>
        <v>Friday</v>
      </c>
      <c r="E654" s="6">
        <v>45758.416666666664</v>
      </c>
      <c r="F654" s="6" t="str">
        <f t="shared" si="31"/>
        <v>Friday</v>
      </c>
      <c r="G654" t="str">
        <f>IF(COUNTIF(INDEX(SkiResort_ParkingRevenue_Raw[License Plate],1):SkiResort_ParkingRevenue_Raw[[#This Row],[License Plate]],SkiResort_ParkingRevenue_Raw[[#This Row],[License Plate]])=1,"New","Returning")</f>
        <v>Returning</v>
      </c>
      <c r="H654">
        <v>24.99</v>
      </c>
      <c r="I654">
        <v>1</v>
      </c>
      <c r="J654" t="str">
        <f t="shared" si="32"/>
        <v>Weekends/Holiday Only</v>
      </c>
    </row>
    <row r="655" spans="1:10" x14ac:dyDescent="0.25">
      <c r="A655" t="s">
        <v>2523</v>
      </c>
      <c r="B655" t="str" cm="1">
        <f t="array" ref="B65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55" s="6">
        <v>45758.291666666664</v>
      </c>
      <c r="D655" t="str">
        <f t="shared" si="30"/>
        <v>Friday</v>
      </c>
      <c r="E655" s="6">
        <v>45758.416666666664</v>
      </c>
      <c r="F655" s="6" t="str">
        <f t="shared" si="31"/>
        <v>Friday</v>
      </c>
      <c r="G655" t="str">
        <f>IF(COUNTIF(INDEX(SkiResort_ParkingRevenue_Raw[License Plate],1):SkiResort_ParkingRevenue_Raw[[#This Row],[License Plate]],SkiResort_ParkingRevenue_Raw[[#This Row],[License Plate]])=1,"New","Returning")</f>
        <v>New</v>
      </c>
      <c r="H655">
        <v>24.99</v>
      </c>
      <c r="I655">
        <v>1</v>
      </c>
      <c r="J655" t="str">
        <f t="shared" si="32"/>
        <v>Weekends/Holiday Only</v>
      </c>
    </row>
    <row r="656" spans="1:10" x14ac:dyDescent="0.25">
      <c r="A656" t="s">
        <v>2528</v>
      </c>
      <c r="B656" t="str" cm="1">
        <f t="array" ref="B65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56" s="6">
        <v>45759.291666666664</v>
      </c>
      <c r="D656" t="str">
        <f t="shared" si="30"/>
        <v>Saturday</v>
      </c>
      <c r="E656" s="6">
        <v>45759.416666666664</v>
      </c>
      <c r="F656" s="6" t="str">
        <f t="shared" si="31"/>
        <v>Saturday</v>
      </c>
      <c r="G656" t="str">
        <f>IF(COUNTIF(INDEX(SkiResort_ParkingRevenue_Raw[License Plate],1):SkiResort_ParkingRevenue_Raw[[#This Row],[License Plate]],SkiResort_ParkingRevenue_Raw[[#This Row],[License Plate]])=1,"New","Returning")</f>
        <v>Returning</v>
      </c>
      <c r="H656">
        <v>24.99</v>
      </c>
      <c r="I656">
        <v>1</v>
      </c>
      <c r="J656" t="str">
        <f t="shared" si="32"/>
        <v>Weekends/Holiday Only</v>
      </c>
    </row>
    <row r="657" spans="1:10" x14ac:dyDescent="0.25">
      <c r="A657" t="s">
        <v>2530</v>
      </c>
      <c r="B657" t="str" cm="1">
        <f t="array" ref="B65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57" s="6">
        <v>45759.291666666664</v>
      </c>
      <c r="D657" t="str">
        <f t="shared" si="30"/>
        <v>Saturday</v>
      </c>
      <c r="E657" s="6">
        <v>45759.416666666664</v>
      </c>
      <c r="F657" s="6" t="str">
        <f t="shared" si="31"/>
        <v>Saturday</v>
      </c>
      <c r="G657" t="str">
        <f>IF(COUNTIF(INDEX(SkiResort_ParkingRevenue_Raw[License Plate],1):SkiResort_ParkingRevenue_Raw[[#This Row],[License Plate]],SkiResort_ParkingRevenue_Raw[[#This Row],[License Plate]])=1,"New","Returning")</f>
        <v>Returning</v>
      </c>
      <c r="H657">
        <v>24.99</v>
      </c>
      <c r="I657">
        <v>1</v>
      </c>
      <c r="J657" t="str">
        <f t="shared" si="32"/>
        <v>Weekends/Holiday Only</v>
      </c>
    </row>
    <row r="658" spans="1:10" x14ac:dyDescent="0.25">
      <c r="A658" t="s">
        <v>2532</v>
      </c>
      <c r="B658" t="str" cm="1">
        <f t="array" ref="B65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58" s="6">
        <v>45759.291666666664</v>
      </c>
      <c r="D658" t="str">
        <f t="shared" si="30"/>
        <v>Saturday</v>
      </c>
      <c r="E658" s="6">
        <v>45759.416666666664</v>
      </c>
      <c r="F658" s="6" t="str">
        <f t="shared" si="31"/>
        <v>Saturday</v>
      </c>
      <c r="G658" t="str">
        <f>IF(COUNTIF(INDEX(SkiResort_ParkingRevenue_Raw[License Plate],1):SkiResort_ParkingRevenue_Raw[[#This Row],[License Plate]],SkiResort_ParkingRevenue_Raw[[#This Row],[License Plate]])=1,"New","Returning")</f>
        <v>Returning</v>
      </c>
      <c r="H658">
        <v>24.99</v>
      </c>
      <c r="I658">
        <v>1</v>
      </c>
      <c r="J658" t="str">
        <f t="shared" si="32"/>
        <v>Weekends/Holiday Only</v>
      </c>
    </row>
    <row r="659" spans="1:10" x14ac:dyDescent="0.25">
      <c r="A659" t="s">
        <v>2534</v>
      </c>
      <c r="B659" t="str" cm="1">
        <f t="array" ref="B65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59" s="6">
        <v>45765.291666666664</v>
      </c>
      <c r="D659" t="str">
        <f t="shared" si="30"/>
        <v>Friday</v>
      </c>
      <c r="E659" s="6">
        <v>45765.416666666664</v>
      </c>
      <c r="F659" s="6" t="str">
        <f t="shared" si="31"/>
        <v>Friday</v>
      </c>
      <c r="G659" t="str">
        <f>IF(COUNTIF(INDEX(SkiResort_ParkingRevenue_Raw[License Plate],1):SkiResort_ParkingRevenue_Raw[[#This Row],[License Plate]],SkiResort_ParkingRevenue_Raw[[#This Row],[License Plate]])=1,"New","Returning")</f>
        <v>New</v>
      </c>
      <c r="H659">
        <v>24.99</v>
      </c>
      <c r="I659">
        <v>1</v>
      </c>
      <c r="J659" t="str">
        <f t="shared" si="32"/>
        <v>Weekends/Holiday Only</v>
      </c>
    </row>
    <row r="660" spans="1:10" x14ac:dyDescent="0.25">
      <c r="A660" t="s">
        <v>2543</v>
      </c>
      <c r="B660" t="str" cm="1">
        <f t="array" ref="B66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60" s="6">
        <v>45765.291666666664</v>
      </c>
      <c r="D660" t="str">
        <f t="shared" si="30"/>
        <v>Friday</v>
      </c>
      <c r="E660" s="6">
        <v>45765.416666666664</v>
      </c>
      <c r="F660" s="6" t="str">
        <f t="shared" si="31"/>
        <v>Friday</v>
      </c>
      <c r="G660" t="str">
        <f>IF(COUNTIF(INDEX(SkiResort_ParkingRevenue_Raw[License Plate],1):SkiResort_ParkingRevenue_Raw[[#This Row],[License Plate]],SkiResort_ParkingRevenue_Raw[[#This Row],[License Plate]])=1,"New","Returning")</f>
        <v>Returning</v>
      </c>
      <c r="H660">
        <v>49.98</v>
      </c>
      <c r="I660">
        <v>2</v>
      </c>
      <c r="J660" t="str">
        <f t="shared" si="32"/>
        <v>Weekends/Holiday Only</v>
      </c>
    </row>
    <row r="661" spans="1:10" x14ac:dyDescent="0.25">
      <c r="A661" t="s">
        <v>2546</v>
      </c>
      <c r="B661" t="str" cm="1">
        <f t="array" ref="B66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61" s="6">
        <v>45765.291666666664</v>
      </c>
      <c r="D661" t="str">
        <f t="shared" si="30"/>
        <v>Friday</v>
      </c>
      <c r="E661" s="6">
        <v>45765.416666666664</v>
      </c>
      <c r="F661" s="6" t="str">
        <f t="shared" si="31"/>
        <v>Friday</v>
      </c>
      <c r="G661" t="str">
        <f>IF(COUNTIF(INDEX(SkiResort_ParkingRevenue_Raw[License Plate],1):SkiResort_ParkingRevenue_Raw[[#This Row],[License Plate]],SkiResort_ParkingRevenue_Raw[[#This Row],[License Plate]])=1,"New","Returning")</f>
        <v>Returning</v>
      </c>
      <c r="H661">
        <v>24.99</v>
      </c>
      <c r="I661">
        <v>1</v>
      </c>
      <c r="J661" t="str">
        <f t="shared" si="32"/>
        <v>Weekends/Holiday Only</v>
      </c>
    </row>
    <row r="662" spans="1:10" x14ac:dyDescent="0.25">
      <c r="A662" t="s">
        <v>2539</v>
      </c>
      <c r="B662" t="str" cm="1">
        <f t="array" ref="B66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62" s="6">
        <v>45766.291666666664</v>
      </c>
      <c r="D662" t="str">
        <f t="shared" si="30"/>
        <v>Saturday</v>
      </c>
      <c r="E662" s="6">
        <v>45766.416666666664</v>
      </c>
      <c r="F662" s="6" t="str">
        <f t="shared" si="31"/>
        <v>Saturday</v>
      </c>
      <c r="G662" t="str">
        <f>IF(COUNTIF(INDEX(SkiResort_ParkingRevenue_Raw[License Plate],1):SkiResort_ParkingRevenue_Raw[[#This Row],[License Plate]],SkiResort_ParkingRevenue_Raw[[#This Row],[License Plate]])=1,"New","Returning")</f>
        <v>New</v>
      </c>
      <c r="H662">
        <v>49.98</v>
      </c>
      <c r="I662">
        <v>2</v>
      </c>
      <c r="J662" t="str">
        <f t="shared" si="32"/>
        <v>Weekends/Holiday Only</v>
      </c>
    </row>
    <row r="663" spans="1:10" x14ac:dyDescent="0.25">
      <c r="A663" t="s">
        <v>2545</v>
      </c>
      <c r="B663" t="str" cm="1">
        <f t="array" ref="B66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63" s="6">
        <v>45766.291666666664</v>
      </c>
      <c r="D663" t="str">
        <f t="shared" si="30"/>
        <v>Saturday</v>
      </c>
      <c r="E663" s="6">
        <v>45766.416666666664</v>
      </c>
      <c r="F663" s="6" t="str">
        <f t="shared" si="31"/>
        <v>Saturday</v>
      </c>
      <c r="G663" t="str">
        <f>IF(COUNTIF(INDEX(SkiResort_ParkingRevenue_Raw[License Plate],1):SkiResort_ParkingRevenue_Raw[[#This Row],[License Plate]],SkiResort_ParkingRevenue_Raw[[#This Row],[License Plate]])=1,"New","Returning")</f>
        <v>Returning</v>
      </c>
      <c r="H663">
        <v>49.98</v>
      </c>
      <c r="I663">
        <v>2</v>
      </c>
      <c r="J663" t="str">
        <f t="shared" si="32"/>
        <v>Weekends/Holiday Only</v>
      </c>
    </row>
    <row r="664" spans="1:10" x14ac:dyDescent="0.25">
      <c r="A664" t="s">
        <v>2548</v>
      </c>
      <c r="B664" t="str" cm="1">
        <f t="array" ref="B66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64" s="6">
        <v>45766.291666666664</v>
      </c>
      <c r="D664" t="str">
        <f t="shared" si="30"/>
        <v>Saturday</v>
      </c>
      <c r="E664" s="6">
        <v>45766.416666666664</v>
      </c>
      <c r="F664" s="6" t="str">
        <f t="shared" si="31"/>
        <v>Saturday</v>
      </c>
      <c r="G664" t="str">
        <f>IF(COUNTIF(INDEX(SkiResort_ParkingRevenue_Raw[License Plate],1):SkiResort_ParkingRevenue_Raw[[#This Row],[License Plate]],SkiResort_ParkingRevenue_Raw[[#This Row],[License Plate]])=1,"New","Returning")</f>
        <v>New</v>
      </c>
      <c r="H664">
        <v>24.99</v>
      </c>
      <c r="I664">
        <v>1</v>
      </c>
      <c r="J664" t="str">
        <f t="shared" si="32"/>
        <v>Weekends/Holiday Only</v>
      </c>
    </row>
    <row r="665" spans="1:10" x14ac:dyDescent="0.25">
      <c r="A665" t="s">
        <v>2542</v>
      </c>
      <c r="B665" t="str" cm="1">
        <f t="array" ref="B66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2024/25 Season</v>
      </c>
      <c r="C665" s="6">
        <v>45767.291666666664</v>
      </c>
      <c r="D665" t="str">
        <f t="shared" si="30"/>
        <v>Sunday</v>
      </c>
      <c r="E665" s="6">
        <v>45767.416666666664</v>
      </c>
      <c r="F665" s="6" t="str">
        <f t="shared" si="31"/>
        <v>Sunday</v>
      </c>
      <c r="G665" t="str">
        <f>IF(COUNTIF(INDEX(SkiResort_ParkingRevenue_Raw[License Plate],1):SkiResort_ParkingRevenue_Raw[[#This Row],[License Plate]],SkiResort_ParkingRevenue_Raw[[#This Row],[License Plate]])=1,"New","Returning")</f>
        <v>Returning</v>
      </c>
      <c r="H665">
        <v>49.98</v>
      </c>
      <c r="I665">
        <v>2</v>
      </c>
      <c r="J665" t="str">
        <f t="shared" si="32"/>
        <v>Weekends/Holiday Only</v>
      </c>
    </row>
    <row r="666" spans="1:10" x14ac:dyDescent="0.25">
      <c r="A666" t="s">
        <v>2551</v>
      </c>
      <c r="B666" t="str" cm="1">
        <f t="array" ref="B66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66" s="6">
        <v>45984.984270833331</v>
      </c>
      <c r="D666" t="str">
        <f t="shared" si="30"/>
        <v>Sunday</v>
      </c>
      <c r="E666" s="6">
        <v>46013.753472222219</v>
      </c>
      <c r="F666" s="6" t="str">
        <f t="shared" si="31"/>
        <v>Monday</v>
      </c>
      <c r="G666" t="str">
        <f>IF(COUNTIF(INDEX(SkiResort_ParkingRevenue_Raw[License Plate],1):SkiResort_ParkingRevenue_Raw[[#This Row],[License Plate]],SkiResort_ParkingRevenue_Raw[[#This Row],[License Plate]])=1,"New","Returning")</f>
        <v>New</v>
      </c>
      <c r="H666">
        <v>74.97</v>
      </c>
      <c r="I666">
        <v>3</v>
      </c>
      <c r="J666" t="str">
        <f t="shared" si="32"/>
        <v>Weekends/Holiday Only</v>
      </c>
    </row>
    <row r="667" spans="1:10" x14ac:dyDescent="0.25">
      <c r="A667" t="s">
        <v>2559</v>
      </c>
      <c r="B667" t="str" cm="1">
        <f t="array" ref="B66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67" s="6">
        <v>45985.808125000003</v>
      </c>
      <c r="D667" t="str">
        <f t="shared" si="30"/>
        <v>Monday</v>
      </c>
      <c r="E667" s="6">
        <v>46014.795138888891</v>
      </c>
      <c r="F667" s="6" t="str">
        <f t="shared" si="31"/>
        <v>Tuesday</v>
      </c>
      <c r="G667" t="str">
        <f>IF(COUNTIF(INDEX(SkiResort_ParkingRevenue_Raw[License Plate],1):SkiResort_ParkingRevenue_Raw[[#This Row],[License Plate]],SkiResort_ParkingRevenue_Raw[[#This Row],[License Plate]])=1,"New","Returning")</f>
        <v>New</v>
      </c>
      <c r="H667">
        <v>49.98</v>
      </c>
      <c r="I667">
        <v>2</v>
      </c>
      <c r="J667" t="str">
        <f t="shared" si="32"/>
        <v>Weekends/Holiday Only</v>
      </c>
    </row>
    <row r="668" spans="1:10" x14ac:dyDescent="0.25">
      <c r="A668" t="s">
        <v>2565</v>
      </c>
      <c r="B668" t="str" cm="1">
        <f t="array" ref="B66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68" s="6">
        <v>45990.563900462963</v>
      </c>
      <c r="D668" t="str">
        <f t="shared" si="30"/>
        <v>Saturday</v>
      </c>
      <c r="E668" s="6">
        <v>45990.711805555555</v>
      </c>
      <c r="F668" s="6" t="str">
        <f t="shared" si="31"/>
        <v>Saturday</v>
      </c>
      <c r="G668" t="str">
        <f>IF(COUNTIF(INDEX(SkiResort_ParkingRevenue_Raw[License Plate],1):SkiResort_ParkingRevenue_Raw[[#This Row],[License Plate]],SkiResort_ParkingRevenue_Raw[[#This Row],[License Plate]])=1,"New","Returning")</f>
        <v>New</v>
      </c>
      <c r="H668">
        <v>24.99</v>
      </c>
      <c r="I668">
        <v>1</v>
      </c>
      <c r="J668" t="str">
        <f t="shared" si="32"/>
        <v>Weekends/Holiday Only</v>
      </c>
    </row>
    <row r="669" spans="1:10" x14ac:dyDescent="0.25">
      <c r="A669" t="s">
        <v>2571</v>
      </c>
      <c r="B669" t="str" cm="1">
        <f t="array" ref="B66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69" s="6">
        <v>45991.574942129628</v>
      </c>
      <c r="D669" t="str">
        <f t="shared" si="30"/>
        <v>Sunday</v>
      </c>
      <c r="E669" s="6">
        <v>46017.711805555555</v>
      </c>
      <c r="F669" s="6" t="str">
        <f t="shared" si="31"/>
        <v>Friday</v>
      </c>
      <c r="G669" t="str">
        <f>IF(COUNTIF(INDEX(SkiResort_ParkingRevenue_Raw[License Plate],1):SkiResort_ParkingRevenue_Raw[[#This Row],[License Plate]],SkiResort_ParkingRevenue_Raw[[#This Row],[License Plate]])=1,"New","Returning")</f>
        <v>New</v>
      </c>
      <c r="H669">
        <v>24.99</v>
      </c>
      <c r="I669">
        <v>1</v>
      </c>
      <c r="J669" t="str">
        <f t="shared" si="32"/>
        <v>Weekends/Holiday Only</v>
      </c>
    </row>
    <row r="670" spans="1:10" x14ac:dyDescent="0.25">
      <c r="A670" t="s">
        <v>2577</v>
      </c>
      <c r="B670" t="str" cm="1">
        <f t="array" ref="B67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70" s="6">
        <v>45997.343287037038</v>
      </c>
      <c r="D670" t="str">
        <f t="shared" si="30"/>
        <v>Saturday</v>
      </c>
      <c r="E670" s="6">
        <v>45997.690972222219</v>
      </c>
      <c r="F670" s="6" t="str">
        <f t="shared" si="31"/>
        <v>Saturday</v>
      </c>
      <c r="G670" t="str">
        <f>IF(COUNTIF(INDEX(SkiResort_ParkingRevenue_Raw[License Plate],1):SkiResort_ParkingRevenue_Raw[[#This Row],[License Plate]],SkiResort_ParkingRevenue_Raw[[#This Row],[License Plate]])=1,"New","Returning")</f>
        <v>New</v>
      </c>
      <c r="H670">
        <v>24.99</v>
      </c>
      <c r="I670">
        <v>1</v>
      </c>
      <c r="J670" t="str">
        <f t="shared" si="32"/>
        <v>Weekends/Holiday Only</v>
      </c>
    </row>
    <row r="671" spans="1:10" x14ac:dyDescent="0.25">
      <c r="A671" t="s">
        <v>2583</v>
      </c>
      <c r="B671" t="str" cm="1">
        <f t="array" ref="B67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71" s="6">
        <v>45997.378784722219</v>
      </c>
      <c r="D671" t="str">
        <f t="shared" si="30"/>
        <v>Saturday</v>
      </c>
      <c r="E671" s="6">
        <v>45997.670138888891</v>
      </c>
      <c r="F671" s="6" t="str">
        <f t="shared" si="31"/>
        <v>Saturday</v>
      </c>
      <c r="G671" t="str">
        <f>IF(COUNTIF(INDEX(SkiResort_ParkingRevenue_Raw[License Plate],1):SkiResort_ParkingRevenue_Raw[[#This Row],[License Plate]],SkiResort_ParkingRevenue_Raw[[#This Row],[License Plate]])=1,"New","Returning")</f>
        <v>New</v>
      </c>
      <c r="H671">
        <v>24.99</v>
      </c>
      <c r="I671">
        <v>1</v>
      </c>
      <c r="J671" t="str">
        <f t="shared" si="32"/>
        <v>Weekends/Holiday Only</v>
      </c>
    </row>
    <row r="672" spans="1:10" x14ac:dyDescent="0.25">
      <c r="A672" t="s">
        <v>2589</v>
      </c>
      <c r="B672" t="str" cm="1">
        <f t="array" ref="B67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72" s="6">
        <v>45997.418425925927</v>
      </c>
      <c r="D672" t="str">
        <f t="shared" si="30"/>
        <v>Saturday</v>
      </c>
      <c r="E672" s="6">
        <v>45998.461805555555</v>
      </c>
      <c r="F672" s="6" t="str">
        <f t="shared" si="31"/>
        <v>Sunday</v>
      </c>
      <c r="G672" t="str">
        <f>IF(COUNTIF(INDEX(SkiResort_ParkingRevenue_Raw[License Plate],1):SkiResort_ParkingRevenue_Raw[[#This Row],[License Plate]],SkiResort_ParkingRevenue_Raw[[#This Row],[License Plate]])=1,"New","Returning")</f>
        <v>New</v>
      </c>
      <c r="H672">
        <v>49.98</v>
      </c>
      <c r="I672">
        <v>2</v>
      </c>
      <c r="J672" t="str">
        <f t="shared" si="32"/>
        <v>Weekends/Holiday Only</v>
      </c>
    </row>
    <row r="673" spans="1:10" x14ac:dyDescent="0.25">
      <c r="A673" t="s">
        <v>2593</v>
      </c>
      <c r="B673" t="str" cm="1">
        <f t="array" ref="B67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73" s="6">
        <v>46000.241944444446</v>
      </c>
      <c r="D673" t="str">
        <f t="shared" si="30"/>
        <v>Tuesday</v>
      </c>
      <c r="F673" s="6" t="str">
        <f t="shared" si="31"/>
        <v>Saturday</v>
      </c>
      <c r="G673" t="str">
        <f>IF(COUNTIF(INDEX(SkiResort_ParkingRevenue_Raw[License Plate],1):SkiResort_ParkingRevenue_Raw[[#This Row],[License Plate]],SkiResort_ParkingRevenue_Raw[[#This Row],[License Plate]])=1,"New","Returning")</f>
        <v>New</v>
      </c>
      <c r="H673">
        <v>0</v>
      </c>
      <c r="I673">
        <v>1</v>
      </c>
      <c r="J673" t="str">
        <f t="shared" si="32"/>
        <v>Weekends/Holiday Only</v>
      </c>
    </row>
    <row r="674" spans="1:10" x14ac:dyDescent="0.25">
      <c r="A674" t="s">
        <v>2599</v>
      </c>
      <c r="B674" t="str" cm="1">
        <f t="array" ref="B67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74" s="6">
        <v>46000.247060185182</v>
      </c>
      <c r="D674" t="str">
        <f t="shared" si="30"/>
        <v>Tuesday</v>
      </c>
      <c r="F674" s="6" t="str">
        <f t="shared" si="31"/>
        <v>Saturday</v>
      </c>
      <c r="G674" t="str">
        <f>IF(COUNTIF(INDEX(SkiResort_ParkingRevenue_Raw[License Plate],1):SkiResort_ParkingRevenue_Raw[[#This Row],[License Plate]],SkiResort_ParkingRevenue_Raw[[#This Row],[License Plate]])=1,"New","Returning")</f>
        <v>New</v>
      </c>
      <c r="H674">
        <v>0</v>
      </c>
      <c r="I674">
        <v>1</v>
      </c>
      <c r="J674" t="str">
        <f t="shared" si="32"/>
        <v>Weekends/Holiday Only</v>
      </c>
    </row>
    <row r="675" spans="1:10" x14ac:dyDescent="0.25">
      <c r="A675" t="s">
        <v>2603</v>
      </c>
      <c r="B675" t="str" cm="1">
        <f t="array" ref="B67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75" s="6">
        <v>46001.391840277778</v>
      </c>
      <c r="D675" t="str">
        <f t="shared" si="30"/>
        <v>Wednesday</v>
      </c>
      <c r="F675" s="6" t="str">
        <f t="shared" si="31"/>
        <v>Saturday</v>
      </c>
      <c r="G675" t="str">
        <f>IF(COUNTIF(INDEX(SkiResort_ParkingRevenue_Raw[License Plate],1):SkiResort_ParkingRevenue_Raw[[#This Row],[License Plate]],SkiResort_ParkingRevenue_Raw[[#This Row],[License Plate]])=1,"New","Returning")</f>
        <v>New</v>
      </c>
      <c r="H675">
        <v>24.99</v>
      </c>
      <c r="I675">
        <v>1</v>
      </c>
      <c r="J675" t="str">
        <f t="shared" si="32"/>
        <v>Weekends/Holiday Only</v>
      </c>
    </row>
    <row r="676" spans="1:10" x14ac:dyDescent="0.25">
      <c r="A676" t="s">
        <v>2609</v>
      </c>
      <c r="B676" t="str" cm="1">
        <f t="array" ref="B67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76" s="6">
        <v>46001.429432870369</v>
      </c>
      <c r="D676" t="str">
        <f t="shared" si="30"/>
        <v>Wednesday</v>
      </c>
      <c r="F676" s="6" t="str">
        <f t="shared" si="31"/>
        <v>Saturday</v>
      </c>
      <c r="G676" t="str">
        <f>IF(COUNTIF(INDEX(SkiResort_ParkingRevenue_Raw[License Plate],1):SkiResort_ParkingRevenue_Raw[[#This Row],[License Plate]],SkiResort_ParkingRevenue_Raw[[#This Row],[License Plate]])=1,"New","Returning")</f>
        <v>New</v>
      </c>
      <c r="H676">
        <v>24.99</v>
      </c>
      <c r="I676">
        <v>1</v>
      </c>
      <c r="J676" t="str">
        <f t="shared" si="32"/>
        <v>Weekends/Holiday Only</v>
      </c>
    </row>
    <row r="677" spans="1:10" x14ac:dyDescent="0.25">
      <c r="A677" t="s">
        <v>2615</v>
      </c>
      <c r="B677" t="str" cm="1">
        <f t="array" ref="B67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77" s="6">
        <v>46003.629189814812</v>
      </c>
      <c r="D677" t="str">
        <f t="shared" si="30"/>
        <v>Friday</v>
      </c>
      <c r="F677" s="6" t="str">
        <f t="shared" si="31"/>
        <v>Saturday</v>
      </c>
      <c r="G677" t="str">
        <f>IF(COUNTIF(INDEX(SkiResort_ParkingRevenue_Raw[License Plate],1):SkiResort_ParkingRevenue_Raw[[#This Row],[License Plate]],SkiResort_ParkingRevenue_Raw[[#This Row],[License Plate]])=1,"New","Returning")</f>
        <v>Returning</v>
      </c>
      <c r="H677">
        <v>24.99</v>
      </c>
      <c r="I677">
        <v>1</v>
      </c>
      <c r="J677" t="str">
        <f t="shared" si="32"/>
        <v>Weekends/Holiday Only</v>
      </c>
    </row>
    <row r="678" spans="1:10" x14ac:dyDescent="0.25">
      <c r="A678" t="s">
        <v>2617</v>
      </c>
      <c r="B678" t="str" cm="1">
        <f t="array" ref="B67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78" s="6">
        <v>46003.822685185187</v>
      </c>
      <c r="D678" t="str">
        <f t="shared" si="30"/>
        <v>Friday</v>
      </c>
      <c r="F678" s="6" t="str">
        <f t="shared" si="31"/>
        <v>Saturday</v>
      </c>
      <c r="G678" t="str">
        <f>IF(COUNTIF(INDEX(SkiResort_ParkingRevenue_Raw[License Plate],1):SkiResort_ParkingRevenue_Raw[[#This Row],[License Plate]],SkiResort_ParkingRevenue_Raw[[#This Row],[License Plate]])=1,"New","Returning")</f>
        <v>New</v>
      </c>
      <c r="H678">
        <v>24.99</v>
      </c>
      <c r="I678">
        <v>1</v>
      </c>
      <c r="J678" t="str">
        <f t="shared" si="32"/>
        <v>Weekends/Holiday Only</v>
      </c>
    </row>
    <row r="679" spans="1:10" x14ac:dyDescent="0.25">
      <c r="A679" t="s">
        <v>2623</v>
      </c>
      <c r="B679" t="str" cm="1">
        <f t="array" ref="B67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79" s="6">
        <v>46003.859351851854</v>
      </c>
      <c r="D679" t="str">
        <f t="shared" si="30"/>
        <v>Friday</v>
      </c>
      <c r="F679" s="6" t="str">
        <f t="shared" si="31"/>
        <v>Saturday</v>
      </c>
      <c r="G679" t="str">
        <f>IF(COUNTIF(INDEX(SkiResort_ParkingRevenue_Raw[License Plate],1):SkiResort_ParkingRevenue_Raw[[#This Row],[License Plate]],SkiResort_ParkingRevenue_Raw[[#This Row],[License Plate]])=1,"New","Returning")</f>
        <v>New</v>
      </c>
      <c r="H679">
        <v>24.99</v>
      </c>
      <c r="I679">
        <v>1</v>
      </c>
      <c r="J679" t="str">
        <f t="shared" si="32"/>
        <v>Weekends/Holiday Only</v>
      </c>
    </row>
    <row r="680" spans="1:10" x14ac:dyDescent="0.25">
      <c r="A680" t="s">
        <v>2629</v>
      </c>
      <c r="B680" t="str" cm="1">
        <f t="array" ref="B68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80" s="6">
        <v>46004.528368055559</v>
      </c>
      <c r="D680" t="str">
        <f t="shared" si="30"/>
        <v>Saturday</v>
      </c>
      <c r="F680" s="6" t="str">
        <f t="shared" si="31"/>
        <v>Saturday</v>
      </c>
      <c r="G680" t="str">
        <f>IF(COUNTIF(INDEX(SkiResort_ParkingRevenue_Raw[License Plate],1):SkiResort_ParkingRevenue_Raw[[#This Row],[License Plate]],SkiResort_ParkingRevenue_Raw[[#This Row],[License Plate]])=1,"New","Returning")</f>
        <v>New</v>
      </c>
      <c r="H680">
        <v>24.99</v>
      </c>
      <c r="I680">
        <v>1</v>
      </c>
      <c r="J680" t="str">
        <f t="shared" si="32"/>
        <v>Weekends/Holiday Only</v>
      </c>
    </row>
    <row r="681" spans="1:10" x14ac:dyDescent="0.25">
      <c r="A681" t="s">
        <v>2635</v>
      </c>
      <c r="B681" t="str" cm="1">
        <f t="array" ref="B68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81" s="6">
        <v>46004.889814814815</v>
      </c>
      <c r="D681" t="str">
        <f t="shared" si="30"/>
        <v>Saturday</v>
      </c>
      <c r="F681" s="6" t="str">
        <f t="shared" si="31"/>
        <v>Saturday</v>
      </c>
      <c r="G681" t="str">
        <f>IF(COUNTIF(INDEX(SkiResort_ParkingRevenue_Raw[License Plate],1):SkiResort_ParkingRevenue_Raw[[#This Row],[License Plate]],SkiResort_ParkingRevenue_Raw[[#This Row],[License Plate]])=1,"New","Returning")</f>
        <v>Returning</v>
      </c>
      <c r="H681">
        <v>24.99</v>
      </c>
      <c r="I681">
        <v>1</v>
      </c>
      <c r="J681" t="str">
        <f t="shared" si="32"/>
        <v>Weekends/Holiday Only</v>
      </c>
    </row>
    <row r="682" spans="1:10" x14ac:dyDescent="0.25">
      <c r="A682" t="s">
        <v>2637</v>
      </c>
      <c r="B682" t="str" cm="1">
        <f t="array" ref="B68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82" s="6">
        <v>46006.315949074073</v>
      </c>
      <c r="D682" t="str">
        <f t="shared" si="30"/>
        <v>Monday</v>
      </c>
      <c r="F682" s="6" t="str">
        <f t="shared" si="31"/>
        <v>Saturday</v>
      </c>
      <c r="G682" t="str">
        <f>IF(COUNTIF(INDEX(SkiResort_ParkingRevenue_Raw[License Plate],1):SkiResort_ParkingRevenue_Raw[[#This Row],[License Plate]],SkiResort_ParkingRevenue_Raw[[#This Row],[License Plate]])=1,"New","Returning")</f>
        <v>New</v>
      </c>
      <c r="H682">
        <v>24.99</v>
      </c>
      <c r="I682">
        <v>1</v>
      </c>
      <c r="J682" t="str">
        <f t="shared" si="32"/>
        <v>Weekends/Holiday Only</v>
      </c>
    </row>
    <row r="683" spans="1:10" x14ac:dyDescent="0.25">
      <c r="A683" t="s">
        <v>2643</v>
      </c>
      <c r="B683" t="str" cm="1">
        <f t="array" ref="B68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83" s="6">
        <v>46008.51971064815</v>
      </c>
      <c r="D683" t="str">
        <f t="shared" si="30"/>
        <v>Wednesday</v>
      </c>
      <c r="F683" s="6" t="str">
        <f t="shared" si="31"/>
        <v>Saturday</v>
      </c>
      <c r="G683" t="str">
        <f>IF(COUNTIF(INDEX(SkiResort_ParkingRevenue_Raw[License Plate],1):SkiResort_ParkingRevenue_Raw[[#This Row],[License Plate]],SkiResort_ParkingRevenue_Raw[[#This Row],[License Plate]])=1,"New","Returning")</f>
        <v>New</v>
      </c>
      <c r="H683">
        <v>49.98</v>
      </c>
      <c r="I683">
        <v>2</v>
      </c>
      <c r="J683" t="str">
        <f t="shared" si="32"/>
        <v>Weekends/Holiday Only</v>
      </c>
    </row>
    <row r="684" spans="1:10" x14ac:dyDescent="0.25">
      <c r="A684" t="s">
        <v>2649</v>
      </c>
      <c r="B684" t="str" cm="1">
        <f t="array" ref="B68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84" s="6">
        <v>46009.393287037034</v>
      </c>
      <c r="D684" t="str">
        <f t="shared" si="30"/>
        <v>Thursday</v>
      </c>
      <c r="F684" s="6" t="str">
        <f t="shared" si="31"/>
        <v>Saturday</v>
      </c>
      <c r="G684" t="str">
        <f>IF(COUNTIF(INDEX(SkiResort_ParkingRevenue_Raw[License Plate],1):SkiResort_ParkingRevenue_Raw[[#This Row],[License Plate]],SkiResort_ParkingRevenue_Raw[[#This Row],[License Plate]])=1,"New","Returning")</f>
        <v>New</v>
      </c>
      <c r="H684">
        <v>24.99</v>
      </c>
      <c r="I684">
        <v>1</v>
      </c>
      <c r="J684" t="str">
        <f t="shared" si="32"/>
        <v>Weekends/Holiday Only</v>
      </c>
    </row>
    <row r="685" spans="1:10" x14ac:dyDescent="0.25">
      <c r="A685" t="s">
        <v>2655</v>
      </c>
      <c r="B685" t="str" cm="1">
        <f t="array" ref="B68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85" s="6">
        <v>46011.705057870371</v>
      </c>
      <c r="D685" t="str">
        <f t="shared" si="30"/>
        <v>Saturday</v>
      </c>
      <c r="F685" s="6" t="str">
        <f t="shared" si="31"/>
        <v>Saturday</v>
      </c>
      <c r="G685" t="str">
        <f>IF(COUNTIF(INDEX(SkiResort_ParkingRevenue_Raw[License Plate],1):SkiResort_ParkingRevenue_Raw[[#This Row],[License Plate]],SkiResort_ParkingRevenue_Raw[[#This Row],[License Plate]])=1,"New","Returning")</f>
        <v>New</v>
      </c>
      <c r="H685">
        <v>24.99</v>
      </c>
      <c r="I685">
        <v>1</v>
      </c>
      <c r="J685" t="str">
        <f t="shared" si="32"/>
        <v>Weekends/Holiday Only</v>
      </c>
    </row>
    <row r="686" spans="1:10" x14ac:dyDescent="0.25">
      <c r="A686" t="s">
        <v>2661</v>
      </c>
      <c r="B686" t="str" cm="1">
        <f t="array" ref="B68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86" s="6">
        <v>46011.736863425926</v>
      </c>
      <c r="D686" t="str">
        <f t="shared" si="30"/>
        <v>Saturday</v>
      </c>
      <c r="F686" s="6" t="str">
        <f t="shared" si="31"/>
        <v>Saturday</v>
      </c>
      <c r="G686" t="str">
        <f>IF(COUNTIF(INDEX(SkiResort_ParkingRevenue_Raw[License Plate],1):SkiResort_ParkingRevenue_Raw[[#This Row],[License Plate]],SkiResort_ParkingRevenue_Raw[[#This Row],[License Plate]])=1,"New","Returning")</f>
        <v>New</v>
      </c>
      <c r="H686">
        <v>24.99</v>
      </c>
      <c r="I686">
        <v>1</v>
      </c>
      <c r="J686" t="str">
        <f t="shared" si="32"/>
        <v>Weekends/Holiday Only</v>
      </c>
    </row>
    <row r="687" spans="1:10" x14ac:dyDescent="0.25">
      <c r="A687" t="s">
        <v>2667</v>
      </c>
      <c r="B687" t="str" cm="1">
        <f t="array" ref="B68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87" s="6">
        <v>46011.823854166665</v>
      </c>
      <c r="D687" t="str">
        <f t="shared" si="30"/>
        <v>Saturday</v>
      </c>
      <c r="F687" s="6" t="str">
        <f t="shared" si="31"/>
        <v>Saturday</v>
      </c>
      <c r="G687" t="str">
        <f>IF(COUNTIF(INDEX(SkiResort_ParkingRevenue_Raw[License Plate],1):SkiResort_ParkingRevenue_Raw[[#This Row],[License Plate]],SkiResort_ParkingRevenue_Raw[[#This Row],[License Plate]])=1,"New","Returning")</f>
        <v>New</v>
      </c>
      <c r="H687">
        <v>24.99</v>
      </c>
      <c r="I687">
        <v>1</v>
      </c>
      <c r="J687" t="str">
        <f t="shared" si="32"/>
        <v>Weekends/Holiday Only</v>
      </c>
    </row>
    <row r="688" spans="1:10" x14ac:dyDescent="0.25">
      <c r="A688" t="s">
        <v>2670</v>
      </c>
      <c r="B688" t="str" cm="1">
        <f t="array" ref="B68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88" s="6">
        <v>46011.830925925926</v>
      </c>
      <c r="D688" t="str">
        <f t="shared" si="30"/>
        <v>Saturday</v>
      </c>
      <c r="F688" s="6" t="str">
        <f t="shared" si="31"/>
        <v>Saturday</v>
      </c>
      <c r="G688" t="str">
        <f>IF(COUNTIF(INDEX(SkiResort_ParkingRevenue_Raw[License Plate],1):SkiResort_ParkingRevenue_Raw[[#This Row],[License Plate]],SkiResort_ParkingRevenue_Raw[[#This Row],[License Plate]])=1,"New","Returning")</f>
        <v>Returning</v>
      </c>
      <c r="H688">
        <v>24.99</v>
      </c>
      <c r="I688">
        <v>1</v>
      </c>
      <c r="J688" t="str">
        <f t="shared" si="32"/>
        <v>Weekends/Holiday Only</v>
      </c>
    </row>
    <row r="689" spans="1:10" x14ac:dyDescent="0.25">
      <c r="A689" t="s">
        <v>2672</v>
      </c>
      <c r="B689" t="str" cm="1">
        <f t="array" ref="B68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89" s="6">
        <v>46011.945300925923</v>
      </c>
      <c r="D689" t="str">
        <f t="shared" si="30"/>
        <v>Saturday</v>
      </c>
      <c r="F689" s="6" t="str">
        <f t="shared" si="31"/>
        <v>Saturday</v>
      </c>
      <c r="G689" t="str">
        <f>IF(COUNTIF(INDEX(SkiResort_ParkingRevenue_Raw[License Plate],1):SkiResort_ParkingRevenue_Raw[[#This Row],[License Plate]],SkiResort_ParkingRevenue_Raw[[#This Row],[License Plate]])=1,"New","Returning")</f>
        <v>New</v>
      </c>
      <c r="H689">
        <v>24.99</v>
      </c>
      <c r="I689">
        <v>1</v>
      </c>
      <c r="J689" t="str">
        <f t="shared" si="32"/>
        <v>Weekends/Holiday Only</v>
      </c>
    </row>
    <row r="690" spans="1:10" x14ac:dyDescent="0.25">
      <c r="A690" t="s">
        <v>2675</v>
      </c>
      <c r="B690" t="str" cm="1">
        <f t="array" ref="B69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90" s="6">
        <v>46012.335092592592</v>
      </c>
      <c r="D690" t="str">
        <f t="shared" si="30"/>
        <v>Sunday</v>
      </c>
      <c r="F690" s="6" t="str">
        <f t="shared" si="31"/>
        <v>Saturday</v>
      </c>
      <c r="G690" t="str">
        <f>IF(COUNTIF(INDEX(SkiResort_ParkingRevenue_Raw[License Plate],1):SkiResort_ParkingRevenue_Raw[[#This Row],[License Plate]],SkiResort_ParkingRevenue_Raw[[#This Row],[License Plate]])=1,"New","Returning")</f>
        <v>Returning</v>
      </c>
      <c r="H690">
        <v>24.99</v>
      </c>
      <c r="I690">
        <v>1</v>
      </c>
      <c r="J690" t="str">
        <f t="shared" si="32"/>
        <v>Weekends/Holiday Only</v>
      </c>
    </row>
    <row r="691" spans="1:10" x14ac:dyDescent="0.25">
      <c r="A691" t="s">
        <v>2677</v>
      </c>
      <c r="B691" t="str" cm="1">
        <f t="array" ref="B69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91" s="6">
        <v>46012.376319444447</v>
      </c>
      <c r="D691" t="str">
        <f t="shared" si="30"/>
        <v>Sunday</v>
      </c>
      <c r="F691" s="6" t="str">
        <f t="shared" si="31"/>
        <v>Saturday</v>
      </c>
      <c r="G691" t="str">
        <f>IF(COUNTIF(INDEX(SkiResort_ParkingRevenue_Raw[License Plate],1):SkiResort_ParkingRevenue_Raw[[#This Row],[License Plate]],SkiResort_ParkingRevenue_Raw[[#This Row],[License Plate]])=1,"New","Returning")</f>
        <v>Returning</v>
      </c>
      <c r="H691">
        <v>24.99</v>
      </c>
      <c r="I691">
        <v>1</v>
      </c>
      <c r="J691" t="str">
        <f t="shared" si="32"/>
        <v>Weekends/Holiday Only</v>
      </c>
    </row>
    <row r="692" spans="1:10" x14ac:dyDescent="0.25">
      <c r="A692" t="s">
        <v>2679</v>
      </c>
      <c r="B692" t="str" cm="1">
        <f t="array" ref="B69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92" s="6">
        <v>46012.751782407409</v>
      </c>
      <c r="D692" t="str">
        <f t="shared" si="30"/>
        <v>Sunday</v>
      </c>
      <c r="F692" s="6" t="str">
        <f t="shared" si="31"/>
        <v>Saturday</v>
      </c>
      <c r="G692" t="str">
        <f>IF(COUNTIF(INDEX(SkiResort_ParkingRevenue_Raw[License Plate],1):SkiResort_ParkingRevenue_Raw[[#This Row],[License Plate]],SkiResort_ParkingRevenue_Raw[[#This Row],[License Plate]])=1,"New","Returning")</f>
        <v>New</v>
      </c>
      <c r="H692">
        <v>24.99</v>
      </c>
      <c r="I692">
        <v>1</v>
      </c>
      <c r="J692" t="str">
        <f t="shared" si="32"/>
        <v>Weekends/Holiday Only</v>
      </c>
    </row>
    <row r="693" spans="1:10" x14ac:dyDescent="0.25">
      <c r="A693" t="s">
        <v>2685</v>
      </c>
      <c r="B693" t="str" cm="1">
        <f t="array" ref="B69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93" s="6">
        <v>46012.907905092594</v>
      </c>
      <c r="D693" t="str">
        <f t="shared" si="30"/>
        <v>Sunday</v>
      </c>
      <c r="F693" s="6" t="str">
        <f t="shared" si="31"/>
        <v>Saturday</v>
      </c>
      <c r="G693" t="str">
        <f>IF(COUNTIF(INDEX(SkiResort_ParkingRevenue_Raw[License Plate],1):SkiResort_ParkingRevenue_Raw[[#This Row],[License Plate]],SkiResort_ParkingRevenue_Raw[[#This Row],[License Plate]])=1,"New","Returning")</f>
        <v>Returning</v>
      </c>
      <c r="H693">
        <v>24.99</v>
      </c>
      <c r="I693">
        <v>1</v>
      </c>
      <c r="J693" t="str">
        <f t="shared" si="32"/>
        <v>Weekends/Holiday Only</v>
      </c>
    </row>
    <row r="694" spans="1:10" x14ac:dyDescent="0.25">
      <c r="A694" t="s">
        <v>2687</v>
      </c>
      <c r="B694" t="str" cm="1">
        <f t="array" ref="B69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94" s="6">
        <v>46013.42392361111</v>
      </c>
      <c r="D694" t="str">
        <f t="shared" si="30"/>
        <v>Monday</v>
      </c>
      <c r="F694" s="6" t="str">
        <f t="shared" si="31"/>
        <v>Saturday</v>
      </c>
      <c r="G694" t="str">
        <f>IF(COUNTIF(INDEX(SkiResort_ParkingRevenue_Raw[License Plate],1):SkiResort_ParkingRevenue_Raw[[#This Row],[License Plate]],SkiResort_ParkingRevenue_Raw[[#This Row],[License Plate]])=1,"New","Returning")</f>
        <v>New</v>
      </c>
      <c r="H694">
        <v>24.99</v>
      </c>
      <c r="I694">
        <v>1</v>
      </c>
      <c r="J694" t="str">
        <f t="shared" si="32"/>
        <v>Weekends/Holiday Only</v>
      </c>
    </row>
    <row r="695" spans="1:10" x14ac:dyDescent="0.25">
      <c r="A695" t="s">
        <v>2693</v>
      </c>
      <c r="B695" t="str" cm="1">
        <f t="array" ref="B69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95" s="6">
        <v>46013.949155092596</v>
      </c>
      <c r="D695" t="str">
        <f t="shared" si="30"/>
        <v>Monday</v>
      </c>
      <c r="F695" s="6" t="str">
        <f t="shared" si="31"/>
        <v>Saturday</v>
      </c>
      <c r="G695" t="str">
        <f>IF(COUNTIF(INDEX(SkiResort_ParkingRevenue_Raw[License Plate],1):SkiResort_ParkingRevenue_Raw[[#This Row],[License Plate]],SkiResort_ParkingRevenue_Raw[[#This Row],[License Plate]])=1,"New","Returning")</f>
        <v>New</v>
      </c>
      <c r="H695">
        <v>24.99</v>
      </c>
      <c r="I695">
        <v>1</v>
      </c>
      <c r="J695" t="str">
        <f t="shared" si="32"/>
        <v>Weekends/Holiday Only</v>
      </c>
    </row>
    <row r="696" spans="1:10" x14ac:dyDescent="0.25">
      <c r="A696" t="s">
        <v>2699</v>
      </c>
      <c r="B696" t="str" cm="1">
        <f t="array" ref="B69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96" s="6">
        <v>46014.680752314816</v>
      </c>
      <c r="D696" t="str">
        <f t="shared" si="30"/>
        <v>Tuesday</v>
      </c>
      <c r="F696" s="6" t="str">
        <f t="shared" si="31"/>
        <v>Saturday</v>
      </c>
      <c r="G696" t="str">
        <f>IF(COUNTIF(INDEX(SkiResort_ParkingRevenue_Raw[License Plate],1):SkiResort_ParkingRevenue_Raw[[#This Row],[License Plate]],SkiResort_ParkingRevenue_Raw[[#This Row],[License Plate]])=1,"New","Returning")</f>
        <v>New</v>
      </c>
      <c r="H696">
        <v>24.99</v>
      </c>
      <c r="I696">
        <v>1</v>
      </c>
      <c r="J696" t="str">
        <f t="shared" si="32"/>
        <v>Weekends/Holiday Only</v>
      </c>
    </row>
    <row r="697" spans="1:10" x14ac:dyDescent="0.25">
      <c r="A697" t="s">
        <v>2706</v>
      </c>
      <c r="B697" t="str" cm="1">
        <f t="array" ref="B69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97" s="6">
        <v>46015.950289351851</v>
      </c>
      <c r="D697" t="str">
        <f t="shared" si="30"/>
        <v>Wednesday</v>
      </c>
      <c r="F697" s="6" t="str">
        <f t="shared" si="31"/>
        <v>Saturday</v>
      </c>
      <c r="G697" t="str">
        <f>IF(COUNTIF(INDEX(SkiResort_ParkingRevenue_Raw[License Plate],1):SkiResort_ParkingRevenue_Raw[[#This Row],[License Plate]],SkiResort_ParkingRevenue_Raw[[#This Row],[License Plate]])=1,"New","Returning")</f>
        <v>New</v>
      </c>
      <c r="H697">
        <v>24.99</v>
      </c>
      <c r="I697">
        <v>1</v>
      </c>
      <c r="J697" t="str">
        <f t="shared" si="32"/>
        <v>Weekends/Holiday Only</v>
      </c>
    </row>
    <row r="698" spans="1:10" x14ac:dyDescent="0.25">
      <c r="A698" t="s">
        <v>2712</v>
      </c>
      <c r="B698" t="str" cm="1">
        <f t="array" ref="B69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98" s="6">
        <v>46017.394930555558</v>
      </c>
      <c r="D698" t="str">
        <f t="shared" si="30"/>
        <v>Friday</v>
      </c>
      <c r="F698" s="6" t="str">
        <f t="shared" si="31"/>
        <v>Saturday</v>
      </c>
      <c r="G698" t="str">
        <f>IF(COUNTIF(INDEX(SkiResort_ParkingRevenue_Raw[License Plate],1):SkiResort_ParkingRevenue_Raw[[#This Row],[License Plate]],SkiResort_ParkingRevenue_Raw[[#This Row],[License Plate]])=1,"New","Returning")</f>
        <v>New</v>
      </c>
      <c r="H698">
        <v>24.99</v>
      </c>
      <c r="I698">
        <v>1</v>
      </c>
      <c r="J698" t="str">
        <f t="shared" si="32"/>
        <v>Weekends/Holiday Only</v>
      </c>
    </row>
    <row r="699" spans="1:10" x14ac:dyDescent="0.25">
      <c r="A699" t="s">
        <v>2718</v>
      </c>
      <c r="B699" t="str" cm="1">
        <f t="array" ref="B69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699" s="6">
        <v>46017.753692129627</v>
      </c>
      <c r="D699" t="str">
        <f t="shared" si="30"/>
        <v>Friday</v>
      </c>
      <c r="F699" s="6" t="str">
        <f t="shared" si="31"/>
        <v>Saturday</v>
      </c>
      <c r="G699" t="str">
        <f>IF(COUNTIF(INDEX(SkiResort_ParkingRevenue_Raw[License Plate],1):SkiResort_ParkingRevenue_Raw[[#This Row],[License Plate]],SkiResort_ParkingRevenue_Raw[[#This Row],[License Plate]])=1,"New","Returning")</f>
        <v>Returning</v>
      </c>
      <c r="H699">
        <v>24.99</v>
      </c>
      <c r="I699">
        <v>1</v>
      </c>
      <c r="J699" t="str">
        <f t="shared" si="32"/>
        <v>Weekends/Holiday Only</v>
      </c>
    </row>
    <row r="700" spans="1:10" x14ac:dyDescent="0.25">
      <c r="A700" t="s">
        <v>2720</v>
      </c>
      <c r="B700" t="str" cm="1">
        <f t="array" ref="B70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00" s="6">
        <v>46017.87740740741</v>
      </c>
      <c r="D700" t="str">
        <f t="shared" si="30"/>
        <v>Friday</v>
      </c>
      <c r="F700" s="6" t="str">
        <f t="shared" si="31"/>
        <v>Saturday</v>
      </c>
      <c r="G700" t="str">
        <f>IF(COUNTIF(INDEX(SkiResort_ParkingRevenue_Raw[License Plate],1):SkiResort_ParkingRevenue_Raw[[#This Row],[License Plate]],SkiResort_ParkingRevenue_Raw[[#This Row],[License Plate]])=1,"New","Returning")</f>
        <v>New</v>
      </c>
      <c r="H700">
        <v>24.99</v>
      </c>
      <c r="I700">
        <v>1</v>
      </c>
      <c r="J700" t="str">
        <f t="shared" si="32"/>
        <v>Weekends/Holiday Only</v>
      </c>
    </row>
    <row r="701" spans="1:10" x14ac:dyDescent="0.25">
      <c r="A701" t="s">
        <v>2726</v>
      </c>
      <c r="B701" t="str" cm="1">
        <f t="array" ref="B70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01" s="6">
        <v>46017.929409722223</v>
      </c>
      <c r="D701" t="str">
        <f t="shared" si="30"/>
        <v>Friday</v>
      </c>
      <c r="F701" s="6" t="str">
        <f t="shared" si="31"/>
        <v>Saturday</v>
      </c>
      <c r="G701" t="str">
        <f>IF(COUNTIF(INDEX(SkiResort_ParkingRevenue_Raw[License Plate],1):SkiResort_ParkingRevenue_Raw[[#This Row],[License Plate]],SkiResort_ParkingRevenue_Raw[[#This Row],[License Plate]])=1,"New","Returning")</f>
        <v>New</v>
      </c>
      <c r="H701">
        <v>24.99</v>
      </c>
      <c r="I701">
        <v>1</v>
      </c>
      <c r="J701" t="str">
        <f t="shared" si="32"/>
        <v>Weekends/Holiday Only</v>
      </c>
    </row>
    <row r="702" spans="1:10" x14ac:dyDescent="0.25">
      <c r="A702" t="s">
        <v>2732</v>
      </c>
      <c r="B702" t="str" cm="1">
        <f t="array" ref="B70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02" s="6">
        <v>46018.275451388887</v>
      </c>
      <c r="D702" t="str">
        <f t="shared" si="30"/>
        <v>Saturday</v>
      </c>
      <c r="F702" s="6" t="str">
        <f t="shared" si="31"/>
        <v>Saturday</v>
      </c>
      <c r="G702" t="str">
        <f>IF(COUNTIF(INDEX(SkiResort_ParkingRevenue_Raw[License Plate],1):SkiResort_ParkingRevenue_Raw[[#This Row],[License Plate]],SkiResort_ParkingRevenue_Raw[[#This Row],[License Plate]])=1,"New","Returning")</f>
        <v>Returning</v>
      </c>
      <c r="H702">
        <v>24.99</v>
      </c>
      <c r="I702">
        <v>1</v>
      </c>
      <c r="J702" t="str">
        <f t="shared" si="32"/>
        <v>Weekends/Holiday Only</v>
      </c>
    </row>
    <row r="703" spans="1:10" x14ac:dyDescent="0.25">
      <c r="A703" t="s">
        <v>2734</v>
      </c>
      <c r="B703" t="str" cm="1">
        <f t="array" ref="B70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03" s="6">
        <v>46018.291921296295</v>
      </c>
      <c r="D703" t="str">
        <f t="shared" si="30"/>
        <v>Saturday</v>
      </c>
      <c r="F703" s="6" t="str">
        <f t="shared" si="31"/>
        <v>Saturday</v>
      </c>
      <c r="G703" t="str">
        <f>IF(COUNTIF(INDEX(SkiResort_ParkingRevenue_Raw[License Plate],1):SkiResort_ParkingRevenue_Raw[[#This Row],[License Plate]],SkiResort_ParkingRevenue_Raw[[#This Row],[License Plate]])=1,"New","Returning")</f>
        <v>New</v>
      </c>
      <c r="H703">
        <v>24.99</v>
      </c>
      <c r="I703">
        <v>1</v>
      </c>
      <c r="J703" t="str">
        <f t="shared" si="32"/>
        <v>Weekends/Holiday Only</v>
      </c>
    </row>
    <row r="704" spans="1:10" x14ac:dyDescent="0.25">
      <c r="A704" t="s">
        <v>2740</v>
      </c>
      <c r="B704" t="str" cm="1">
        <f t="array" ref="B70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04" s="6">
        <v>46018.333993055552</v>
      </c>
      <c r="D704" t="str">
        <f t="shared" si="30"/>
        <v>Saturday</v>
      </c>
      <c r="F704" s="6" t="str">
        <f t="shared" si="31"/>
        <v>Saturday</v>
      </c>
      <c r="G704" t="str">
        <f>IF(COUNTIF(INDEX(SkiResort_ParkingRevenue_Raw[License Plate],1):SkiResort_ParkingRevenue_Raw[[#This Row],[License Plate]],SkiResort_ParkingRevenue_Raw[[#This Row],[License Plate]])=1,"New","Returning")</f>
        <v>New</v>
      </c>
      <c r="H704">
        <v>24.99</v>
      </c>
      <c r="I704">
        <v>1</v>
      </c>
      <c r="J704" t="str">
        <f t="shared" si="32"/>
        <v>Weekends/Holiday Only</v>
      </c>
    </row>
    <row r="705" spans="1:10" x14ac:dyDescent="0.25">
      <c r="A705" t="s">
        <v>2746</v>
      </c>
      <c r="B705" t="str" cm="1">
        <f t="array" ref="B70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05" s="6">
        <v>46018.33489583333</v>
      </c>
      <c r="D705" t="str">
        <f t="shared" si="30"/>
        <v>Saturday</v>
      </c>
      <c r="F705" s="6" t="str">
        <f t="shared" si="31"/>
        <v>Saturday</v>
      </c>
      <c r="G705" t="str">
        <f>IF(COUNTIF(INDEX(SkiResort_ParkingRevenue_Raw[License Plate],1):SkiResort_ParkingRevenue_Raw[[#This Row],[License Plate]],SkiResort_ParkingRevenue_Raw[[#This Row],[License Plate]])=1,"New","Returning")</f>
        <v>New</v>
      </c>
      <c r="H705">
        <v>24.99</v>
      </c>
      <c r="I705">
        <v>1</v>
      </c>
      <c r="J705" t="str">
        <f t="shared" si="32"/>
        <v>Weekends/Holiday Only</v>
      </c>
    </row>
    <row r="706" spans="1:10" x14ac:dyDescent="0.25">
      <c r="A706" t="s">
        <v>2752</v>
      </c>
      <c r="B706" t="str" cm="1">
        <f t="array" ref="B70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06" s="6">
        <v>46018.376747685186</v>
      </c>
      <c r="D706" t="str">
        <f t="shared" ref="D706:D769" si="33">_xlfn.TEXTBEFORE(TEXT(C706, "dddd, mmmm dd, yyyy"), ",")</f>
        <v>Saturday</v>
      </c>
      <c r="F706" s="6" t="str">
        <f t="shared" si="31"/>
        <v>Saturday</v>
      </c>
      <c r="G706" t="str">
        <f>IF(COUNTIF(INDEX(SkiResort_ParkingRevenue_Raw[License Plate],1):SkiResort_ParkingRevenue_Raw[[#This Row],[License Plate]],SkiResort_ParkingRevenue_Raw[[#This Row],[License Plate]])=1,"New","Returning")</f>
        <v>Returning</v>
      </c>
      <c r="H706">
        <v>24.99</v>
      </c>
      <c r="I706">
        <v>1</v>
      </c>
      <c r="J706" t="str">
        <f t="shared" si="32"/>
        <v>Weekends/Holiday Only</v>
      </c>
    </row>
    <row r="707" spans="1:10" x14ac:dyDescent="0.25">
      <c r="A707" t="s">
        <v>2754</v>
      </c>
      <c r="B707" t="str" cm="1">
        <f t="array" ref="B70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07" s="6">
        <v>46018.42015046296</v>
      </c>
      <c r="D707" t="str">
        <f t="shared" si="33"/>
        <v>Saturday</v>
      </c>
      <c r="F707" s="6" t="str">
        <f t="shared" ref="F707:F770" si="34">_xlfn.TEXTBEFORE(TEXT(E707,"dddd, mmmm dd, yyyy"), ",")</f>
        <v>Saturday</v>
      </c>
      <c r="G707" t="str">
        <f>IF(COUNTIF(INDEX(SkiResort_ParkingRevenue_Raw[License Plate],1):SkiResort_ParkingRevenue_Raw[[#This Row],[License Plate]],SkiResort_ParkingRevenue_Raw[[#This Row],[License Plate]])=1,"New","Returning")</f>
        <v>Returning</v>
      </c>
      <c r="H707">
        <v>24.99</v>
      </c>
      <c r="I707">
        <v>1</v>
      </c>
      <c r="J707" t="str">
        <f t="shared" ref="J707:J770" si="35">IF(C707&lt;DATE(2025,1,17), "All Season", "Weekends/Holiday Only")</f>
        <v>Weekends/Holiday Only</v>
      </c>
    </row>
    <row r="708" spans="1:10" x14ac:dyDescent="0.25">
      <c r="A708" t="s">
        <v>2759</v>
      </c>
      <c r="B708" t="str" cm="1">
        <f t="array" ref="B70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08" s="6">
        <v>46018.423576388886</v>
      </c>
      <c r="D708" t="str">
        <f t="shared" si="33"/>
        <v>Saturday</v>
      </c>
      <c r="F708" s="6" t="str">
        <f t="shared" si="34"/>
        <v>Saturday</v>
      </c>
      <c r="G708" t="str">
        <f>IF(COUNTIF(INDEX(SkiResort_ParkingRevenue_Raw[License Plate],1):SkiResort_ParkingRevenue_Raw[[#This Row],[License Plate]],SkiResort_ParkingRevenue_Raw[[#This Row],[License Plate]])=1,"New","Returning")</f>
        <v>Returning</v>
      </c>
      <c r="H708">
        <v>24.99</v>
      </c>
      <c r="I708">
        <v>1</v>
      </c>
      <c r="J708" t="str">
        <f t="shared" si="35"/>
        <v>Weekends/Holiday Only</v>
      </c>
    </row>
    <row r="709" spans="1:10" x14ac:dyDescent="0.25">
      <c r="A709" t="s">
        <v>2761</v>
      </c>
      <c r="B709" t="str" cm="1">
        <f t="array" ref="B70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09" s="6">
        <v>46018.518738425926</v>
      </c>
      <c r="D709" t="str">
        <f t="shared" si="33"/>
        <v>Saturday</v>
      </c>
      <c r="F709" s="6" t="str">
        <f t="shared" si="34"/>
        <v>Saturday</v>
      </c>
      <c r="G709" t="str">
        <f>IF(COUNTIF(INDEX(SkiResort_ParkingRevenue_Raw[License Plate],1):SkiResort_ParkingRevenue_Raw[[#This Row],[License Plate]],SkiResort_ParkingRevenue_Raw[[#This Row],[License Plate]])=1,"New","Returning")</f>
        <v>New</v>
      </c>
      <c r="H709">
        <v>24.99</v>
      </c>
      <c r="I709">
        <v>1</v>
      </c>
      <c r="J709" t="str">
        <f t="shared" si="35"/>
        <v>Weekends/Holiday Only</v>
      </c>
    </row>
    <row r="710" spans="1:10" x14ac:dyDescent="0.25">
      <c r="A710" t="s">
        <v>2767</v>
      </c>
      <c r="B710" t="str" cm="1">
        <f t="array" ref="B71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10" s="6">
        <v>46018.743171296293</v>
      </c>
      <c r="D710" t="str">
        <f t="shared" si="33"/>
        <v>Saturday</v>
      </c>
      <c r="F710" s="6" t="str">
        <f t="shared" si="34"/>
        <v>Saturday</v>
      </c>
      <c r="G710" t="str">
        <f>IF(COUNTIF(INDEX(SkiResort_ParkingRevenue_Raw[License Plate],1):SkiResort_ParkingRevenue_Raw[[#This Row],[License Plate]],SkiResort_ParkingRevenue_Raw[[#This Row],[License Plate]])=1,"New","Returning")</f>
        <v>New</v>
      </c>
      <c r="H710">
        <v>24.99</v>
      </c>
      <c r="I710">
        <v>1</v>
      </c>
      <c r="J710" t="str">
        <f t="shared" si="35"/>
        <v>Weekends/Holiday Only</v>
      </c>
    </row>
    <row r="711" spans="1:10" x14ac:dyDescent="0.25">
      <c r="A711" t="s">
        <v>2773</v>
      </c>
      <c r="B711" t="str" cm="1">
        <f t="array" ref="B71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11" s="6">
        <v>46018.744618055556</v>
      </c>
      <c r="D711" t="str">
        <f t="shared" si="33"/>
        <v>Saturday</v>
      </c>
      <c r="F711" s="6" t="str">
        <f t="shared" si="34"/>
        <v>Saturday</v>
      </c>
      <c r="G711" t="str">
        <f>IF(COUNTIF(INDEX(SkiResort_ParkingRevenue_Raw[License Plate],1):SkiResort_ParkingRevenue_Raw[[#This Row],[License Plate]],SkiResort_ParkingRevenue_Raw[[#This Row],[License Plate]])=1,"New","Returning")</f>
        <v>Returning</v>
      </c>
      <c r="H711">
        <v>24.99</v>
      </c>
      <c r="I711">
        <v>1</v>
      </c>
      <c r="J711" t="str">
        <f t="shared" si="35"/>
        <v>Weekends/Holiday Only</v>
      </c>
    </row>
    <row r="712" spans="1:10" x14ac:dyDescent="0.25">
      <c r="A712" t="s">
        <v>2775</v>
      </c>
      <c r="B712" t="str" cm="1">
        <f t="array" ref="B71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12" s="6">
        <v>46019.294895833336</v>
      </c>
      <c r="D712" t="str">
        <f t="shared" si="33"/>
        <v>Sunday</v>
      </c>
      <c r="F712" s="6" t="str">
        <f t="shared" si="34"/>
        <v>Saturday</v>
      </c>
      <c r="G712" t="str">
        <f>IF(COUNTIF(INDEX(SkiResort_ParkingRevenue_Raw[License Plate],1):SkiResort_ParkingRevenue_Raw[[#This Row],[License Plate]],SkiResort_ParkingRevenue_Raw[[#This Row],[License Plate]])=1,"New","Returning")</f>
        <v>Returning</v>
      </c>
      <c r="H712">
        <v>24.99</v>
      </c>
      <c r="I712">
        <v>1</v>
      </c>
      <c r="J712" t="str">
        <f t="shared" si="35"/>
        <v>Weekends/Holiday Only</v>
      </c>
    </row>
    <row r="713" spans="1:10" x14ac:dyDescent="0.25">
      <c r="A713" t="s">
        <v>2777</v>
      </c>
      <c r="B713" t="str" cm="1">
        <f t="array" ref="B71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13" s="6">
        <v>46019.363449074073</v>
      </c>
      <c r="D713" t="str">
        <f t="shared" si="33"/>
        <v>Sunday</v>
      </c>
      <c r="F713" s="6" t="str">
        <f t="shared" si="34"/>
        <v>Saturday</v>
      </c>
      <c r="G713" t="str">
        <f>IF(COUNTIF(INDEX(SkiResort_ParkingRevenue_Raw[License Plate],1):SkiResort_ParkingRevenue_Raw[[#This Row],[License Plate]],SkiResort_ParkingRevenue_Raw[[#This Row],[License Plate]])=1,"New","Returning")</f>
        <v>Returning</v>
      </c>
      <c r="H713">
        <v>24.99</v>
      </c>
      <c r="I713">
        <v>1</v>
      </c>
      <c r="J713" t="str">
        <f t="shared" si="35"/>
        <v>Weekends/Holiday Only</v>
      </c>
    </row>
    <row r="714" spans="1:10" x14ac:dyDescent="0.25">
      <c r="A714" t="s">
        <v>2779</v>
      </c>
      <c r="B714" t="str" cm="1">
        <f t="array" ref="B71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14" s="6">
        <v>46019.409988425927</v>
      </c>
      <c r="D714" t="str">
        <f t="shared" si="33"/>
        <v>Sunday</v>
      </c>
      <c r="F714" s="6" t="str">
        <f t="shared" si="34"/>
        <v>Saturday</v>
      </c>
      <c r="G714" t="str">
        <f>IF(COUNTIF(INDEX(SkiResort_ParkingRevenue_Raw[License Plate],1):SkiResort_ParkingRevenue_Raw[[#This Row],[License Plate]],SkiResort_ParkingRevenue_Raw[[#This Row],[License Plate]])=1,"New","Returning")</f>
        <v>Returning</v>
      </c>
      <c r="H714">
        <v>24.99</v>
      </c>
      <c r="I714">
        <v>1</v>
      </c>
      <c r="J714" t="str">
        <f t="shared" si="35"/>
        <v>Weekends/Holiday Only</v>
      </c>
    </row>
    <row r="715" spans="1:10" x14ac:dyDescent="0.25">
      <c r="A715" t="s">
        <v>2781</v>
      </c>
      <c r="B715" t="str" cm="1">
        <f t="array" ref="B71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15" s="6">
        <v>46019.625925925924</v>
      </c>
      <c r="D715" t="str">
        <f t="shared" si="33"/>
        <v>Sunday</v>
      </c>
      <c r="F715" s="6" t="str">
        <f t="shared" si="34"/>
        <v>Saturday</v>
      </c>
      <c r="G715" t="str">
        <f>IF(COUNTIF(INDEX(SkiResort_ParkingRevenue_Raw[License Plate],1):SkiResort_ParkingRevenue_Raw[[#This Row],[License Plate]],SkiResort_ParkingRevenue_Raw[[#This Row],[License Plate]])=1,"New","Returning")</f>
        <v>Returning</v>
      </c>
      <c r="H715">
        <v>49.98</v>
      </c>
      <c r="I715">
        <v>2</v>
      </c>
      <c r="J715" t="str">
        <f t="shared" si="35"/>
        <v>Weekends/Holiday Only</v>
      </c>
    </row>
    <row r="716" spans="1:10" x14ac:dyDescent="0.25">
      <c r="A716" t="s">
        <v>2783</v>
      </c>
      <c r="B716" t="str" cm="1">
        <f t="array" ref="B71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16" s="6">
        <v>46019.739305555559</v>
      </c>
      <c r="D716" t="str">
        <f t="shared" si="33"/>
        <v>Sunday</v>
      </c>
      <c r="F716" s="6" t="str">
        <f t="shared" si="34"/>
        <v>Saturday</v>
      </c>
      <c r="G716" t="str">
        <f>IF(COUNTIF(INDEX(SkiResort_ParkingRevenue_Raw[License Plate],1):SkiResort_ParkingRevenue_Raw[[#This Row],[License Plate]],SkiResort_ParkingRevenue_Raw[[#This Row],[License Plate]])=1,"New","Returning")</f>
        <v>Returning</v>
      </c>
      <c r="H716">
        <v>24.99</v>
      </c>
      <c r="I716">
        <v>1</v>
      </c>
      <c r="J716" t="str">
        <f t="shared" si="35"/>
        <v>Weekends/Holiday Only</v>
      </c>
    </row>
    <row r="717" spans="1:10" x14ac:dyDescent="0.25">
      <c r="A717" t="s">
        <v>2788</v>
      </c>
      <c r="B717" t="str" cm="1">
        <f t="array" ref="B71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17" s="6">
        <v>46019.89471064815</v>
      </c>
      <c r="D717" t="str">
        <f t="shared" si="33"/>
        <v>Sunday</v>
      </c>
      <c r="F717" s="6" t="str">
        <f t="shared" si="34"/>
        <v>Saturday</v>
      </c>
      <c r="G717" t="str">
        <f>IF(COUNTIF(INDEX(SkiResort_ParkingRevenue_Raw[License Plate],1):SkiResort_ParkingRevenue_Raw[[#This Row],[License Plate]],SkiResort_ParkingRevenue_Raw[[#This Row],[License Plate]])=1,"New","Returning")</f>
        <v>Returning</v>
      </c>
      <c r="H717">
        <v>49.98</v>
      </c>
      <c r="I717">
        <v>2</v>
      </c>
      <c r="J717" t="str">
        <f t="shared" si="35"/>
        <v>Weekends/Holiday Only</v>
      </c>
    </row>
    <row r="718" spans="1:10" x14ac:dyDescent="0.25">
      <c r="A718" t="s">
        <v>2790</v>
      </c>
      <c r="B718" t="str" cm="1">
        <f t="array" ref="B71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18" s="6">
        <v>46020.278796296298</v>
      </c>
      <c r="D718" t="str">
        <f t="shared" si="33"/>
        <v>Monday</v>
      </c>
      <c r="F718" s="6" t="str">
        <f t="shared" si="34"/>
        <v>Saturday</v>
      </c>
      <c r="G718" t="str">
        <f>IF(COUNTIF(INDEX(SkiResort_ParkingRevenue_Raw[License Plate],1):SkiResort_ParkingRevenue_Raw[[#This Row],[License Plate]],SkiResort_ParkingRevenue_Raw[[#This Row],[License Plate]])=1,"New","Returning")</f>
        <v>New</v>
      </c>
      <c r="H718">
        <v>24.99</v>
      </c>
      <c r="I718">
        <v>1</v>
      </c>
      <c r="J718" t="str">
        <f t="shared" si="35"/>
        <v>Weekends/Holiday Only</v>
      </c>
    </row>
    <row r="719" spans="1:10" x14ac:dyDescent="0.25">
      <c r="A719" t="s">
        <v>2796</v>
      </c>
      <c r="B719" t="str" cm="1">
        <f t="array" ref="B71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19" s="6">
        <v>46020.381354166668</v>
      </c>
      <c r="D719" t="str">
        <f t="shared" si="33"/>
        <v>Monday</v>
      </c>
      <c r="F719" s="6" t="str">
        <f t="shared" si="34"/>
        <v>Saturday</v>
      </c>
      <c r="G719" t="str">
        <f>IF(COUNTIF(INDEX(SkiResort_ParkingRevenue_Raw[License Plate],1):SkiResort_ParkingRevenue_Raw[[#This Row],[License Plate]],SkiResort_ParkingRevenue_Raw[[#This Row],[License Plate]])=1,"New","Returning")</f>
        <v>Returning</v>
      </c>
      <c r="H719">
        <v>24.99</v>
      </c>
      <c r="I719">
        <v>1</v>
      </c>
      <c r="J719" t="str">
        <f t="shared" si="35"/>
        <v>Weekends/Holiday Only</v>
      </c>
    </row>
    <row r="720" spans="1:10" x14ac:dyDescent="0.25">
      <c r="A720" t="s">
        <v>2798</v>
      </c>
      <c r="B720" t="str" cm="1">
        <f t="array" ref="B72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20" s="6">
        <v>46020.383171296293</v>
      </c>
      <c r="D720" t="str">
        <f t="shared" si="33"/>
        <v>Monday</v>
      </c>
      <c r="F720" s="6" t="str">
        <f t="shared" si="34"/>
        <v>Saturday</v>
      </c>
      <c r="G720" t="str">
        <f>IF(COUNTIF(INDEX(SkiResort_ParkingRevenue_Raw[License Plate],1):SkiResort_ParkingRevenue_Raw[[#This Row],[License Plate]],SkiResort_ParkingRevenue_Raw[[#This Row],[License Plate]])=1,"New","Returning")</f>
        <v>New</v>
      </c>
      <c r="H720">
        <v>24.99</v>
      </c>
      <c r="I720">
        <v>1</v>
      </c>
      <c r="J720" t="str">
        <f t="shared" si="35"/>
        <v>Weekends/Holiday Only</v>
      </c>
    </row>
    <row r="721" spans="1:10" x14ac:dyDescent="0.25">
      <c r="A721" t="s">
        <v>2804</v>
      </c>
      <c r="B721" t="str" cm="1">
        <f t="array" ref="B72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21" s="6">
        <v>46020.384756944448</v>
      </c>
      <c r="D721" t="str">
        <f t="shared" si="33"/>
        <v>Monday</v>
      </c>
      <c r="F721" s="6" t="str">
        <f t="shared" si="34"/>
        <v>Saturday</v>
      </c>
      <c r="G721" t="str">
        <f>IF(COUNTIF(INDEX(SkiResort_ParkingRevenue_Raw[License Plate],1):SkiResort_ParkingRevenue_Raw[[#This Row],[License Plate]],SkiResort_ParkingRevenue_Raw[[#This Row],[License Plate]])=1,"New","Returning")</f>
        <v>Returning</v>
      </c>
      <c r="H721">
        <v>24.99</v>
      </c>
      <c r="I721">
        <v>1</v>
      </c>
      <c r="J721" t="str">
        <f t="shared" si="35"/>
        <v>Weekends/Holiday Only</v>
      </c>
    </row>
    <row r="722" spans="1:10" x14ac:dyDescent="0.25">
      <c r="A722" t="s">
        <v>2806</v>
      </c>
      <c r="B722" t="str" cm="1">
        <f t="array" ref="B72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22" s="6">
        <v>46020.413703703707</v>
      </c>
      <c r="D722" t="str">
        <f t="shared" si="33"/>
        <v>Monday</v>
      </c>
      <c r="F722" s="6" t="str">
        <f t="shared" si="34"/>
        <v>Saturday</v>
      </c>
      <c r="G722" t="str">
        <f>IF(COUNTIF(INDEX(SkiResort_ParkingRevenue_Raw[License Plate],1):SkiResort_ParkingRevenue_Raw[[#This Row],[License Plate]],SkiResort_ParkingRevenue_Raw[[#This Row],[License Plate]])=1,"New","Returning")</f>
        <v>Returning</v>
      </c>
      <c r="H722">
        <v>0</v>
      </c>
      <c r="I722">
        <v>1</v>
      </c>
      <c r="J722" t="str">
        <f t="shared" si="35"/>
        <v>Weekends/Holiday Only</v>
      </c>
    </row>
    <row r="723" spans="1:10" x14ac:dyDescent="0.25">
      <c r="A723" t="s">
        <v>2808</v>
      </c>
      <c r="B723" t="str" cm="1">
        <f t="array" ref="B72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23" s="6">
        <v>46020.418090277781</v>
      </c>
      <c r="D723" t="str">
        <f t="shared" si="33"/>
        <v>Monday</v>
      </c>
      <c r="F723" s="6" t="str">
        <f t="shared" si="34"/>
        <v>Saturday</v>
      </c>
      <c r="G723" t="str">
        <f>IF(COUNTIF(INDEX(SkiResort_ParkingRevenue_Raw[License Plate],1):SkiResort_ParkingRevenue_Raw[[#This Row],[License Plate]],SkiResort_ParkingRevenue_Raw[[#This Row],[License Plate]])=1,"New","Returning")</f>
        <v>Returning</v>
      </c>
      <c r="H723">
        <v>49.98</v>
      </c>
      <c r="I723">
        <v>2</v>
      </c>
      <c r="J723" t="str">
        <f t="shared" si="35"/>
        <v>Weekends/Holiday Only</v>
      </c>
    </row>
    <row r="724" spans="1:10" x14ac:dyDescent="0.25">
      <c r="A724" t="s">
        <v>2810</v>
      </c>
      <c r="B724" t="str" cm="1">
        <f t="array" ref="B72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24" s="6">
        <v>46020.466365740744</v>
      </c>
      <c r="D724" t="str">
        <f t="shared" si="33"/>
        <v>Monday</v>
      </c>
      <c r="F724" s="6" t="str">
        <f t="shared" si="34"/>
        <v>Saturday</v>
      </c>
      <c r="G724" t="str">
        <f>IF(COUNTIF(INDEX(SkiResort_ParkingRevenue_Raw[License Plate],1):SkiResort_ParkingRevenue_Raw[[#This Row],[License Plate]],SkiResort_ParkingRevenue_Raw[[#This Row],[License Plate]])=1,"New","Returning")</f>
        <v>New</v>
      </c>
      <c r="H724">
        <v>24.99</v>
      </c>
      <c r="I724">
        <v>1</v>
      </c>
      <c r="J724" t="str">
        <f t="shared" si="35"/>
        <v>Weekends/Holiday Only</v>
      </c>
    </row>
    <row r="725" spans="1:10" x14ac:dyDescent="0.25">
      <c r="A725" t="s">
        <v>2816</v>
      </c>
      <c r="B725" t="str" cm="1">
        <f t="array" ref="B72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25" s="6">
        <v>46020.474340277775</v>
      </c>
      <c r="D725" t="str">
        <f t="shared" si="33"/>
        <v>Monday</v>
      </c>
      <c r="F725" s="6" t="str">
        <f t="shared" si="34"/>
        <v>Saturday</v>
      </c>
      <c r="G725" t="str">
        <f>IF(COUNTIF(INDEX(SkiResort_ParkingRevenue_Raw[License Plate],1):SkiResort_ParkingRevenue_Raw[[#This Row],[License Plate]],SkiResort_ParkingRevenue_Raw[[#This Row],[License Plate]])=1,"New","Returning")</f>
        <v>New</v>
      </c>
      <c r="H725">
        <v>24.99</v>
      </c>
      <c r="I725">
        <v>1</v>
      </c>
      <c r="J725" t="str">
        <f t="shared" si="35"/>
        <v>Weekends/Holiday Only</v>
      </c>
    </row>
    <row r="726" spans="1:10" x14ac:dyDescent="0.25">
      <c r="A726" t="s">
        <v>2822</v>
      </c>
      <c r="B726" t="str" cm="1">
        <f t="array" ref="B72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26" s="6">
        <v>46020.483275462961</v>
      </c>
      <c r="D726" t="str">
        <f t="shared" si="33"/>
        <v>Monday</v>
      </c>
      <c r="F726" s="6" t="str">
        <f t="shared" si="34"/>
        <v>Saturday</v>
      </c>
      <c r="G726" t="str">
        <f>IF(COUNTIF(INDEX(SkiResort_ParkingRevenue_Raw[License Plate],1):SkiResort_ParkingRevenue_Raw[[#This Row],[License Plate]],SkiResort_ParkingRevenue_Raw[[#This Row],[License Plate]])=1,"New","Returning")</f>
        <v>New</v>
      </c>
      <c r="H726">
        <v>24.99</v>
      </c>
      <c r="I726">
        <v>1</v>
      </c>
      <c r="J726" t="str">
        <f t="shared" si="35"/>
        <v>Weekends/Holiday Only</v>
      </c>
    </row>
    <row r="727" spans="1:10" x14ac:dyDescent="0.25">
      <c r="A727" t="s">
        <v>2828</v>
      </c>
      <c r="B727" t="str" cm="1">
        <f t="array" ref="B72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27" s="6">
        <v>46020.773738425924</v>
      </c>
      <c r="D727" t="str">
        <f t="shared" si="33"/>
        <v>Monday</v>
      </c>
      <c r="F727" s="6" t="str">
        <f t="shared" si="34"/>
        <v>Saturday</v>
      </c>
      <c r="G727" t="str">
        <f>IF(COUNTIF(INDEX(SkiResort_ParkingRevenue_Raw[License Plate],1):SkiResort_ParkingRevenue_Raw[[#This Row],[License Plate]],SkiResort_ParkingRevenue_Raw[[#This Row],[License Plate]])=1,"New","Returning")</f>
        <v>New</v>
      </c>
      <c r="H727">
        <v>24.99</v>
      </c>
      <c r="I727">
        <v>1</v>
      </c>
      <c r="J727" t="str">
        <f t="shared" si="35"/>
        <v>Weekends/Holiday Only</v>
      </c>
    </row>
    <row r="728" spans="1:10" x14ac:dyDescent="0.25">
      <c r="A728" t="s">
        <v>2834</v>
      </c>
      <c r="B728" t="str" cm="1">
        <f t="array" ref="B72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28" s="6">
        <v>46020.844629629632</v>
      </c>
      <c r="D728" t="str">
        <f t="shared" si="33"/>
        <v>Monday</v>
      </c>
      <c r="F728" s="6" t="str">
        <f t="shared" si="34"/>
        <v>Saturday</v>
      </c>
      <c r="G728" t="str">
        <f>IF(COUNTIF(INDEX(SkiResort_ParkingRevenue_Raw[License Plate],1):SkiResort_ParkingRevenue_Raw[[#This Row],[License Plate]],SkiResort_ParkingRevenue_Raw[[#This Row],[License Plate]])=1,"New","Returning")</f>
        <v>New</v>
      </c>
      <c r="H728">
        <v>24.99</v>
      </c>
      <c r="I728">
        <v>1</v>
      </c>
      <c r="J728" t="str">
        <f t="shared" si="35"/>
        <v>Weekends/Holiday Only</v>
      </c>
    </row>
    <row r="729" spans="1:10" x14ac:dyDescent="0.25">
      <c r="A729" t="s">
        <v>2840</v>
      </c>
      <c r="B729" t="str" cm="1">
        <f t="array" ref="B72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29" s="6">
        <v>46020.945277777777</v>
      </c>
      <c r="D729" t="str">
        <f t="shared" si="33"/>
        <v>Monday</v>
      </c>
      <c r="F729" s="6" t="str">
        <f t="shared" si="34"/>
        <v>Saturday</v>
      </c>
      <c r="G729" t="str">
        <f>IF(COUNTIF(INDEX(SkiResort_ParkingRevenue_Raw[License Plate],1):SkiResort_ParkingRevenue_Raw[[#This Row],[License Plate]],SkiResort_ParkingRevenue_Raw[[#This Row],[License Plate]])=1,"New","Returning")</f>
        <v>New</v>
      </c>
      <c r="H729">
        <v>24.99</v>
      </c>
      <c r="I729">
        <v>1</v>
      </c>
      <c r="J729" t="str">
        <f t="shared" si="35"/>
        <v>Weekends/Holiday Only</v>
      </c>
    </row>
    <row r="730" spans="1:10" x14ac:dyDescent="0.25">
      <c r="A730" t="s">
        <v>2846</v>
      </c>
      <c r="B730" t="str" cm="1">
        <f t="array" ref="B73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30" s="6">
        <v>46021.31958333333</v>
      </c>
      <c r="D730" t="str">
        <f t="shared" si="33"/>
        <v>Tuesday</v>
      </c>
      <c r="F730" s="6" t="str">
        <f t="shared" si="34"/>
        <v>Saturday</v>
      </c>
      <c r="G730" t="str">
        <f>IF(COUNTIF(INDEX(SkiResort_ParkingRevenue_Raw[License Plate],1):SkiResort_ParkingRevenue_Raw[[#This Row],[License Plate]],SkiResort_ParkingRevenue_Raw[[#This Row],[License Plate]])=1,"New","Returning")</f>
        <v>New</v>
      </c>
      <c r="H730">
        <v>24.99</v>
      </c>
      <c r="I730">
        <v>1</v>
      </c>
      <c r="J730" t="str">
        <f t="shared" si="35"/>
        <v>Weekends/Holiday Only</v>
      </c>
    </row>
    <row r="731" spans="1:10" x14ac:dyDescent="0.25">
      <c r="A731" t="s">
        <v>2852</v>
      </c>
      <c r="B731" t="str" cm="1">
        <f t="array" ref="B73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31" s="6">
        <v>46021.402407407404</v>
      </c>
      <c r="D731" t="str">
        <f t="shared" si="33"/>
        <v>Tuesday</v>
      </c>
      <c r="F731" s="6" t="str">
        <f t="shared" si="34"/>
        <v>Saturday</v>
      </c>
      <c r="G731" t="str">
        <f>IF(COUNTIF(INDEX(SkiResort_ParkingRevenue_Raw[License Plate],1):SkiResort_ParkingRevenue_Raw[[#This Row],[License Plate]],SkiResort_ParkingRevenue_Raw[[#This Row],[License Plate]])=1,"New","Returning")</f>
        <v>Returning</v>
      </c>
      <c r="H731">
        <v>24.99</v>
      </c>
      <c r="I731">
        <v>1</v>
      </c>
      <c r="J731" t="str">
        <f t="shared" si="35"/>
        <v>Weekends/Holiday Only</v>
      </c>
    </row>
    <row r="732" spans="1:10" x14ac:dyDescent="0.25">
      <c r="A732" t="s">
        <v>2857</v>
      </c>
      <c r="B732" t="str" cm="1">
        <f t="array" ref="B73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32" s="6">
        <v>46021.73646990741</v>
      </c>
      <c r="D732" t="str">
        <f t="shared" si="33"/>
        <v>Tuesday</v>
      </c>
      <c r="F732" s="6" t="str">
        <f t="shared" si="34"/>
        <v>Saturday</v>
      </c>
      <c r="G732" t="str">
        <f>IF(COUNTIF(INDEX(SkiResort_ParkingRevenue_Raw[License Plate],1):SkiResort_ParkingRevenue_Raw[[#This Row],[License Plate]],SkiResort_ParkingRevenue_Raw[[#This Row],[License Plate]])=1,"New","Returning")</f>
        <v>New</v>
      </c>
      <c r="H732">
        <v>24.99</v>
      </c>
      <c r="I732">
        <v>1</v>
      </c>
      <c r="J732" t="str">
        <f t="shared" si="35"/>
        <v>Weekends/Holiday Only</v>
      </c>
    </row>
    <row r="733" spans="1:10" x14ac:dyDescent="0.25">
      <c r="A733" t="s">
        <v>2863</v>
      </c>
      <c r="B733" t="str" cm="1">
        <f t="array" ref="B73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33" s="6">
        <v>46021.767337962963</v>
      </c>
      <c r="D733" t="str">
        <f t="shared" si="33"/>
        <v>Tuesday</v>
      </c>
      <c r="F733" s="6" t="str">
        <f t="shared" si="34"/>
        <v>Saturday</v>
      </c>
      <c r="G733" t="str">
        <f>IF(COUNTIF(INDEX(SkiResort_ParkingRevenue_Raw[License Plate],1):SkiResort_ParkingRevenue_Raw[[#This Row],[License Plate]],SkiResort_ParkingRevenue_Raw[[#This Row],[License Plate]])=1,"New","Returning")</f>
        <v>New</v>
      </c>
      <c r="H733">
        <v>24.99</v>
      </c>
      <c r="I733">
        <v>1</v>
      </c>
      <c r="J733" t="str">
        <f t="shared" si="35"/>
        <v>Weekends/Holiday Only</v>
      </c>
    </row>
    <row r="734" spans="1:10" x14ac:dyDescent="0.25">
      <c r="A734" t="s">
        <v>2869</v>
      </c>
      <c r="B734" t="str" cm="1">
        <f t="array" ref="B73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34" s="6">
        <v>46021.775150462963</v>
      </c>
      <c r="D734" t="str">
        <f t="shared" si="33"/>
        <v>Tuesday</v>
      </c>
      <c r="F734" s="6" t="str">
        <f t="shared" si="34"/>
        <v>Saturday</v>
      </c>
      <c r="G734" t="str">
        <f>IF(COUNTIF(INDEX(SkiResort_ParkingRevenue_Raw[License Plate],1):SkiResort_ParkingRevenue_Raw[[#This Row],[License Plate]],SkiResort_ParkingRevenue_Raw[[#This Row],[License Plate]])=1,"New","Returning")</f>
        <v>New</v>
      </c>
      <c r="H734">
        <v>24.99</v>
      </c>
      <c r="I734">
        <v>1</v>
      </c>
      <c r="J734" t="str">
        <f t="shared" si="35"/>
        <v>Weekends/Holiday Only</v>
      </c>
    </row>
    <row r="735" spans="1:10" x14ac:dyDescent="0.25">
      <c r="A735" t="s">
        <v>2875</v>
      </c>
      <c r="B735" t="str" cm="1">
        <f t="array" ref="B73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35" s="6">
        <v>46021.804490740738</v>
      </c>
      <c r="D735" t="str">
        <f t="shared" si="33"/>
        <v>Tuesday</v>
      </c>
      <c r="F735" s="6" t="str">
        <f t="shared" si="34"/>
        <v>Saturday</v>
      </c>
      <c r="G735" t="str">
        <f>IF(COUNTIF(INDEX(SkiResort_ParkingRevenue_Raw[License Plate],1):SkiResort_ParkingRevenue_Raw[[#This Row],[License Plate]],SkiResort_ParkingRevenue_Raw[[#This Row],[License Plate]])=1,"New","Returning")</f>
        <v>New</v>
      </c>
      <c r="H735">
        <v>24.99</v>
      </c>
      <c r="I735">
        <v>1</v>
      </c>
      <c r="J735" t="str">
        <f t="shared" si="35"/>
        <v>Weekends/Holiday Only</v>
      </c>
    </row>
    <row r="736" spans="1:10" x14ac:dyDescent="0.25">
      <c r="A736" t="s">
        <v>2881</v>
      </c>
      <c r="B736" t="str" cm="1">
        <f t="array" ref="B73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36" s="6">
        <v>46021.81050925926</v>
      </c>
      <c r="D736" t="str">
        <f t="shared" si="33"/>
        <v>Tuesday</v>
      </c>
      <c r="F736" s="6" t="str">
        <f t="shared" si="34"/>
        <v>Saturday</v>
      </c>
      <c r="G736" t="str">
        <f>IF(COUNTIF(INDEX(SkiResort_ParkingRevenue_Raw[License Plate],1):SkiResort_ParkingRevenue_Raw[[#This Row],[License Plate]],SkiResort_ParkingRevenue_Raw[[#This Row],[License Plate]])=1,"New","Returning")</f>
        <v>New</v>
      </c>
      <c r="H736">
        <v>24.99</v>
      </c>
      <c r="I736">
        <v>1</v>
      </c>
      <c r="J736" t="str">
        <f t="shared" si="35"/>
        <v>Weekends/Holiday Only</v>
      </c>
    </row>
    <row r="737" spans="1:10" x14ac:dyDescent="0.25">
      <c r="A737" t="s">
        <v>2887</v>
      </c>
      <c r="B737" t="str" cm="1">
        <f t="array" ref="B73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37" s="6">
        <v>46021.905474537038</v>
      </c>
      <c r="D737" t="str">
        <f t="shared" si="33"/>
        <v>Tuesday</v>
      </c>
      <c r="F737" s="6" t="str">
        <f t="shared" si="34"/>
        <v>Saturday</v>
      </c>
      <c r="G737" t="str">
        <f>IF(COUNTIF(INDEX(SkiResort_ParkingRevenue_Raw[License Plate],1):SkiResort_ParkingRevenue_Raw[[#This Row],[License Plate]],SkiResort_ParkingRevenue_Raw[[#This Row],[License Plate]])=1,"New","Returning")</f>
        <v>Returning</v>
      </c>
      <c r="H737">
        <v>24.99</v>
      </c>
      <c r="I737">
        <v>1</v>
      </c>
      <c r="J737" t="str">
        <f t="shared" si="35"/>
        <v>Weekends/Holiday Only</v>
      </c>
    </row>
    <row r="738" spans="1:10" x14ac:dyDescent="0.25">
      <c r="A738" t="s">
        <v>2889</v>
      </c>
      <c r="B738" t="str" cm="1">
        <f t="array" ref="B73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38" s="6">
        <v>46021.919733796298</v>
      </c>
      <c r="D738" t="str">
        <f t="shared" si="33"/>
        <v>Tuesday</v>
      </c>
      <c r="F738" s="6" t="str">
        <f t="shared" si="34"/>
        <v>Saturday</v>
      </c>
      <c r="G738" t="str">
        <f>IF(COUNTIF(INDEX(SkiResort_ParkingRevenue_Raw[License Plate],1):SkiResort_ParkingRevenue_Raw[[#This Row],[License Plate]],SkiResort_ParkingRevenue_Raw[[#This Row],[License Plate]])=1,"New","Returning")</f>
        <v>New</v>
      </c>
      <c r="H738">
        <v>24.99</v>
      </c>
      <c r="I738">
        <v>1</v>
      </c>
      <c r="J738" t="str">
        <f t="shared" si="35"/>
        <v>Weekends/Holiday Only</v>
      </c>
    </row>
    <row r="739" spans="1:10" x14ac:dyDescent="0.25">
      <c r="A739" t="s">
        <v>2895</v>
      </c>
      <c r="B739" t="str" cm="1">
        <f t="array" ref="B73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39" s="6">
        <v>46021.93246527778</v>
      </c>
      <c r="D739" t="str">
        <f t="shared" si="33"/>
        <v>Tuesday</v>
      </c>
      <c r="F739" s="6" t="str">
        <f t="shared" si="34"/>
        <v>Saturday</v>
      </c>
      <c r="G739" t="str">
        <f>IF(COUNTIF(INDEX(SkiResort_ParkingRevenue_Raw[License Plate],1):SkiResort_ParkingRevenue_Raw[[#This Row],[License Plate]],SkiResort_ParkingRevenue_Raw[[#This Row],[License Plate]])=1,"New","Returning")</f>
        <v>New</v>
      </c>
      <c r="H739">
        <v>24.99</v>
      </c>
      <c r="I739">
        <v>1</v>
      </c>
      <c r="J739" t="str">
        <f t="shared" si="35"/>
        <v>Weekends/Holiday Only</v>
      </c>
    </row>
    <row r="740" spans="1:10" x14ac:dyDescent="0.25">
      <c r="A740" t="s">
        <v>2901</v>
      </c>
      <c r="B740" t="str" cm="1">
        <f t="array" ref="B74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40" s="6">
        <v>46021.973923611113</v>
      </c>
      <c r="D740" t="str">
        <f t="shared" si="33"/>
        <v>Tuesday</v>
      </c>
      <c r="F740" s="6" t="str">
        <f t="shared" si="34"/>
        <v>Saturday</v>
      </c>
      <c r="G740" t="str">
        <f>IF(COUNTIF(INDEX(SkiResort_ParkingRevenue_Raw[License Plate],1):SkiResort_ParkingRevenue_Raw[[#This Row],[License Plate]],SkiResort_ParkingRevenue_Raw[[#This Row],[License Plate]])=1,"New","Returning")</f>
        <v>Returning</v>
      </c>
      <c r="H740">
        <v>24.99</v>
      </c>
      <c r="I740">
        <v>1</v>
      </c>
      <c r="J740" t="str">
        <f t="shared" si="35"/>
        <v>Weekends/Holiday Only</v>
      </c>
    </row>
    <row r="741" spans="1:10" x14ac:dyDescent="0.25">
      <c r="A741" t="s">
        <v>2903</v>
      </c>
      <c r="B741" t="str" cm="1">
        <f t="array" ref="B74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41" s="6">
        <v>46022.002245370371</v>
      </c>
      <c r="D741" t="str">
        <f t="shared" si="33"/>
        <v>Wednesday</v>
      </c>
      <c r="F741" s="6" t="str">
        <f t="shared" si="34"/>
        <v>Saturday</v>
      </c>
      <c r="G741" t="str">
        <f>IF(COUNTIF(INDEX(SkiResort_ParkingRevenue_Raw[License Plate],1):SkiResort_ParkingRevenue_Raw[[#This Row],[License Plate]],SkiResort_ParkingRevenue_Raw[[#This Row],[License Plate]])=1,"New","Returning")</f>
        <v>New</v>
      </c>
      <c r="H741">
        <v>24.99</v>
      </c>
      <c r="I741">
        <v>1</v>
      </c>
      <c r="J741" t="str">
        <f t="shared" si="35"/>
        <v>Weekends/Holiday Only</v>
      </c>
    </row>
    <row r="742" spans="1:10" x14ac:dyDescent="0.25">
      <c r="A742" t="s">
        <v>2909</v>
      </c>
      <c r="B742" t="str" cm="1">
        <f t="array" ref="B74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42" s="6">
        <v>46022.002962962964</v>
      </c>
      <c r="D742" t="str">
        <f t="shared" si="33"/>
        <v>Wednesday</v>
      </c>
      <c r="F742" s="6" t="str">
        <f t="shared" si="34"/>
        <v>Saturday</v>
      </c>
      <c r="G742" t="str">
        <f>IF(COUNTIF(INDEX(SkiResort_ParkingRevenue_Raw[License Plate],1):SkiResort_ParkingRevenue_Raw[[#This Row],[License Plate]],SkiResort_ParkingRevenue_Raw[[#This Row],[License Plate]])=1,"New","Returning")</f>
        <v>Returning</v>
      </c>
      <c r="H742">
        <v>24.99</v>
      </c>
      <c r="I742">
        <v>1</v>
      </c>
      <c r="J742" t="str">
        <f t="shared" si="35"/>
        <v>Weekends/Holiday Only</v>
      </c>
    </row>
    <row r="743" spans="1:10" x14ac:dyDescent="0.25">
      <c r="A743" t="s">
        <v>2911</v>
      </c>
      <c r="B743" t="str" cm="1">
        <f t="array" ref="B74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43" s="6">
        <v>46022.003761574073</v>
      </c>
      <c r="D743" t="str">
        <f t="shared" si="33"/>
        <v>Wednesday</v>
      </c>
      <c r="F743" s="6" t="str">
        <f t="shared" si="34"/>
        <v>Saturday</v>
      </c>
      <c r="G743" t="str">
        <f>IF(COUNTIF(INDEX(SkiResort_ParkingRevenue_Raw[License Plate],1):SkiResort_ParkingRevenue_Raw[[#This Row],[License Plate]],SkiResort_ParkingRevenue_Raw[[#This Row],[License Plate]])=1,"New","Returning")</f>
        <v>Returning</v>
      </c>
      <c r="H743">
        <v>24.99</v>
      </c>
      <c r="I743">
        <v>1</v>
      </c>
      <c r="J743" t="str">
        <f t="shared" si="35"/>
        <v>Weekends/Holiday Only</v>
      </c>
    </row>
    <row r="744" spans="1:10" x14ac:dyDescent="0.25">
      <c r="A744" t="s">
        <v>2913</v>
      </c>
      <c r="B744" t="str" cm="1">
        <f t="array" ref="B74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44" s="6">
        <v>46022.323530092595</v>
      </c>
      <c r="D744" t="str">
        <f t="shared" si="33"/>
        <v>Wednesday</v>
      </c>
      <c r="F744" s="6" t="str">
        <f t="shared" si="34"/>
        <v>Saturday</v>
      </c>
      <c r="G744" t="str">
        <f>IF(COUNTIF(INDEX(SkiResort_ParkingRevenue_Raw[License Plate],1):SkiResort_ParkingRevenue_Raw[[#This Row],[License Plate]],SkiResort_ParkingRevenue_Raw[[#This Row],[License Plate]])=1,"New","Returning")</f>
        <v>New</v>
      </c>
      <c r="H744">
        <v>24.99</v>
      </c>
      <c r="I744">
        <v>1</v>
      </c>
      <c r="J744" t="str">
        <f t="shared" si="35"/>
        <v>Weekends/Holiday Only</v>
      </c>
    </row>
    <row r="745" spans="1:10" x14ac:dyDescent="0.25">
      <c r="A745" t="s">
        <v>2919</v>
      </c>
      <c r="B745" t="str" cm="1">
        <f t="array" ref="B74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45" s="6">
        <v>46022.401273148149</v>
      </c>
      <c r="D745" t="str">
        <f t="shared" si="33"/>
        <v>Wednesday</v>
      </c>
      <c r="F745" s="6" t="str">
        <f t="shared" si="34"/>
        <v>Saturday</v>
      </c>
      <c r="G745" t="str">
        <f>IF(COUNTIF(INDEX(SkiResort_ParkingRevenue_Raw[License Plate],1):SkiResort_ParkingRevenue_Raw[[#This Row],[License Plate]],SkiResort_ParkingRevenue_Raw[[#This Row],[License Plate]])=1,"New","Returning")</f>
        <v>New</v>
      </c>
      <c r="H745">
        <v>24.99</v>
      </c>
      <c r="I745">
        <v>1</v>
      </c>
      <c r="J745" t="str">
        <f t="shared" si="35"/>
        <v>Weekends/Holiday Only</v>
      </c>
    </row>
    <row r="746" spans="1:10" x14ac:dyDescent="0.25">
      <c r="A746" t="s">
        <v>2925</v>
      </c>
      <c r="B746" t="str" cm="1">
        <f t="array" ref="B74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46" s="6">
        <v>46022.472013888888</v>
      </c>
      <c r="D746" t="str">
        <f t="shared" si="33"/>
        <v>Wednesday</v>
      </c>
      <c r="F746" s="6" t="str">
        <f t="shared" si="34"/>
        <v>Saturday</v>
      </c>
      <c r="G746" t="str">
        <f>IF(COUNTIF(INDEX(SkiResort_ParkingRevenue_Raw[License Plate],1):SkiResort_ParkingRevenue_Raw[[#This Row],[License Plate]],SkiResort_ParkingRevenue_Raw[[#This Row],[License Plate]])=1,"New","Returning")</f>
        <v>New</v>
      </c>
      <c r="H746">
        <v>49.98</v>
      </c>
      <c r="I746">
        <v>2</v>
      </c>
      <c r="J746" t="str">
        <f t="shared" si="35"/>
        <v>Weekends/Holiday Only</v>
      </c>
    </row>
    <row r="747" spans="1:10" x14ac:dyDescent="0.25">
      <c r="A747" t="s">
        <v>2931</v>
      </c>
      <c r="B747" t="str" cm="1">
        <f t="array" ref="B74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47" s="6">
        <v>46022.660231481481</v>
      </c>
      <c r="D747" t="str">
        <f t="shared" si="33"/>
        <v>Wednesday</v>
      </c>
      <c r="F747" s="6" t="str">
        <f t="shared" si="34"/>
        <v>Saturday</v>
      </c>
      <c r="G747" t="str">
        <f>IF(COUNTIF(INDEX(SkiResort_ParkingRevenue_Raw[License Plate],1):SkiResort_ParkingRevenue_Raw[[#This Row],[License Plate]],SkiResort_ParkingRevenue_Raw[[#This Row],[License Plate]])=1,"New","Returning")</f>
        <v>New</v>
      </c>
      <c r="H747">
        <v>24.99</v>
      </c>
      <c r="I747">
        <v>1</v>
      </c>
      <c r="J747" t="str">
        <f t="shared" si="35"/>
        <v>Weekends/Holiday Only</v>
      </c>
    </row>
    <row r="748" spans="1:10" x14ac:dyDescent="0.25">
      <c r="A748" t="s">
        <v>2937</v>
      </c>
      <c r="B748" t="str" cm="1">
        <f t="array" ref="B74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48" s="6">
        <v>46023.428148148145</v>
      </c>
      <c r="D748" t="str">
        <f t="shared" si="33"/>
        <v>Thursday</v>
      </c>
      <c r="F748" s="6" t="str">
        <f t="shared" si="34"/>
        <v>Saturday</v>
      </c>
      <c r="G748" t="str">
        <f>IF(COUNTIF(INDEX(SkiResort_ParkingRevenue_Raw[License Plate],1):SkiResort_ParkingRevenue_Raw[[#This Row],[License Plate]],SkiResort_ParkingRevenue_Raw[[#This Row],[License Plate]])=1,"New","Returning")</f>
        <v>New</v>
      </c>
      <c r="H748">
        <v>24.99</v>
      </c>
      <c r="I748">
        <v>1</v>
      </c>
      <c r="J748" t="str">
        <f t="shared" si="35"/>
        <v>Weekends/Holiday Only</v>
      </c>
    </row>
    <row r="749" spans="1:10" x14ac:dyDescent="0.25">
      <c r="A749" t="s">
        <v>2943</v>
      </c>
      <c r="B749" t="str" cm="1">
        <f t="array" ref="B74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49" s="6">
        <v>46023.445104166669</v>
      </c>
      <c r="D749" t="str">
        <f t="shared" si="33"/>
        <v>Thursday</v>
      </c>
      <c r="F749" s="6" t="str">
        <f t="shared" si="34"/>
        <v>Saturday</v>
      </c>
      <c r="G749" t="str">
        <f>IF(COUNTIF(INDEX(SkiResort_ParkingRevenue_Raw[License Plate],1):SkiResort_ParkingRevenue_Raw[[#This Row],[License Plate]],SkiResort_ParkingRevenue_Raw[[#This Row],[License Plate]])=1,"New","Returning")</f>
        <v>New</v>
      </c>
      <c r="H749">
        <v>24.99</v>
      </c>
      <c r="I749">
        <v>1</v>
      </c>
      <c r="J749" t="str">
        <f t="shared" si="35"/>
        <v>Weekends/Holiday Only</v>
      </c>
    </row>
    <row r="750" spans="1:10" x14ac:dyDescent="0.25">
      <c r="A750" t="s">
        <v>2949</v>
      </c>
      <c r="B750" t="str" cm="1">
        <f t="array" ref="B75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50" s="6">
        <v>46023.52648148148</v>
      </c>
      <c r="D750" t="str">
        <f t="shared" si="33"/>
        <v>Thursday</v>
      </c>
      <c r="F750" s="6" t="str">
        <f t="shared" si="34"/>
        <v>Saturday</v>
      </c>
      <c r="G750" t="str">
        <f>IF(COUNTIF(INDEX(SkiResort_ParkingRevenue_Raw[License Plate],1):SkiResort_ParkingRevenue_Raw[[#This Row],[License Plate]],SkiResort_ParkingRevenue_Raw[[#This Row],[License Plate]])=1,"New","Returning")</f>
        <v>New</v>
      </c>
      <c r="H750">
        <v>24.99</v>
      </c>
      <c r="I750">
        <v>1</v>
      </c>
      <c r="J750" t="str">
        <f t="shared" si="35"/>
        <v>Weekends/Holiday Only</v>
      </c>
    </row>
    <row r="751" spans="1:10" x14ac:dyDescent="0.25">
      <c r="A751" t="s">
        <v>2955</v>
      </c>
      <c r="B751" t="str" cm="1">
        <f t="array" ref="B75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51" s="6">
        <v>46023.864930555559</v>
      </c>
      <c r="D751" t="str">
        <f t="shared" si="33"/>
        <v>Thursday</v>
      </c>
      <c r="F751" s="6" t="str">
        <f t="shared" si="34"/>
        <v>Saturday</v>
      </c>
      <c r="G751" t="str">
        <f>IF(COUNTIF(INDEX(SkiResort_ParkingRevenue_Raw[License Plate],1):SkiResort_ParkingRevenue_Raw[[#This Row],[License Plate]],SkiResort_ParkingRevenue_Raw[[#This Row],[License Plate]])=1,"New","Returning")</f>
        <v>New</v>
      </c>
      <c r="H751">
        <v>24.99</v>
      </c>
      <c r="I751">
        <v>1</v>
      </c>
      <c r="J751" t="str">
        <f t="shared" si="35"/>
        <v>Weekends/Holiday Only</v>
      </c>
    </row>
    <row r="752" spans="1:10" x14ac:dyDescent="0.25">
      <c r="A752" t="s">
        <v>2961</v>
      </c>
      <c r="B752" t="str" cm="1">
        <f t="array" ref="B75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52" s="6">
        <v>46023.876701388886</v>
      </c>
      <c r="D752" t="str">
        <f t="shared" si="33"/>
        <v>Thursday</v>
      </c>
      <c r="F752" s="6" t="str">
        <f t="shared" si="34"/>
        <v>Saturday</v>
      </c>
      <c r="G752" t="str">
        <f>IF(COUNTIF(INDEX(SkiResort_ParkingRevenue_Raw[License Plate],1):SkiResort_ParkingRevenue_Raw[[#This Row],[License Plate]],SkiResort_ParkingRevenue_Raw[[#This Row],[License Plate]])=1,"New","Returning")</f>
        <v>Returning</v>
      </c>
      <c r="H752">
        <v>24.99</v>
      </c>
      <c r="I752">
        <v>1</v>
      </c>
      <c r="J752" t="str">
        <f t="shared" si="35"/>
        <v>Weekends/Holiday Only</v>
      </c>
    </row>
    <row r="753" spans="1:10" x14ac:dyDescent="0.25">
      <c r="A753" t="s">
        <v>2963</v>
      </c>
      <c r="B753" t="str" cm="1">
        <f t="array" ref="B75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53" s="6">
        <v>46023.881736111114</v>
      </c>
      <c r="D753" t="str">
        <f t="shared" si="33"/>
        <v>Thursday</v>
      </c>
      <c r="F753" s="6" t="str">
        <f t="shared" si="34"/>
        <v>Saturday</v>
      </c>
      <c r="G753" t="str">
        <f>IF(COUNTIF(INDEX(SkiResort_ParkingRevenue_Raw[License Plate],1):SkiResort_ParkingRevenue_Raw[[#This Row],[License Plate]],SkiResort_ParkingRevenue_Raw[[#This Row],[License Plate]])=1,"New","Returning")</f>
        <v>Returning</v>
      </c>
      <c r="H753">
        <v>24.99</v>
      </c>
      <c r="I753">
        <v>1</v>
      </c>
      <c r="J753" t="str">
        <f t="shared" si="35"/>
        <v>Weekends/Holiday Only</v>
      </c>
    </row>
    <row r="754" spans="1:10" x14ac:dyDescent="0.25">
      <c r="A754" t="s">
        <v>2965</v>
      </c>
      <c r="B754" t="str" cm="1">
        <f t="array" ref="B75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54" s="6">
        <v>46023.882534722223</v>
      </c>
      <c r="D754" t="str">
        <f t="shared" si="33"/>
        <v>Thursday</v>
      </c>
      <c r="F754" s="6" t="str">
        <f t="shared" si="34"/>
        <v>Saturday</v>
      </c>
      <c r="G754" t="str">
        <f>IF(COUNTIF(INDEX(SkiResort_ParkingRevenue_Raw[License Plate],1):SkiResort_ParkingRevenue_Raw[[#This Row],[License Plate]],SkiResort_ParkingRevenue_Raw[[#This Row],[License Plate]])=1,"New","Returning")</f>
        <v>New</v>
      </c>
      <c r="H754">
        <v>24.99</v>
      </c>
      <c r="I754">
        <v>1</v>
      </c>
      <c r="J754" t="str">
        <f t="shared" si="35"/>
        <v>Weekends/Holiday Only</v>
      </c>
    </row>
    <row r="755" spans="1:10" x14ac:dyDescent="0.25">
      <c r="A755" t="s">
        <v>2971</v>
      </c>
      <c r="B755" t="str" cm="1">
        <f t="array" ref="B75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55" s="6">
        <v>46023.903715277775</v>
      </c>
      <c r="D755" t="str">
        <f t="shared" si="33"/>
        <v>Thursday</v>
      </c>
      <c r="F755" s="6" t="str">
        <f t="shared" si="34"/>
        <v>Saturday</v>
      </c>
      <c r="G755" t="str">
        <f>IF(COUNTIF(INDEX(SkiResort_ParkingRevenue_Raw[License Plate],1):SkiResort_ParkingRevenue_Raw[[#This Row],[License Plate]],SkiResort_ParkingRevenue_Raw[[#This Row],[License Plate]])=1,"New","Returning")</f>
        <v>Returning</v>
      </c>
      <c r="H755">
        <v>24.99</v>
      </c>
      <c r="I755">
        <v>1</v>
      </c>
      <c r="J755" t="str">
        <f t="shared" si="35"/>
        <v>Weekends/Holiday Only</v>
      </c>
    </row>
    <row r="756" spans="1:10" x14ac:dyDescent="0.25">
      <c r="A756" t="s">
        <v>2973</v>
      </c>
      <c r="B756" t="str" cm="1">
        <f t="array" ref="B75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56" s="6">
        <v>46023.907002314816</v>
      </c>
      <c r="D756" t="str">
        <f t="shared" si="33"/>
        <v>Thursday</v>
      </c>
      <c r="F756" s="6" t="str">
        <f t="shared" si="34"/>
        <v>Saturday</v>
      </c>
      <c r="G756" t="str">
        <f>IF(COUNTIF(INDEX(SkiResort_ParkingRevenue_Raw[License Plate],1):SkiResort_ParkingRevenue_Raw[[#This Row],[License Plate]],SkiResort_ParkingRevenue_Raw[[#This Row],[License Plate]])=1,"New","Returning")</f>
        <v>New</v>
      </c>
      <c r="H756">
        <v>24.99</v>
      </c>
      <c r="I756">
        <v>1</v>
      </c>
      <c r="J756" t="str">
        <f t="shared" si="35"/>
        <v>Weekends/Holiday Only</v>
      </c>
    </row>
    <row r="757" spans="1:10" x14ac:dyDescent="0.25">
      <c r="A757" t="s">
        <v>2976</v>
      </c>
      <c r="B757" t="str" cm="1">
        <f t="array" ref="B75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57" s="6">
        <v>46024.304097222222</v>
      </c>
      <c r="D757" t="str">
        <f t="shared" si="33"/>
        <v>Friday</v>
      </c>
      <c r="F757" s="6" t="str">
        <f t="shared" si="34"/>
        <v>Saturday</v>
      </c>
      <c r="G757" t="str">
        <f>IF(COUNTIF(INDEX(SkiResort_ParkingRevenue_Raw[License Plate],1):SkiResort_ParkingRevenue_Raw[[#This Row],[License Plate]],SkiResort_ParkingRevenue_Raw[[#This Row],[License Plate]])=1,"New","Returning")</f>
        <v>New</v>
      </c>
      <c r="H757">
        <v>24.99</v>
      </c>
      <c r="I757">
        <v>1</v>
      </c>
      <c r="J757" t="str">
        <f t="shared" si="35"/>
        <v>Weekends/Holiday Only</v>
      </c>
    </row>
    <row r="758" spans="1:10" x14ac:dyDescent="0.25">
      <c r="A758" t="s">
        <v>2982</v>
      </c>
      <c r="B758" t="str" cm="1">
        <f t="array" ref="B75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58" s="6">
        <v>46024.431886574072</v>
      </c>
      <c r="D758" t="str">
        <f t="shared" si="33"/>
        <v>Friday</v>
      </c>
      <c r="F758" s="6" t="str">
        <f t="shared" si="34"/>
        <v>Saturday</v>
      </c>
      <c r="G758" t="str">
        <f>IF(COUNTIF(INDEX(SkiResort_ParkingRevenue_Raw[License Plate],1):SkiResort_ParkingRevenue_Raw[[#This Row],[License Plate]],SkiResort_ParkingRevenue_Raw[[#This Row],[License Plate]])=1,"New","Returning")</f>
        <v>New</v>
      </c>
      <c r="H758">
        <v>24.99</v>
      </c>
      <c r="I758">
        <v>1</v>
      </c>
      <c r="J758" t="str">
        <f t="shared" si="35"/>
        <v>Weekends/Holiday Only</v>
      </c>
    </row>
    <row r="759" spans="1:10" x14ac:dyDescent="0.25">
      <c r="A759" t="s">
        <v>2988</v>
      </c>
      <c r="B759" t="str" cm="1">
        <f t="array" ref="B75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59" s="6">
        <v>46024.569155092591</v>
      </c>
      <c r="D759" t="str">
        <f t="shared" si="33"/>
        <v>Friday</v>
      </c>
      <c r="F759" s="6" t="str">
        <f t="shared" si="34"/>
        <v>Saturday</v>
      </c>
      <c r="G759" t="str">
        <f>IF(COUNTIF(INDEX(SkiResort_ParkingRevenue_Raw[License Plate],1):SkiResort_ParkingRevenue_Raw[[#This Row],[License Plate]],SkiResort_ParkingRevenue_Raw[[#This Row],[License Plate]])=1,"New","Returning")</f>
        <v>Returning</v>
      </c>
      <c r="H759">
        <v>24.99</v>
      </c>
      <c r="I759">
        <v>1</v>
      </c>
      <c r="J759" t="str">
        <f t="shared" si="35"/>
        <v>Weekends/Holiday Only</v>
      </c>
    </row>
    <row r="760" spans="1:10" x14ac:dyDescent="0.25">
      <c r="A760" t="s">
        <v>2990</v>
      </c>
      <c r="B760" t="str" cm="1">
        <f t="array" ref="B76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60" s="6">
        <v>46024.902037037034</v>
      </c>
      <c r="D760" t="str">
        <f t="shared" si="33"/>
        <v>Friday</v>
      </c>
      <c r="F760" s="6" t="str">
        <f t="shared" si="34"/>
        <v>Saturday</v>
      </c>
      <c r="G760" t="str">
        <f>IF(COUNTIF(INDEX(SkiResort_ParkingRevenue_Raw[License Plate],1):SkiResort_ParkingRevenue_Raw[[#This Row],[License Plate]],SkiResort_ParkingRevenue_Raw[[#This Row],[License Plate]])=1,"New","Returning")</f>
        <v>New</v>
      </c>
      <c r="H760">
        <v>24.99</v>
      </c>
      <c r="I760">
        <v>1</v>
      </c>
      <c r="J760" t="str">
        <f t="shared" si="35"/>
        <v>Weekends/Holiday Only</v>
      </c>
    </row>
    <row r="761" spans="1:10" x14ac:dyDescent="0.25">
      <c r="A761" t="s">
        <v>2996</v>
      </c>
      <c r="B761" t="str" cm="1">
        <f t="array" ref="B76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61" s="6">
        <v>46024.917361111111</v>
      </c>
      <c r="D761" t="str">
        <f t="shared" si="33"/>
        <v>Friday</v>
      </c>
      <c r="F761" s="6" t="str">
        <f t="shared" si="34"/>
        <v>Saturday</v>
      </c>
      <c r="G761" t="str">
        <f>IF(COUNTIF(INDEX(SkiResort_ParkingRevenue_Raw[License Plate],1):SkiResort_ParkingRevenue_Raw[[#This Row],[License Plate]],SkiResort_ParkingRevenue_Raw[[#This Row],[License Plate]])=1,"New","Returning")</f>
        <v>New</v>
      </c>
      <c r="H761">
        <v>24.99</v>
      </c>
      <c r="I761">
        <v>1</v>
      </c>
      <c r="J761" t="str">
        <f t="shared" si="35"/>
        <v>Weekends/Holiday Only</v>
      </c>
    </row>
    <row r="762" spans="1:10" x14ac:dyDescent="0.25">
      <c r="A762" t="s">
        <v>3002</v>
      </c>
      <c r="B762" t="str" cm="1">
        <f t="array" ref="B76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62" s="6">
        <v>46024.988657407404</v>
      </c>
      <c r="D762" t="str">
        <f t="shared" si="33"/>
        <v>Friday</v>
      </c>
      <c r="F762" s="6" t="str">
        <f t="shared" si="34"/>
        <v>Saturday</v>
      </c>
      <c r="G762" t="str">
        <f>IF(COUNTIF(INDEX(SkiResort_ParkingRevenue_Raw[License Plate],1):SkiResort_ParkingRevenue_Raw[[#This Row],[License Plate]],SkiResort_ParkingRevenue_Raw[[#This Row],[License Plate]])=1,"New","Returning")</f>
        <v>New</v>
      </c>
      <c r="H762">
        <v>24.99</v>
      </c>
      <c r="I762">
        <v>1</v>
      </c>
      <c r="J762" t="str">
        <f t="shared" si="35"/>
        <v>Weekends/Holiday Only</v>
      </c>
    </row>
    <row r="763" spans="1:10" x14ac:dyDescent="0.25">
      <c r="A763" t="s">
        <v>3008</v>
      </c>
      <c r="B763" t="str" cm="1">
        <f t="array" ref="B76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63" s="6">
        <v>46025.208923611113</v>
      </c>
      <c r="D763" t="str">
        <f t="shared" si="33"/>
        <v>Saturday</v>
      </c>
      <c r="F763" s="6" t="str">
        <f t="shared" si="34"/>
        <v>Saturday</v>
      </c>
      <c r="G763" t="str">
        <f>IF(COUNTIF(INDEX(SkiResort_ParkingRevenue_Raw[License Plate],1):SkiResort_ParkingRevenue_Raw[[#This Row],[License Plate]],SkiResort_ParkingRevenue_Raw[[#This Row],[License Plate]])=1,"New","Returning")</f>
        <v>New</v>
      </c>
      <c r="H763">
        <v>24.99</v>
      </c>
      <c r="I763">
        <v>1</v>
      </c>
      <c r="J763" t="str">
        <f t="shared" si="35"/>
        <v>Weekends/Holiday Only</v>
      </c>
    </row>
    <row r="764" spans="1:10" x14ac:dyDescent="0.25">
      <c r="A764" t="s">
        <v>3014</v>
      </c>
      <c r="B764" t="str" cm="1">
        <f t="array" ref="B76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64" s="6">
        <v>46025.436620370368</v>
      </c>
      <c r="D764" t="str">
        <f t="shared" si="33"/>
        <v>Saturday</v>
      </c>
      <c r="F764" s="6" t="str">
        <f t="shared" si="34"/>
        <v>Saturday</v>
      </c>
      <c r="G764" t="str">
        <f>IF(COUNTIF(INDEX(SkiResort_ParkingRevenue_Raw[License Plate],1):SkiResort_ParkingRevenue_Raw[[#This Row],[License Plate]],SkiResort_ParkingRevenue_Raw[[#This Row],[License Plate]])=1,"New","Returning")</f>
        <v>Returning</v>
      </c>
      <c r="H764">
        <v>24.99</v>
      </c>
      <c r="I764">
        <v>1</v>
      </c>
      <c r="J764" t="str">
        <f t="shared" si="35"/>
        <v>Weekends/Holiday Only</v>
      </c>
    </row>
    <row r="765" spans="1:10" x14ac:dyDescent="0.25">
      <c r="A765" t="s">
        <v>3016</v>
      </c>
      <c r="B765" t="str" cm="1">
        <f t="array" ref="B76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65" s="6">
        <v>46026.493657407409</v>
      </c>
      <c r="D765" t="str">
        <f t="shared" si="33"/>
        <v>Sunday</v>
      </c>
      <c r="F765" s="6" t="str">
        <f t="shared" si="34"/>
        <v>Saturday</v>
      </c>
      <c r="G765" t="str">
        <f>IF(COUNTIF(INDEX(SkiResort_ParkingRevenue_Raw[License Plate],1):SkiResort_ParkingRevenue_Raw[[#This Row],[License Plate]],SkiResort_ParkingRevenue_Raw[[#This Row],[License Plate]])=1,"New","Returning")</f>
        <v>New</v>
      </c>
      <c r="H765">
        <v>24.99</v>
      </c>
      <c r="I765">
        <v>1</v>
      </c>
      <c r="J765" t="str">
        <f t="shared" si="35"/>
        <v>Weekends/Holiday Only</v>
      </c>
    </row>
    <row r="766" spans="1:10" x14ac:dyDescent="0.25">
      <c r="A766" t="s">
        <v>3022</v>
      </c>
      <c r="B766" t="str" cm="1">
        <f t="array" ref="B76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66" s="6">
        <v>46026.608402777776</v>
      </c>
      <c r="D766" t="str">
        <f t="shared" si="33"/>
        <v>Sunday</v>
      </c>
      <c r="F766" s="6" t="str">
        <f t="shared" si="34"/>
        <v>Saturday</v>
      </c>
      <c r="G766" t="str">
        <f>IF(COUNTIF(INDEX(SkiResort_ParkingRevenue_Raw[License Plate],1):SkiResort_ParkingRevenue_Raw[[#This Row],[License Plate]],SkiResort_ParkingRevenue_Raw[[#This Row],[License Plate]])=1,"New","Returning")</f>
        <v>Returning</v>
      </c>
      <c r="H766">
        <v>24.99</v>
      </c>
      <c r="I766">
        <v>1</v>
      </c>
      <c r="J766" t="str">
        <f t="shared" si="35"/>
        <v>Weekends/Holiday Only</v>
      </c>
    </row>
    <row r="767" spans="1:10" x14ac:dyDescent="0.25">
      <c r="A767" t="s">
        <v>3026</v>
      </c>
      <c r="B767" t="str" cm="1">
        <f t="array" ref="B76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67" s="6">
        <v>46027.441168981481</v>
      </c>
      <c r="D767" t="str">
        <f t="shared" si="33"/>
        <v>Monday</v>
      </c>
      <c r="F767" s="6" t="str">
        <f t="shared" si="34"/>
        <v>Saturday</v>
      </c>
      <c r="G767" t="str">
        <f>IF(COUNTIF(INDEX(SkiResort_ParkingRevenue_Raw[License Plate],1):SkiResort_ParkingRevenue_Raw[[#This Row],[License Plate]],SkiResort_ParkingRevenue_Raw[[#This Row],[License Plate]])=1,"New","Returning")</f>
        <v>New</v>
      </c>
      <c r="H767">
        <v>24.99</v>
      </c>
      <c r="I767">
        <v>1</v>
      </c>
      <c r="J767" t="str">
        <f t="shared" si="35"/>
        <v>Weekends/Holiday Only</v>
      </c>
    </row>
    <row r="768" spans="1:10" x14ac:dyDescent="0.25">
      <c r="A768" t="s">
        <v>3032</v>
      </c>
      <c r="B768" t="str" cm="1">
        <f t="array" ref="B76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68" s="6">
        <v>46027.441840277781</v>
      </c>
      <c r="D768" t="str">
        <f t="shared" si="33"/>
        <v>Monday</v>
      </c>
      <c r="F768" s="6" t="str">
        <f t="shared" si="34"/>
        <v>Saturday</v>
      </c>
      <c r="G768" t="str">
        <f>IF(COUNTIF(INDEX(SkiResort_ParkingRevenue_Raw[License Plate],1):SkiResort_ParkingRevenue_Raw[[#This Row],[License Plate]],SkiResort_ParkingRevenue_Raw[[#This Row],[License Plate]])=1,"New","Returning")</f>
        <v>Returning</v>
      </c>
      <c r="H768">
        <v>24.99</v>
      </c>
      <c r="I768">
        <v>1</v>
      </c>
      <c r="J768" t="str">
        <f t="shared" si="35"/>
        <v>Weekends/Holiday Only</v>
      </c>
    </row>
    <row r="769" spans="1:10" x14ac:dyDescent="0.25">
      <c r="A769" t="s">
        <v>3034</v>
      </c>
      <c r="B769" t="str" cm="1">
        <f t="array" ref="B76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69" s="6">
        <v>46028.539456018516</v>
      </c>
      <c r="D769" t="str">
        <f t="shared" si="33"/>
        <v>Tuesday</v>
      </c>
      <c r="F769" s="6" t="str">
        <f t="shared" si="34"/>
        <v>Saturday</v>
      </c>
      <c r="G769" t="str">
        <f>IF(COUNTIF(INDEX(SkiResort_ParkingRevenue_Raw[License Plate],1):SkiResort_ParkingRevenue_Raw[[#This Row],[License Plate]],SkiResort_ParkingRevenue_Raw[[#This Row],[License Plate]])=1,"New","Returning")</f>
        <v>Returning</v>
      </c>
      <c r="H769">
        <v>24.99</v>
      </c>
      <c r="I769">
        <v>1</v>
      </c>
      <c r="J769" t="str">
        <f t="shared" si="35"/>
        <v>Weekends/Holiday Only</v>
      </c>
    </row>
    <row r="770" spans="1:10" x14ac:dyDescent="0.25">
      <c r="A770" t="s">
        <v>3038</v>
      </c>
      <c r="B770" t="str" cm="1">
        <f t="array" ref="B77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70" s="6">
        <v>46029.474120370367</v>
      </c>
      <c r="D770" t="str">
        <f t="shared" ref="D770:D833" si="36">_xlfn.TEXTBEFORE(TEXT(C770, "dddd, mmmm dd, yyyy"), ",")</f>
        <v>Wednesday</v>
      </c>
      <c r="F770" s="6" t="str">
        <f t="shared" si="34"/>
        <v>Saturday</v>
      </c>
      <c r="G770" t="str">
        <f>IF(COUNTIF(INDEX(SkiResort_ParkingRevenue_Raw[License Plate],1):SkiResort_ParkingRevenue_Raw[[#This Row],[License Plate]],SkiResort_ParkingRevenue_Raw[[#This Row],[License Plate]])=1,"New","Returning")</f>
        <v>New</v>
      </c>
      <c r="H770">
        <v>49.98</v>
      </c>
      <c r="I770">
        <v>2</v>
      </c>
      <c r="J770" t="str">
        <f t="shared" si="35"/>
        <v>Weekends/Holiday Only</v>
      </c>
    </row>
    <row r="771" spans="1:10" x14ac:dyDescent="0.25">
      <c r="A771" t="s">
        <v>3041</v>
      </c>
      <c r="B771" t="str" cm="1">
        <f t="array" ref="B77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71" s="6">
        <v>46031.505740740744</v>
      </c>
      <c r="D771" t="str">
        <f t="shared" si="36"/>
        <v>Friday</v>
      </c>
      <c r="F771" s="6" t="str">
        <f t="shared" ref="F771:F834" si="37">_xlfn.TEXTBEFORE(TEXT(E771,"dddd, mmmm dd, yyyy"), ",")</f>
        <v>Saturday</v>
      </c>
      <c r="G771" t="str">
        <f>IF(COUNTIF(INDEX(SkiResort_ParkingRevenue_Raw[License Plate],1):SkiResort_ParkingRevenue_Raw[[#This Row],[License Plate]],SkiResort_ParkingRevenue_Raw[[#This Row],[License Plate]])=1,"New","Returning")</f>
        <v>New</v>
      </c>
      <c r="H771">
        <v>24.99</v>
      </c>
      <c r="I771">
        <v>1</v>
      </c>
      <c r="J771" t="str">
        <f t="shared" ref="J771:J834" si="38">IF(C771&lt;DATE(2025,1,17), "All Season", "Weekends/Holiday Only")</f>
        <v>Weekends/Holiday Only</v>
      </c>
    </row>
    <row r="772" spans="1:10" x14ac:dyDescent="0.25">
      <c r="A772" t="s">
        <v>3047</v>
      </c>
      <c r="B772" t="str" cm="1">
        <f t="array" ref="B77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72" s="6">
        <v>46031.87804398148</v>
      </c>
      <c r="D772" t="str">
        <f t="shared" si="36"/>
        <v>Friday</v>
      </c>
      <c r="F772" s="6" t="str">
        <f t="shared" si="37"/>
        <v>Saturday</v>
      </c>
      <c r="G772" t="str">
        <f>IF(COUNTIF(INDEX(SkiResort_ParkingRevenue_Raw[License Plate],1):SkiResort_ParkingRevenue_Raw[[#This Row],[License Plate]],SkiResort_ParkingRevenue_Raw[[#This Row],[License Plate]])=1,"New","Returning")</f>
        <v>New</v>
      </c>
      <c r="H772">
        <v>24.99</v>
      </c>
      <c r="I772">
        <v>1</v>
      </c>
      <c r="J772" t="str">
        <f t="shared" si="38"/>
        <v>Weekends/Holiday Only</v>
      </c>
    </row>
    <row r="773" spans="1:10" x14ac:dyDescent="0.25">
      <c r="A773" t="s">
        <v>3053</v>
      </c>
      <c r="B773" t="str" cm="1">
        <f t="array" ref="B77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73" s="6">
        <v>46031.896747685183</v>
      </c>
      <c r="D773" t="str">
        <f t="shared" si="36"/>
        <v>Friday</v>
      </c>
      <c r="F773" s="6" t="str">
        <f t="shared" si="37"/>
        <v>Saturday</v>
      </c>
      <c r="G773" t="str">
        <f>IF(COUNTIF(INDEX(SkiResort_ParkingRevenue_Raw[License Plate],1):SkiResort_ParkingRevenue_Raw[[#This Row],[License Plate]],SkiResort_ParkingRevenue_Raw[[#This Row],[License Plate]])=1,"New","Returning")</f>
        <v>New</v>
      </c>
      <c r="H773">
        <v>24.99</v>
      </c>
      <c r="I773">
        <v>1</v>
      </c>
      <c r="J773" t="str">
        <f t="shared" si="38"/>
        <v>Weekends/Holiday Only</v>
      </c>
    </row>
    <row r="774" spans="1:10" x14ac:dyDescent="0.25">
      <c r="A774" t="s">
        <v>3059</v>
      </c>
      <c r="B774" t="str" cm="1">
        <f t="array" ref="B77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74" s="6">
        <v>46032.531666666669</v>
      </c>
      <c r="D774" t="str">
        <f t="shared" si="36"/>
        <v>Saturday</v>
      </c>
      <c r="F774" s="6" t="str">
        <f t="shared" si="37"/>
        <v>Saturday</v>
      </c>
      <c r="G774" t="str">
        <f>IF(COUNTIF(INDEX(SkiResort_ParkingRevenue_Raw[License Plate],1):SkiResort_ParkingRevenue_Raw[[#This Row],[License Plate]],SkiResort_ParkingRevenue_Raw[[#This Row],[License Plate]])=1,"New","Returning")</f>
        <v>New</v>
      </c>
      <c r="H774">
        <v>24.99</v>
      </c>
      <c r="I774">
        <v>1</v>
      </c>
      <c r="J774" t="str">
        <f t="shared" si="38"/>
        <v>Weekends/Holiday Only</v>
      </c>
    </row>
    <row r="775" spans="1:10" x14ac:dyDescent="0.25">
      <c r="A775" t="s">
        <v>3065</v>
      </c>
      <c r="B775" t="str" cm="1">
        <f t="array" ref="B77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75" s="6">
        <v>46032.955497685187</v>
      </c>
      <c r="D775" t="str">
        <f t="shared" si="36"/>
        <v>Saturday</v>
      </c>
      <c r="F775" s="6" t="str">
        <f t="shared" si="37"/>
        <v>Saturday</v>
      </c>
      <c r="G775" t="str">
        <f>IF(COUNTIF(INDEX(SkiResort_ParkingRevenue_Raw[License Plate],1):SkiResort_ParkingRevenue_Raw[[#This Row],[License Plate]],SkiResort_ParkingRevenue_Raw[[#This Row],[License Plate]])=1,"New","Returning")</f>
        <v>Returning</v>
      </c>
      <c r="H775">
        <v>24.99</v>
      </c>
      <c r="I775">
        <v>1</v>
      </c>
      <c r="J775" t="str">
        <f t="shared" si="38"/>
        <v>Weekends/Holiday Only</v>
      </c>
    </row>
    <row r="776" spans="1:10" x14ac:dyDescent="0.25">
      <c r="A776" t="s">
        <v>3067</v>
      </c>
      <c r="B776" t="str" cm="1">
        <f t="array" ref="B77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76" s="6">
        <v>46033.440601851849</v>
      </c>
      <c r="D776" t="str">
        <f t="shared" si="36"/>
        <v>Sunday</v>
      </c>
      <c r="F776" s="6" t="str">
        <f t="shared" si="37"/>
        <v>Saturday</v>
      </c>
      <c r="G776" t="str">
        <f>IF(COUNTIF(INDEX(SkiResort_ParkingRevenue_Raw[License Plate],1):SkiResort_ParkingRevenue_Raw[[#This Row],[License Plate]],SkiResort_ParkingRevenue_Raw[[#This Row],[License Plate]])=1,"New","Returning")</f>
        <v>New</v>
      </c>
      <c r="H776">
        <v>24.99</v>
      </c>
      <c r="I776">
        <v>1</v>
      </c>
      <c r="J776" t="str">
        <f t="shared" si="38"/>
        <v>Weekends/Holiday Only</v>
      </c>
    </row>
    <row r="777" spans="1:10" x14ac:dyDescent="0.25">
      <c r="A777" t="s">
        <v>3073</v>
      </c>
      <c r="B777" t="str" cm="1">
        <f t="array" ref="B77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77" s="6">
        <v>46034.545474537037</v>
      </c>
      <c r="D777" t="str">
        <f t="shared" si="36"/>
        <v>Monday</v>
      </c>
      <c r="F777" s="6" t="str">
        <f t="shared" si="37"/>
        <v>Saturday</v>
      </c>
      <c r="G777" t="str">
        <f>IF(COUNTIF(INDEX(SkiResort_ParkingRevenue_Raw[License Plate],1):SkiResort_ParkingRevenue_Raw[[#This Row],[License Plate]],SkiResort_ParkingRevenue_Raw[[#This Row],[License Plate]])=1,"New","Returning")</f>
        <v>Returning</v>
      </c>
      <c r="H777">
        <v>24.99</v>
      </c>
      <c r="I777">
        <v>1</v>
      </c>
      <c r="J777" t="str">
        <f t="shared" si="38"/>
        <v>Weekends/Holiday Only</v>
      </c>
    </row>
    <row r="778" spans="1:10" x14ac:dyDescent="0.25">
      <c r="A778" t="s">
        <v>3077</v>
      </c>
      <c r="B778" t="str" cm="1">
        <f t="array" ref="B77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78" s="6">
        <v>46034.547314814816</v>
      </c>
      <c r="D778" t="str">
        <f t="shared" si="36"/>
        <v>Monday</v>
      </c>
      <c r="F778" s="6" t="str">
        <f t="shared" si="37"/>
        <v>Saturday</v>
      </c>
      <c r="G778" t="str">
        <f>IF(COUNTIF(INDEX(SkiResort_ParkingRevenue_Raw[License Plate],1):SkiResort_ParkingRevenue_Raw[[#This Row],[License Plate]],SkiResort_ParkingRevenue_Raw[[#This Row],[License Plate]])=1,"New","Returning")</f>
        <v>Returning</v>
      </c>
      <c r="H778">
        <v>24.99</v>
      </c>
      <c r="I778">
        <v>1</v>
      </c>
      <c r="J778" t="str">
        <f t="shared" si="38"/>
        <v>Weekends/Holiday Only</v>
      </c>
    </row>
    <row r="779" spans="1:10" x14ac:dyDescent="0.25">
      <c r="A779" t="s">
        <v>3079</v>
      </c>
      <c r="B779" t="str" cm="1">
        <f t="array" ref="B77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79" s="6">
        <v>46034.808935185189</v>
      </c>
      <c r="D779" t="str">
        <f t="shared" si="36"/>
        <v>Monday</v>
      </c>
      <c r="F779" s="6" t="str">
        <f t="shared" si="37"/>
        <v>Saturday</v>
      </c>
      <c r="G779" t="str">
        <f>IF(COUNTIF(INDEX(SkiResort_ParkingRevenue_Raw[License Plate],1):SkiResort_ParkingRevenue_Raw[[#This Row],[License Plate]],SkiResort_ParkingRevenue_Raw[[#This Row],[License Plate]])=1,"New","Returning")</f>
        <v>New</v>
      </c>
      <c r="H779">
        <v>49.98</v>
      </c>
      <c r="I779">
        <v>2</v>
      </c>
      <c r="J779" t="str">
        <f t="shared" si="38"/>
        <v>Weekends/Holiday Only</v>
      </c>
    </row>
    <row r="780" spans="1:10" x14ac:dyDescent="0.25">
      <c r="A780" t="s">
        <v>3085</v>
      </c>
      <c r="B780" t="str" cm="1">
        <f t="array" ref="B78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80" s="6">
        <v>46036.891388888886</v>
      </c>
      <c r="D780" t="str">
        <f t="shared" si="36"/>
        <v>Wednesday</v>
      </c>
      <c r="F780" s="6" t="str">
        <f t="shared" si="37"/>
        <v>Saturday</v>
      </c>
      <c r="G780" t="str">
        <f>IF(COUNTIF(INDEX(SkiResort_ParkingRevenue_Raw[License Plate],1):SkiResort_ParkingRevenue_Raw[[#This Row],[License Plate]],SkiResort_ParkingRevenue_Raw[[#This Row],[License Plate]])=1,"New","Returning")</f>
        <v>New</v>
      </c>
      <c r="H780">
        <v>24.99</v>
      </c>
      <c r="I780">
        <v>1</v>
      </c>
      <c r="J780" t="str">
        <f t="shared" si="38"/>
        <v>Weekends/Holiday Only</v>
      </c>
    </row>
    <row r="781" spans="1:10" x14ac:dyDescent="0.25">
      <c r="A781" t="s">
        <v>3091</v>
      </c>
      <c r="B781" t="str" cm="1">
        <f t="array" ref="B78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81" s="6">
        <v>46038.749780092592</v>
      </c>
      <c r="D781" t="str">
        <f t="shared" si="36"/>
        <v>Friday</v>
      </c>
      <c r="F781" s="6" t="str">
        <f t="shared" si="37"/>
        <v>Saturday</v>
      </c>
      <c r="G781" t="str">
        <f>IF(COUNTIF(INDEX(SkiResort_ParkingRevenue_Raw[License Plate],1):SkiResort_ParkingRevenue_Raw[[#This Row],[License Plate]],SkiResort_ParkingRevenue_Raw[[#This Row],[License Plate]])=1,"New","Returning")</f>
        <v>Returning</v>
      </c>
      <c r="H781">
        <v>24.99</v>
      </c>
      <c r="I781">
        <v>1</v>
      </c>
      <c r="J781" t="str">
        <f t="shared" si="38"/>
        <v>Weekends/Holiday Only</v>
      </c>
    </row>
    <row r="782" spans="1:10" x14ac:dyDescent="0.25">
      <c r="A782" t="s">
        <v>3093</v>
      </c>
      <c r="B782" t="str" cm="1">
        <f t="array" ref="B78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82" s="6">
        <v>46039.895150462966</v>
      </c>
      <c r="D782" t="str">
        <f t="shared" si="36"/>
        <v>Saturday</v>
      </c>
      <c r="F782" s="6" t="str">
        <f t="shared" si="37"/>
        <v>Saturday</v>
      </c>
      <c r="G782" t="str">
        <f>IF(COUNTIF(INDEX(SkiResort_ParkingRevenue_Raw[License Plate],1):SkiResort_ParkingRevenue_Raw[[#This Row],[License Plate]],SkiResort_ParkingRevenue_Raw[[#This Row],[License Plate]])=1,"New","Returning")</f>
        <v>New</v>
      </c>
      <c r="H782">
        <v>24.99</v>
      </c>
      <c r="I782">
        <v>1</v>
      </c>
      <c r="J782" t="str">
        <f t="shared" si="38"/>
        <v>Weekends/Holiday Only</v>
      </c>
    </row>
    <row r="783" spans="1:10" x14ac:dyDescent="0.25">
      <c r="A783" t="s">
        <v>3099</v>
      </c>
      <c r="B783" t="str" cm="1">
        <f t="array" ref="B78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83" s="6">
        <v>46044.897488425922</v>
      </c>
      <c r="D783" t="str">
        <f t="shared" si="36"/>
        <v>Thursday</v>
      </c>
      <c r="F783" s="6" t="str">
        <f t="shared" si="37"/>
        <v>Saturday</v>
      </c>
      <c r="G783" t="str">
        <f>IF(COUNTIF(INDEX(SkiResort_ParkingRevenue_Raw[License Plate],1):SkiResort_ParkingRevenue_Raw[[#This Row],[License Plate]],SkiResort_ParkingRevenue_Raw[[#This Row],[License Plate]])=1,"New","Returning")</f>
        <v>Returning</v>
      </c>
      <c r="H783">
        <v>24.99</v>
      </c>
      <c r="I783">
        <v>1</v>
      </c>
      <c r="J783" t="str">
        <f t="shared" si="38"/>
        <v>Weekends/Holiday Only</v>
      </c>
    </row>
    <row r="784" spans="1:10" x14ac:dyDescent="0.25">
      <c r="A784" t="s">
        <v>3104</v>
      </c>
      <c r="B784" t="str" cm="1">
        <f t="array" ref="B78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84" s="6">
        <v>46045.024097222224</v>
      </c>
      <c r="D784" t="str">
        <f t="shared" si="36"/>
        <v>Friday</v>
      </c>
      <c r="F784" s="6" t="str">
        <f t="shared" si="37"/>
        <v>Saturday</v>
      </c>
      <c r="G784" t="str">
        <f>IF(COUNTIF(INDEX(SkiResort_ParkingRevenue_Raw[License Plate],1):SkiResort_ParkingRevenue_Raw[[#This Row],[License Plate]],SkiResort_ParkingRevenue_Raw[[#This Row],[License Plate]])=1,"New","Returning")</f>
        <v>Returning</v>
      </c>
      <c r="H784">
        <v>24.99</v>
      </c>
      <c r="I784">
        <v>1</v>
      </c>
      <c r="J784" t="str">
        <f t="shared" si="38"/>
        <v>Weekends/Holiday Only</v>
      </c>
    </row>
    <row r="785" spans="1:10" x14ac:dyDescent="0.25">
      <c r="A785" t="s">
        <v>3106</v>
      </c>
      <c r="B785" t="str" cm="1">
        <f t="array" ref="B78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85" s="6">
        <v>46045.185925925929</v>
      </c>
      <c r="D785" t="str">
        <f t="shared" si="36"/>
        <v>Friday</v>
      </c>
      <c r="F785" s="6" t="str">
        <f t="shared" si="37"/>
        <v>Saturday</v>
      </c>
      <c r="G785" t="str">
        <f>IF(COUNTIF(INDEX(SkiResort_ParkingRevenue_Raw[License Plate],1):SkiResort_ParkingRevenue_Raw[[#This Row],[License Plate]],SkiResort_ParkingRevenue_Raw[[#This Row],[License Plate]])=1,"New","Returning")</f>
        <v>New</v>
      </c>
      <c r="H785">
        <v>24.99</v>
      </c>
      <c r="I785">
        <v>1</v>
      </c>
      <c r="J785" t="str">
        <f t="shared" si="38"/>
        <v>Weekends/Holiday Only</v>
      </c>
    </row>
    <row r="786" spans="1:10" x14ac:dyDescent="0.25">
      <c r="A786" t="s">
        <v>3112</v>
      </c>
      <c r="B786" t="str" cm="1">
        <f t="array" ref="B78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86" s="6">
        <v>46045.661817129629</v>
      </c>
      <c r="D786" t="str">
        <f t="shared" si="36"/>
        <v>Friday</v>
      </c>
      <c r="F786" s="6" t="str">
        <f t="shared" si="37"/>
        <v>Saturday</v>
      </c>
      <c r="G786" t="str">
        <f>IF(COUNTIF(INDEX(SkiResort_ParkingRevenue_Raw[License Plate],1):SkiResort_ParkingRevenue_Raw[[#This Row],[License Plate]],SkiResort_ParkingRevenue_Raw[[#This Row],[License Plate]])=1,"New","Returning")</f>
        <v>New</v>
      </c>
      <c r="H786">
        <v>24.99</v>
      </c>
      <c r="I786">
        <v>1</v>
      </c>
      <c r="J786" t="str">
        <f t="shared" si="38"/>
        <v>Weekends/Holiday Only</v>
      </c>
    </row>
    <row r="787" spans="1:10" x14ac:dyDescent="0.25">
      <c r="A787" t="s">
        <v>3118</v>
      </c>
      <c r="B787" t="str" cm="1">
        <f t="array" ref="B78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87" s="6">
        <v>46045.892974537041</v>
      </c>
      <c r="D787" t="str">
        <f t="shared" si="36"/>
        <v>Friday</v>
      </c>
      <c r="F787" s="6" t="str">
        <f t="shared" si="37"/>
        <v>Saturday</v>
      </c>
      <c r="G787" t="str">
        <f>IF(COUNTIF(INDEX(SkiResort_ParkingRevenue_Raw[License Plate],1):SkiResort_ParkingRevenue_Raw[[#This Row],[License Plate]],SkiResort_ParkingRevenue_Raw[[#This Row],[License Plate]])=1,"New","Returning")</f>
        <v>New</v>
      </c>
      <c r="H787">
        <v>24.99</v>
      </c>
      <c r="I787">
        <v>1</v>
      </c>
      <c r="J787" t="str">
        <f t="shared" si="38"/>
        <v>Weekends/Holiday Only</v>
      </c>
    </row>
    <row r="788" spans="1:10" x14ac:dyDescent="0.25">
      <c r="A788" t="s">
        <v>3124</v>
      </c>
      <c r="B788" t="str" cm="1">
        <f t="array" ref="B78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88" s="6">
        <v>46046.323020833333</v>
      </c>
      <c r="D788" t="str">
        <f t="shared" si="36"/>
        <v>Saturday</v>
      </c>
      <c r="F788" s="6" t="str">
        <f t="shared" si="37"/>
        <v>Saturday</v>
      </c>
      <c r="G788" t="str">
        <f>IF(COUNTIF(INDEX(SkiResort_ParkingRevenue_Raw[License Plate],1):SkiResort_ParkingRevenue_Raw[[#This Row],[License Plate]],SkiResort_ParkingRevenue_Raw[[#This Row],[License Plate]])=1,"New","Returning")</f>
        <v>New</v>
      </c>
      <c r="H788">
        <v>24.99</v>
      </c>
      <c r="I788">
        <v>1</v>
      </c>
      <c r="J788" t="str">
        <f t="shared" si="38"/>
        <v>Weekends/Holiday Only</v>
      </c>
    </row>
    <row r="789" spans="1:10" x14ac:dyDescent="0.25">
      <c r="A789" t="s">
        <v>3130</v>
      </c>
      <c r="B789" t="str" cm="1">
        <f t="array" ref="B78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89" s="6">
        <v>46046.392326388886</v>
      </c>
      <c r="D789" t="str">
        <f t="shared" si="36"/>
        <v>Saturday</v>
      </c>
      <c r="F789" s="6" t="str">
        <f t="shared" si="37"/>
        <v>Saturday</v>
      </c>
      <c r="G789" t="str">
        <f>IF(COUNTIF(INDEX(SkiResort_ParkingRevenue_Raw[License Plate],1):SkiResort_ParkingRevenue_Raw[[#This Row],[License Plate]],SkiResort_ParkingRevenue_Raw[[#This Row],[License Plate]])=1,"New","Returning")</f>
        <v>New</v>
      </c>
      <c r="H789">
        <v>24.99</v>
      </c>
      <c r="I789">
        <v>1</v>
      </c>
      <c r="J789" t="str">
        <f t="shared" si="38"/>
        <v>Weekends/Holiday Only</v>
      </c>
    </row>
    <row r="790" spans="1:10" x14ac:dyDescent="0.25">
      <c r="A790" t="s">
        <v>3136</v>
      </c>
      <c r="B790" t="str" cm="1">
        <f t="array" ref="B79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90" s="6">
        <v>46046.662222222221</v>
      </c>
      <c r="D790" t="str">
        <f t="shared" si="36"/>
        <v>Saturday</v>
      </c>
      <c r="F790" s="6" t="str">
        <f t="shared" si="37"/>
        <v>Saturday</v>
      </c>
      <c r="G790" t="str">
        <f>IF(COUNTIF(INDEX(SkiResort_ParkingRevenue_Raw[License Plate],1):SkiResort_ParkingRevenue_Raw[[#This Row],[License Plate]],SkiResort_ParkingRevenue_Raw[[#This Row],[License Plate]])=1,"New","Returning")</f>
        <v>Returning</v>
      </c>
      <c r="H790">
        <v>24.99</v>
      </c>
      <c r="I790">
        <v>1</v>
      </c>
      <c r="J790" t="str">
        <f t="shared" si="38"/>
        <v>Weekends/Holiday Only</v>
      </c>
    </row>
    <row r="791" spans="1:10" x14ac:dyDescent="0.25">
      <c r="A791" t="s">
        <v>3138</v>
      </c>
      <c r="B791" t="str" cm="1">
        <f t="array" ref="B79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91" s="6">
        <v>46046.832442129627</v>
      </c>
      <c r="D791" t="str">
        <f t="shared" si="36"/>
        <v>Saturday</v>
      </c>
      <c r="F791" s="6" t="str">
        <f t="shared" si="37"/>
        <v>Saturday</v>
      </c>
      <c r="G791" t="str">
        <f>IF(COUNTIF(INDEX(SkiResort_ParkingRevenue_Raw[License Plate],1):SkiResort_ParkingRevenue_Raw[[#This Row],[License Plate]],SkiResort_ParkingRevenue_Raw[[#This Row],[License Plate]])=1,"New","Returning")</f>
        <v>New</v>
      </c>
      <c r="H791">
        <v>24.99</v>
      </c>
      <c r="I791">
        <v>1</v>
      </c>
      <c r="J791" t="str">
        <f t="shared" si="38"/>
        <v>Weekends/Holiday Only</v>
      </c>
    </row>
    <row r="792" spans="1:10" x14ac:dyDescent="0.25">
      <c r="A792" t="s">
        <v>3144</v>
      </c>
      <c r="B792" t="str" cm="1">
        <f t="array" ref="B79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92" s="6">
        <v>46046.988402777781</v>
      </c>
      <c r="D792" t="str">
        <f t="shared" si="36"/>
        <v>Saturday</v>
      </c>
      <c r="F792" s="6" t="str">
        <f t="shared" si="37"/>
        <v>Saturday</v>
      </c>
      <c r="G792" t="str">
        <f>IF(COUNTIF(INDEX(SkiResort_ParkingRevenue_Raw[License Plate],1):SkiResort_ParkingRevenue_Raw[[#This Row],[License Plate]],SkiResort_ParkingRevenue_Raw[[#This Row],[License Plate]])=1,"New","Returning")</f>
        <v>Returning</v>
      </c>
      <c r="H792">
        <v>24.99</v>
      </c>
      <c r="I792">
        <v>1</v>
      </c>
      <c r="J792" t="str">
        <f t="shared" si="38"/>
        <v>Weekends/Holiday Only</v>
      </c>
    </row>
    <row r="793" spans="1:10" x14ac:dyDescent="0.25">
      <c r="A793" t="s">
        <v>3149</v>
      </c>
      <c r="B793" t="str" cm="1">
        <f t="array" ref="B79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93" s="6">
        <v>46047.367986111109</v>
      </c>
      <c r="D793" t="str">
        <f t="shared" si="36"/>
        <v>Sunday</v>
      </c>
      <c r="F793" s="6" t="str">
        <f t="shared" si="37"/>
        <v>Saturday</v>
      </c>
      <c r="G793" t="str">
        <f>IF(COUNTIF(INDEX(SkiResort_ParkingRevenue_Raw[License Plate],1):SkiResort_ParkingRevenue_Raw[[#This Row],[License Plate]],SkiResort_ParkingRevenue_Raw[[#This Row],[License Plate]])=1,"New","Returning")</f>
        <v>New</v>
      </c>
      <c r="H793">
        <v>24.99</v>
      </c>
      <c r="I793">
        <v>1</v>
      </c>
      <c r="J793" t="str">
        <f t="shared" si="38"/>
        <v>Weekends/Holiday Only</v>
      </c>
    </row>
    <row r="794" spans="1:10" x14ac:dyDescent="0.25">
      <c r="A794" t="s">
        <v>3155</v>
      </c>
      <c r="B794" t="str" cm="1">
        <f t="array" ref="B79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94" s="6">
        <v>46047.408634259256</v>
      </c>
      <c r="D794" t="str">
        <f t="shared" si="36"/>
        <v>Sunday</v>
      </c>
      <c r="F794" s="6" t="str">
        <f t="shared" si="37"/>
        <v>Saturday</v>
      </c>
      <c r="G794" t="str">
        <f>IF(COUNTIF(INDEX(SkiResort_ParkingRevenue_Raw[License Plate],1):SkiResort_ParkingRevenue_Raw[[#This Row],[License Plate]],SkiResort_ParkingRevenue_Raw[[#This Row],[License Plate]])=1,"New","Returning")</f>
        <v>Returning</v>
      </c>
      <c r="H794">
        <v>24.99</v>
      </c>
      <c r="I794">
        <v>1</v>
      </c>
      <c r="J794" t="str">
        <f t="shared" si="38"/>
        <v>Weekends/Holiday Only</v>
      </c>
    </row>
    <row r="795" spans="1:10" x14ac:dyDescent="0.25">
      <c r="A795" t="s">
        <v>3157</v>
      </c>
      <c r="B795" t="str" cm="1">
        <f t="array" ref="B79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95" s="6">
        <v>46047.415520833332</v>
      </c>
      <c r="D795" t="str">
        <f t="shared" si="36"/>
        <v>Sunday</v>
      </c>
      <c r="F795" s="6" t="str">
        <f t="shared" si="37"/>
        <v>Saturday</v>
      </c>
      <c r="G795" t="str">
        <f>IF(COUNTIF(INDEX(SkiResort_ParkingRevenue_Raw[License Plate],1):SkiResort_ParkingRevenue_Raw[[#This Row],[License Plate]],SkiResort_ParkingRevenue_Raw[[#This Row],[License Plate]])=1,"New","Returning")</f>
        <v>New</v>
      </c>
      <c r="H795">
        <v>24.99</v>
      </c>
      <c r="I795">
        <v>1</v>
      </c>
      <c r="J795" t="str">
        <f t="shared" si="38"/>
        <v>Weekends/Holiday Only</v>
      </c>
    </row>
    <row r="796" spans="1:10" x14ac:dyDescent="0.25">
      <c r="A796" t="s">
        <v>3163</v>
      </c>
      <c r="B796" t="str" cm="1">
        <f t="array" ref="B79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96" s="6">
        <v>46047.521053240744</v>
      </c>
      <c r="D796" t="str">
        <f t="shared" si="36"/>
        <v>Sunday</v>
      </c>
      <c r="F796" s="6" t="str">
        <f t="shared" si="37"/>
        <v>Saturday</v>
      </c>
      <c r="G796" t="str">
        <f>IF(COUNTIF(INDEX(SkiResort_ParkingRevenue_Raw[License Plate],1):SkiResort_ParkingRevenue_Raw[[#This Row],[License Plate]],SkiResort_ParkingRevenue_Raw[[#This Row],[License Plate]])=1,"New","Returning")</f>
        <v>Returning</v>
      </c>
      <c r="H796">
        <v>24.99</v>
      </c>
      <c r="I796">
        <v>1</v>
      </c>
      <c r="J796" t="str">
        <f t="shared" si="38"/>
        <v>Weekends/Holiday Only</v>
      </c>
    </row>
    <row r="797" spans="1:10" x14ac:dyDescent="0.25">
      <c r="A797" t="s">
        <v>3165</v>
      </c>
      <c r="B797" t="str" cm="1">
        <f t="array" ref="B79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97" s="6">
        <v>46049.334791666668</v>
      </c>
      <c r="D797" t="str">
        <f t="shared" si="36"/>
        <v>Tuesday</v>
      </c>
      <c r="F797" s="6" t="str">
        <f t="shared" si="37"/>
        <v>Saturday</v>
      </c>
      <c r="G797" t="str">
        <f>IF(COUNTIF(INDEX(SkiResort_ParkingRevenue_Raw[License Plate],1):SkiResort_ParkingRevenue_Raw[[#This Row],[License Plate]],SkiResort_ParkingRevenue_Raw[[#This Row],[License Plate]])=1,"New","Returning")</f>
        <v>Returning</v>
      </c>
      <c r="H797">
        <v>24.99</v>
      </c>
      <c r="I797">
        <v>1</v>
      </c>
      <c r="J797" t="str">
        <f t="shared" si="38"/>
        <v>Weekends/Holiday Only</v>
      </c>
    </row>
    <row r="798" spans="1:10" x14ac:dyDescent="0.25">
      <c r="A798" t="s">
        <v>3167</v>
      </c>
      <c r="B798" t="str" cm="1">
        <f t="array" ref="B79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98" s="6">
        <v>46049.338680555556</v>
      </c>
      <c r="D798" t="str">
        <f t="shared" si="36"/>
        <v>Tuesday</v>
      </c>
      <c r="F798" s="6" t="str">
        <f t="shared" si="37"/>
        <v>Saturday</v>
      </c>
      <c r="G798" t="str">
        <f>IF(COUNTIF(INDEX(SkiResort_ParkingRevenue_Raw[License Plate],1):SkiResort_ParkingRevenue_Raw[[#This Row],[License Plate]],SkiResort_ParkingRevenue_Raw[[#This Row],[License Plate]])=1,"New","Returning")</f>
        <v>New</v>
      </c>
      <c r="H798">
        <v>24.99</v>
      </c>
      <c r="I798">
        <v>1</v>
      </c>
      <c r="J798" t="str">
        <f t="shared" si="38"/>
        <v>Weekends/Holiday Only</v>
      </c>
    </row>
    <row r="799" spans="1:10" x14ac:dyDescent="0.25">
      <c r="A799" t="s">
        <v>3170</v>
      </c>
      <c r="B799" t="str" cm="1">
        <f t="array" ref="B79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799" s="6">
        <v>46049.339050925926</v>
      </c>
      <c r="D799" t="str">
        <f t="shared" si="36"/>
        <v>Tuesday</v>
      </c>
      <c r="F799" s="6" t="str">
        <f t="shared" si="37"/>
        <v>Saturday</v>
      </c>
      <c r="G799" t="str">
        <f>IF(COUNTIF(INDEX(SkiResort_ParkingRevenue_Raw[License Plate],1):SkiResort_ParkingRevenue_Raw[[#This Row],[License Plate]],SkiResort_ParkingRevenue_Raw[[#This Row],[License Plate]])=1,"New","Returning")</f>
        <v>Returning</v>
      </c>
      <c r="H799">
        <v>24.99</v>
      </c>
      <c r="I799">
        <v>1</v>
      </c>
      <c r="J799" t="str">
        <f t="shared" si="38"/>
        <v>Weekends/Holiday Only</v>
      </c>
    </row>
    <row r="800" spans="1:10" x14ac:dyDescent="0.25">
      <c r="A800" t="s">
        <v>3172</v>
      </c>
      <c r="B800" t="str" cm="1">
        <f t="array" ref="B80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00" s="6">
        <v>46052.655787037038</v>
      </c>
      <c r="D800" t="str">
        <f t="shared" si="36"/>
        <v>Friday</v>
      </c>
      <c r="F800" s="6" t="str">
        <f t="shared" si="37"/>
        <v>Saturday</v>
      </c>
      <c r="G800" t="str">
        <f>IF(COUNTIF(INDEX(SkiResort_ParkingRevenue_Raw[License Plate],1):SkiResort_ParkingRevenue_Raw[[#This Row],[License Plate]],SkiResort_ParkingRevenue_Raw[[#This Row],[License Plate]])=1,"New","Returning")</f>
        <v>New</v>
      </c>
      <c r="H800">
        <v>24.99</v>
      </c>
      <c r="I800">
        <v>1</v>
      </c>
      <c r="J800" t="str">
        <f t="shared" si="38"/>
        <v>Weekends/Holiday Only</v>
      </c>
    </row>
    <row r="801" spans="1:10" x14ac:dyDescent="0.25">
      <c r="A801" t="s">
        <v>3178</v>
      </c>
      <c r="B801" t="str" cm="1">
        <f t="array" ref="B80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01" s="6">
        <v>46052.68340277778</v>
      </c>
      <c r="D801" t="str">
        <f t="shared" si="36"/>
        <v>Friday</v>
      </c>
      <c r="F801" s="6" t="str">
        <f t="shared" si="37"/>
        <v>Saturday</v>
      </c>
      <c r="G801" t="str">
        <f>IF(COUNTIF(INDEX(SkiResort_ParkingRevenue_Raw[License Plate],1):SkiResort_ParkingRevenue_Raw[[#This Row],[License Plate]],SkiResort_ParkingRevenue_Raw[[#This Row],[License Plate]])=1,"New","Returning")</f>
        <v>New</v>
      </c>
      <c r="H801">
        <v>24.99</v>
      </c>
      <c r="I801">
        <v>1</v>
      </c>
      <c r="J801" t="str">
        <f t="shared" si="38"/>
        <v>Weekends/Holiday Only</v>
      </c>
    </row>
    <row r="802" spans="1:10" x14ac:dyDescent="0.25">
      <c r="A802" t="s">
        <v>3184</v>
      </c>
      <c r="B802" t="str" cm="1">
        <f t="array" ref="B80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02" s="6">
        <v>46052.686620370368</v>
      </c>
      <c r="D802" t="str">
        <f t="shared" si="36"/>
        <v>Friday</v>
      </c>
      <c r="F802" s="6" t="str">
        <f t="shared" si="37"/>
        <v>Saturday</v>
      </c>
      <c r="G802" t="str">
        <f>IF(COUNTIF(INDEX(SkiResort_ParkingRevenue_Raw[License Plate],1):SkiResort_ParkingRevenue_Raw[[#This Row],[License Plate]],SkiResort_ParkingRevenue_Raw[[#This Row],[License Plate]])=1,"New","Returning")</f>
        <v>New</v>
      </c>
      <c r="H802">
        <v>24.99</v>
      </c>
      <c r="I802">
        <v>1</v>
      </c>
      <c r="J802" t="str">
        <f t="shared" si="38"/>
        <v>Weekends/Holiday Only</v>
      </c>
    </row>
    <row r="803" spans="1:10" x14ac:dyDescent="0.25">
      <c r="A803" t="s">
        <v>3187</v>
      </c>
      <c r="B803" t="str" cm="1">
        <f t="array" ref="B80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03" s="6">
        <v>46052.784490740742</v>
      </c>
      <c r="D803" t="str">
        <f t="shared" si="36"/>
        <v>Friday</v>
      </c>
      <c r="F803" s="6" t="str">
        <f t="shared" si="37"/>
        <v>Saturday</v>
      </c>
      <c r="G803" t="str">
        <f>IF(COUNTIF(INDEX(SkiResort_ParkingRevenue_Raw[License Plate],1):SkiResort_ParkingRevenue_Raw[[#This Row],[License Plate]],SkiResort_ParkingRevenue_Raw[[#This Row],[License Plate]])=1,"New","Returning")</f>
        <v>New</v>
      </c>
      <c r="H803">
        <v>24.99</v>
      </c>
      <c r="I803">
        <v>1</v>
      </c>
      <c r="J803" t="str">
        <f t="shared" si="38"/>
        <v>Weekends/Holiday Only</v>
      </c>
    </row>
    <row r="804" spans="1:10" x14ac:dyDescent="0.25">
      <c r="A804" t="s">
        <v>3193</v>
      </c>
      <c r="B804" t="str" cm="1">
        <f t="array" ref="B80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04" s="6">
        <v>46053.356469907405</v>
      </c>
      <c r="D804" t="str">
        <f t="shared" si="36"/>
        <v>Saturday</v>
      </c>
      <c r="F804" s="6" t="str">
        <f t="shared" si="37"/>
        <v>Saturday</v>
      </c>
      <c r="G804" t="str">
        <f>IF(COUNTIF(INDEX(SkiResort_ParkingRevenue_Raw[License Plate],1):SkiResort_ParkingRevenue_Raw[[#This Row],[License Plate]],SkiResort_ParkingRevenue_Raw[[#This Row],[License Plate]])=1,"New","Returning")</f>
        <v>New</v>
      </c>
      <c r="H804">
        <v>24.99</v>
      </c>
      <c r="I804">
        <v>1</v>
      </c>
      <c r="J804" t="str">
        <f t="shared" si="38"/>
        <v>Weekends/Holiday Only</v>
      </c>
    </row>
    <row r="805" spans="1:10" x14ac:dyDescent="0.25">
      <c r="A805" t="s">
        <v>3199</v>
      </c>
      <c r="B805" t="str" cm="1">
        <f t="array" ref="B80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05" s="6">
        <v>46053.395902777775</v>
      </c>
      <c r="D805" t="str">
        <f t="shared" si="36"/>
        <v>Saturday</v>
      </c>
      <c r="F805" s="6" t="str">
        <f t="shared" si="37"/>
        <v>Saturday</v>
      </c>
      <c r="G805" t="str">
        <f>IF(COUNTIF(INDEX(SkiResort_ParkingRevenue_Raw[License Plate],1):SkiResort_ParkingRevenue_Raw[[#This Row],[License Plate]],SkiResort_ParkingRevenue_Raw[[#This Row],[License Plate]])=1,"New","Returning")</f>
        <v>New</v>
      </c>
      <c r="H805">
        <v>24.99</v>
      </c>
      <c r="I805">
        <v>1</v>
      </c>
      <c r="J805" t="str">
        <f t="shared" si="38"/>
        <v>Weekends/Holiday Only</v>
      </c>
    </row>
    <row r="806" spans="1:10" x14ac:dyDescent="0.25">
      <c r="A806" t="s">
        <v>3205</v>
      </c>
      <c r="B806" t="str" cm="1">
        <f t="array" ref="B80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06" s="6">
        <v>46053.680254629631</v>
      </c>
      <c r="D806" t="str">
        <f t="shared" si="36"/>
        <v>Saturday</v>
      </c>
      <c r="F806" s="6" t="str">
        <f t="shared" si="37"/>
        <v>Saturday</v>
      </c>
      <c r="G806" t="str">
        <f>IF(COUNTIF(INDEX(SkiResort_ParkingRevenue_Raw[License Plate],1):SkiResort_ParkingRevenue_Raw[[#This Row],[License Plate]],SkiResort_ParkingRevenue_Raw[[#This Row],[License Plate]])=1,"New","Returning")</f>
        <v>New</v>
      </c>
      <c r="H806">
        <v>24.99</v>
      </c>
      <c r="I806">
        <v>1</v>
      </c>
      <c r="J806" t="str">
        <f t="shared" si="38"/>
        <v>Weekends/Holiday Only</v>
      </c>
    </row>
    <row r="807" spans="1:10" x14ac:dyDescent="0.25">
      <c r="A807" t="s">
        <v>3211</v>
      </c>
      <c r="B807" t="str" cm="1">
        <f t="array" ref="B80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07" s="6">
        <v>46053.716828703706</v>
      </c>
      <c r="D807" t="str">
        <f t="shared" si="36"/>
        <v>Saturday</v>
      </c>
      <c r="F807" s="6" t="str">
        <f t="shared" si="37"/>
        <v>Saturday</v>
      </c>
      <c r="G807" t="str">
        <f>IF(COUNTIF(INDEX(SkiResort_ParkingRevenue_Raw[License Plate],1):SkiResort_ParkingRevenue_Raw[[#This Row],[License Plate]],SkiResort_ParkingRevenue_Raw[[#This Row],[License Plate]])=1,"New","Returning")</f>
        <v>New</v>
      </c>
      <c r="H807">
        <v>0</v>
      </c>
      <c r="I807">
        <v>1</v>
      </c>
      <c r="J807" t="str">
        <f t="shared" si="38"/>
        <v>Weekends/Holiday Only</v>
      </c>
    </row>
    <row r="808" spans="1:10" x14ac:dyDescent="0.25">
      <c r="A808" t="s">
        <v>3217</v>
      </c>
      <c r="B808" t="str" cm="1">
        <f t="array" ref="B80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08" s="6">
        <v>46053.720081018517</v>
      </c>
      <c r="D808" t="str">
        <f t="shared" si="36"/>
        <v>Saturday</v>
      </c>
      <c r="F808" s="6" t="str">
        <f t="shared" si="37"/>
        <v>Saturday</v>
      </c>
      <c r="G808" t="str">
        <f>IF(COUNTIF(INDEX(SkiResort_ParkingRevenue_Raw[License Plate],1):SkiResort_ParkingRevenue_Raw[[#This Row],[License Plate]],SkiResort_ParkingRevenue_Raw[[#This Row],[License Plate]])=1,"New","Returning")</f>
        <v>Returning</v>
      </c>
      <c r="H808">
        <v>0</v>
      </c>
      <c r="I808">
        <v>1</v>
      </c>
      <c r="J808" t="str">
        <f t="shared" si="38"/>
        <v>Weekends/Holiday Only</v>
      </c>
    </row>
    <row r="809" spans="1:10" x14ac:dyDescent="0.25">
      <c r="A809" t="s">
        <v>3219</v>
      </c>
      <c r="B809" t="str" cm="1">
        <f t="array" ref="B80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09" s="6">
        <v>46054.390196759261</v>
      </c>
      <c r="D809" t="str">
        <f t="shared" si="36"/>
        <v>Sunday</v>
      </c>
      <c r="F809" s="6" t="str">
        <f t="shared" si="37"/>
        <v>Saturday</v>
      </c>
      <c r="G809" t="str">
        <f>IF(COUNTIF(INDEX(SkiResort_ParkingRevenue_Raw[License Plate],1):SkiResort_ParkingRevenue_Raw[[#This Row],[License Plate]],SkiResort_ParkingRevenue_Raw[[#This Row],[License Plate]])=1,"New","Returning")</f>
        <v>New</v>
      </c>
      <c r="H809">
        <v>24.99</v>
      </c>
      <c r="I809">
        <v>1</v>
      </c>
      <c r="J809" t="str">
        <f t="shared" si="38"/>
        <v>Weekends/Holiday Only</v>
      </c>
    </row>
    <row r="810" spans="1:10" x14ac:dyDescent="0.25">
      <c r="A810" t="s">
        <v>3225</v>
      </c>
      <c r="B810" t="str" cm="1">
        <f t="array" ref="B81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10" s="6">
        <v>46054.829016203701</v>
      </c>
      <c r="D810" t="str">
        <f t="shared" si="36"/>
        <v>Sunday</v>
      </c>
      <c r="F810" s="6" t="str">
        <f t="shared" si="37"/>
        <v>Saturday</v>
      </c>
      <c r="G810" t="str">
        <f>IF(COUNTIF(INDEX(SkiResort_ParkingRevenue_Raw[License Plate],1):SkiResort_ParkingRevenue_Raw[[#This Row],[License Plate]],SkiResort_ParkingRevenue_Raw[[#This Row],[License Plate]])=1,"New","Returning")</f>
        <v>New</v>
      </c>
      <c r="H810">
        <v>24.99</v>
      </c>
      <c r="I810">
        <v>1</v>
      </c>
      <c r="J810" t="str">
        <f t="shared" si="38"/>
        <v>Weekends/Holiday Only</v>
      </c>
    </row>
    <row r="811" spans="1:10" x14ac:dyDescent="0.25">
      <c r="A811" t="s">
        <v>3231</v>
      </c>
      <c r="B811" t="str" cm="1">
        <f t="array" ref="B81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11" s="6">
        <v>46054.867013888892</v>
      </c>
      <c r="D811" t="str">
        <f t="shared" si="36"/>
        <v>Sunday</v>
      </c>
      <c r="F811" s="6" t="str">
        <f t="shared" si="37"/>
        <v>Saturday</v>
      </c>
      <c r="G811" t="str">
        <f>IF(COUNTIF(INDEX(SkiResort_ParkingRevenue_Raw[License Plate],1):SkiResort_ParkingRevenue_Raw[[#This Row],[License Plate]],SkiResort_ParkingRevenue_Raw[[#This Row],[License Plate]])=1,"New","Returning")</f>
        <v>New</v>
      </c>
      <c r="H811">
        <v>24.99</v>
      </c>
      <c r="I811">
        <v>1</v>
      </c>
      <c r="J811" t="str">
        <f t="shared" si="38"/>
        <v>Weekends/Holiday Only</v>
      </c>
    </row>
    <row r="812" spans="1:10" x14ac:dyDescent="0.25">
      <c r="A812" t="s">
        <v>3237</v>
      </c>
      <c r="B812" t="str" cm="1">
        <f t="array" ref="B81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12" s="6">
        <v>46055.704513888886</v>
      </c>
      <c r="D812" t="str">
        <f t="shared" si="36"/>
        <v>Monday</v>
      </c>
      <c r="F812" s="6" t="str">
        <f t="shared" si="37"/>
        <v>Saturday</v>
      </c>
      <c r="G812" t="str">
        <f>IF(COUNTIF(INDEX(SkiResort_ParkingRevenue_Raw[License Plate],1):SkiResort_ParkingRevenue_Raw[[#This Row],[License Plate]],SkiResort_ParkingRevenue_Raw[[#This Row],[License Plate]])=1,"New","Returning")</f>
        <v>New</v>
      </c>
      <c r="H812">
        <v>24.99</v>
      </c>
      <c r="I812">
        <v>1</v>
      </c>
      <c r="J812" t="str">
        <f t="shared" si="38"/>
        <v>Weekends/Holiday Only</v>
      </c>
    </row>
    <row r="813" spans="1:10" x14ac:dyDescent="0.25">
      <c r="A813" t="s">
        <v>3243</v>
      </c>
      <c r="B813" t="str" cm="1">
        <f t="array" ref="B81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13" s="6">
        <v>46058.730775462966</v>
      </c>
      <c r="D813" t="str">
        <f t="shared" si="36"/>
        <v>Thursday</v>
      </c>
      <c r="F813" s="6" t="str">
        <f t="shared" si="37"/>
        <v>Saturday</v>
      </c>
      <c r="G813" t="str">
        <f>IF(COUNTIF(INDEX(SkiResort_ParkingRevenue_Raw[License Plate],1):SkiResort_ParkingRevenue_Raw[[#This Row],[License Plate]],SkiResort_ParkingRevenue_Raw[[#This Row],[License Plate]])=1,"New","Returning")</f>
        <v>New</v>
      </c>
      <c r="H813">
        <v>24.99</v>
      </c>
      <c r="I813">
        <v>1</v>
      </c>
      <c r="J813" t="str">
        <f t="shared" si="38"/>
        <v>Weekends/Holiday Only</v>
      </c>
    </row>
    <row r="814" spans="1:10" x14ac:dyDescent="0.25">
      <c r="A814" t="s">
        <v>3249</v>
      </c>
      <c r="B814" t="str" cm="1">
        <f t="array" ref="B81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14" s="6">
        <v>46058.73337962963</v>
      </c>
      <c r="D814" t="str">
        <f t="shared" si="36"/>
        <v>Thursday</v>
      </c>
      <c r="F814" s="6" t="str">
        <f t="shared" si="37"/>
        <v>Saturday</v>
      </c>
      <c r="G814" t="str">
        <f>IF(COUNTIF(INDEX(SkiResort_ParkingRevenue_Raw[License Plate],1):SkiResort_ParkingRevenue_Raw[[#This Row],[License Plate]],SkiResort_ParkingRevenue_Raw[[#This Row],[License Plate]])=1,"New","Returning")</f>
        <v>Returning</v>
      </c>
      <c r="H814">
        <v>24.99</v>
      </c>
      <c r="I814">
        <v>1</v>
      </c>
      <c r="J814" t="str">
        <f t="shared" si="38"/>
        <v>Weekends/Holiday Only</v>
      </c>
    </row>
    <row r="815" spans="1:10" x14ac:dyDescent="0.25">
      <c r="A815" t="s">
        <v>3251</v>
      </c>
      <c r="B815" t="str" cm="1">
        <f t="array" ref="B81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15" s="6">
        <v>46058.750879629632</v>
      </c>
      <c r="D815" t="str">
        <f t="shared" si="36"/>
        <v>Thursday</v>
      </c>
      <c r="F815" s="6" t="str">
        <f t="shared" si="37"/>
        <v>Saturday</v>
      </c>
      <c r="G815" t="str">
        <f>IF(COUNTIF(INDEX(SkiResort_ParkingRevenue_Raw[License Plate],1):SkiResort_ParkingRevenue_Raw[[#This Row],[License Plate]],SkiResort_ParkingRevenue_Raw[[#This Row],[License Plate]])=1,"New","Returning")</f>
        <v>New</v>
      </c>
      <c r="H815">
        <v>24.99</v>
      </c>
      <c r="I815">
        <v>1</v>
      </c>
      <c r="J815" t="str">
        <f t="shared" si="38"/>
        <v>Weekends/Holiday Only</v>
      </c>
    </row>
    <row r="816" spans="1:10" x14ac:dyDescent="0.25">
      <c r="A816" t="s">
        <v>3257</v>
      </c>
      <c r="B816" t="str" cm="1">
        <f t="array" ref="B81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16" s="6">
        <v>46058.756018518521</v>
      </c>
      <c r="D816" t="str">
        <f t="shared" si="36"/>
        <v>Thursday</v>
      </c>
      <c r="F816" s="6" t="str">
        <f t="shared" si="37"/>
        <v>Saturday</v>
      </c>
      <c r="G816" t="str">
        <f>IF(COUNTIF(INDEX(SkiResort_ParkingRevenue_Raw[License Plate],1):SkiResort_ParkingRevenue_Raw[[#This Row],[License Plate]],SkiResort_ParkingRevenue_Raw[[#This Row],[License Plate]])=1,"New","Returning")</f>
        <v>Returning</v>
      </c>
      <c r="H816">
        <v>24.99</v>
      </c>
      <c r="I816">
        <v>1</v>
      </c>
      <c r="J816" t="str">
        <f t="shared" si="38"/>
        <v>Weekends/Holiday Only</v>
      </c>
    </row>
    <row r="817" spans="1:10" x14ac:dyDescent="0.25">
      <c r="A817" t="s">
        <v>3259</v>
      </c>
      <c r="B817" t="str" cm="1">
        <f t="array" ref="B81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17" s="6">
        <v>46058.791400462964</v>
      </c>
      <c r="D817" t="str">
        <f t="shared" si="36"/>
        <v>Thursday</v>
      </c>
      <c r="F817" s="6" t="str">
        <f t="shared" si="37"/>
        <v>Saturday</v>
      </c>
      <c r="G817" t="str">
        <f>IF(COUNTIF(INDEX(SkiResort_ParkingRevenue_Raw[License Plate],1):SkiResort_ParkingRevenue_Raw[[#This Row],[License Plate]],SkiResort_ParkingRevenue_Raw[[#This Row],[License Plate]])=1,"New","Returning")</f>
        <v>Returning</v>
      </c>
      <c r="H817">
        <v>24.99</v>
      </c>
      <c r="I817">
        <v>1</v>
      </c>
      <c r="J817" t="str">
        <f t="shared" si="38"/>
        <v>Weekends/Holiday Only</v>
      </c>
    </row>
    <row r="818" spans="1:10" x14ac:dyDescent="0.25">
      <c r="A818" t="s">
        <v>3261</v>
      </c>
      <c r="B818" t="str" cm="1">
        <f t="array" ref="B81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18" s="6">
        <v>46058.905763888892</v>
      </c>
      <c r="D818" t="str">
        <f t="shared" si="36"/>
        <v>Thursday</v>
      </c>
      <c r="F818" s="6" t="str">
        <f t="shared" si="37"/>
        <v>Saturday</v>
      </c>
      <c r="G818" t="str">
        <f>IF(COUNTIF(INDEX(SkiResort_ParkingRevenue_Raw[License Plate],1):SkiResort_ParkingRevenue_Raw[[#This Row],[License Plate]],SkiResort_ParkingRevenue_Raw[[#This Row],[License Plate]])=1,"New","Returning")</f>
        <v>Returning</v>
      </c>
      <c r="H818">
        <v>24.99</v>
      </c>
      <c r="I818">
        <v>1</v>
      </c>
      <c r="J818" t="str">
        <f t="shared" si="38"/>
        <v>Weekends/Holiday Only</v>
      </c>
    </row>
    <row r="819" spans="1:10" x14ac:dyDescent="0.25">
      <c r="A819" t="s">
        <v>3263</v>
      </c>
      <c r="B819" t="str" cm="1">
        <f t="array" ref="B81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19" s="6">
        <v>46058.910914351851</v>
      </c>
      <c r="D819" t="str">
        <f t="shared" si="36"/>
        <v>Thursday</v>
      </c>
      <c r="F819" s="6" t="str">
        <f t="shared" si="37"/>
        <v>Saturday</v>
      </c>
      <c r="G819" t="str">
        <f>IF(COUNTIF(INDEX(SkiResort_ParkingRevenue_Raw[License Plate],1):SkiResort_ParkingRevenue_Raw[[#This Row],[License Plate]],SkiResort_ParkingRevenue_Raw[[#This Row],[License Plate]])=1,"New","Returning")</f>
        <v>Returning</v>
      </c>
      <c r="H819">
        <v>24.99</v>
      </c>
      <c r="I819">
        <v>1</v>
      </c>
      <c r="J819" t="str">
        <f t="shared" si="38"/>
        <v>Weekends/Holiday Only</v>
      </c>
    </row>
    <row r="820" spans="1:10" x14ac:dyDescent="0.25">
      <c r="A820" t="s">
        <v>3265</v>
      </c>
      <c r="B820" t="str" cm="1">
        <f t="array" ref="B82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20" s="6">
        <v>46059.275671296295</v>
      </c>
      <c r="D820" t="str">
        <f t="shared" si="36"/>
        <v>Friday</v>
      </c>
      <c r="F820" s="6" t="str">
        <f t="shared" si="37"/>
        <v>Saturday</v>
      </c>
      <c r="G820" t="str">
        <f>IF(COUNTIF(INDEX(SkiResort_ParkingRevenue_Raw[License Plate],1):SkiResort_ParkingRevenue_Raw[[#This Row],[License Plate]],SkiResort_ParkingRevenue_Raw[[#This Row],[License Plate]])=1,"New","Returning")</f>
        <v>New</v>
      </c>
      <c r="H820">
        <v>24.99</v>
      </c>
      <c r="I820">
        <v>1</v>
      </c>
      <c r="J820" t="str">
        <f t="shared" si="38"/>
        <v>Weekends/Holiday Only</v>
      </c>
    </row>
    <row r="821" spans="1:10" x14ac:dyDescent="0.25">
      <c r="A821" t="s">
        <v>3271</v>
      </c>
      <c r="B821" t="str" cm="1">
        <f t="array" ref="B82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21" s="6">
        <v>46059.366342592592</v>
      </c>
      <c r="D821" t="str">
        <f t="shared" si="36"/>
        <v>Friday</v>
      </c>
      <c r="F821" s="6" t="str">
        <f t="shared" si="37"/>
        <v>Saturday</v>
      </c>
      <c r="G821" t="str">
        <f>IF(COUNTIF(INDEX(SkiResort_ParkingRevenue_Raw[License Plate],1):SkiResort_ParkingRevenue_Raw[[#This Row],[License Plate]],SkiResort_ParkingRevenue_Raw[[#This Row],[License Plate]])=1,"New","Returning")</f>
        <v>New</v>
      </c>
      <c r="H821">
        <v>24.99</v>
      </c>
      <c r="I821">
        <v>1</v>
      </c>
      <c r="J821" t="str">
        <f t="shared" si="38"/>
        <v>Weekends/Holiday Only</v>
      </c>
    </row>
    <row r="822" spans="1:10" x14ac:dyDescent="0.25">
      <c r="A822" t="s">
        <v>3277</v>
      </c>
      <c r="B822" t="str" cm="1">
        <f t="array" ref="B82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22" s="6">
        <v>46059.366736111115</v>
      </c>
      <c r="D822" t="str">
        <f t="shared" si="36"/>
        <v>Friday</v>
      </c>
      <c r="F822" s="6" t="str">
        <f t="shared" si="37"/>
        <v>Saturday</v>
      </c>
      <c r="G822" t="str">
        <f>IF(COUNTIF(INDEX(SkiResort_ParkingRevenue_Raw[License Plate],1):SkiResort_ParkingRevenue_Raw[[#This Row],[License Plate]],SkiResort_ParkingRevenue_Raw[[#This Row],[License Plate]])=1,"New","Returning")</f>
        <v>Returning</v>
      </c>
      <c r="H822">
        <v>24.99</v>
      </c>
      <c r="I822">
        <v>1</v>
      </c>
      <c r="J822" t="str">
        <f t="shared" si="38"/>
        <v>Weekends/Holiday Only</v>
      </c>
    </row>
    <row r="823" spans="1:10" x14ac:dyDescent="0.25">
      <c r="A823" t="s">
        <v>3279</v>
      </c>
      <c r="B823" t="str" cm="1">
        <f t="array" ref="B82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23" s="6">
        <v>46059.380856481483</v>
      </c>
      <c r="D823" t="str">
        <f t="shared" si="36"/>
        <v>Friday</v>
      </c>
      <c r="F823" s="6" t="str">
        <f t="shared" si="37"/>
        <v>Saturday</v>
      </c>
      <c r="G823" t="str">
        <f>IF(COUNTIF(INDEX(SkiResort_ParkingRevenue_Raw[License Plate],1):SkiResort_ParkingRevenue_Raw[[#This Row],[License Plate]],SkiResort_ParkingRevenue_Raw[[#This Row],[License Plate]])=1,"New","Returning")</f>
        <v>New</v>
      </c>
      <c r="H823">
        <v>24.99</v>
      </c>
      <c r="I823">
        <v>1</v>
      </c>
      <c r="J823" t="str">
        <f t="shared" si="38"/>
        <v>Weekends/Holiday Only</v>
      </c>
    </row>
    <row r="824" spans="1:10" x14ac:dyDescent="0.25">
      <c r="A824" t="s">
        <v>3285</v>
      </c>
      <c r="B824" t="str" cm="1">
        <f t="array" ref="B82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24" s="6">
        <v>46059.397488425922</v>
      </c>
      <c r="D824" t="str">
        <f t="shared" si="36"/>
        <v>Friday</v>
      </c>
      <c r="F824" s="6" t="str">
        <f t="shared" si="37"/>
        <v>Saturday</v>
      </c>
      <c r="G824" t="str">
        <f>IF(COUNTIF(INDEX(SkiResort_ParkingRevenue_Raw[License Plate],1):SkiResort_ParkingRevenue_Raw[[#This Row],[License Plate]],SkiResort_ParkingRevenue_Raw[[#This Row],[License Plate]])=1,"New","Returning")</f>
        <v>Returning</v>
      </c>
      <c r="H824">
        <v>24.99</v>
      </c>
      <c r="I824">
        <v>1</v>
      </c>
      <c r="J824" t="str">
        <f t="shared" si="38"/>
        <v>Weekends/Holiday Only</v>
      </c>
    </row>
    <row r="825" spans="1:10" x14ac:dyDescent="0.25">
      <c r="A825" t="s">
        <v>3287</v>
      </c>
      <c r="B825" t="str" cm="1">
        <f t="array" ref="B82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25" s="6">
        <v>46059.757939814815</v>
      </c>
      <c r="D825" t="str">
        <f t="shared" si="36"/>
        <v>Friday</v>
      </c>
      <c r="F825" s="6" t="str">
        <f t="shared" si="37"/>
        <v>Saturday</v>
      </c>
      <c r="G825" t="str">
        <f>IF(COUNTIF(INDEX(SkiResort_ParkingRevenue_Raw[License Plate],1):SkiResort_ParkingRevenue_Raw[[#This Row],[License Plate]],SkiResort_ParkingRevenue_Raw[[#This Row],[License Plate]])=1,"New","Returning")</f>
        <v>Returning</v>
      </c>
      <c r="H825">
        <v>24.99</v>
      </c>
      <c r="I825">
        <v>1</v>
      </c>
      <c r="J825" t="str">
        <f t="shared" si="38"/>
        <v>Weekends/Holiday Only</v>
      </c>
    </row>
    <row r="826" spans="1:10" x14ac:dyDescent="0.25">
      <c r="A826" t="s">
        <v>3289</v>
      </c>
      <c r="B826" t="str" cm="1">
        <f t="array" ref="B82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26" s="6">
        <v>46059.843576388892</v>
      </c>
      <c r="D826" t="str">
        <f t="shared" si="36"/>
        <v>Friday</v>
      </c>
      <c r="F826" s="6" t="str">
        <f t="shared" si="37"/>
        <v>Saturday</v>
      </c>
      <c r="G826" t="str">
        <f>IF(COUNTIF(INDEX(SkiResort_ParkingRevenue_Raw[License Plate],1):SkiResort_ParkingRevenue_Raw[[#This Row],[License Plate]],SkiResort_ParkingRevenue_Raw[[#This Row],[License Plate]])=1,"New","Returning")</f>
        <v>New</v>
      </c>
      <c r="H826">
        <v>24.99</v>
      </c>
      <c r="I826">
        <v>1</v>
      </c>
      <c r="J826" t="str">
        <f t="shared" si="38"/>
        <v>Weekends/Holiday Only</v>
      </c>
    </row>
    <row r="827" spans="1:10" x14ac:dyDescent="0.25">
      <c r="A827" t="s">
        <v>3295</v>
      </c>
      <c r="B827" t="str" cm="1">
        <f t="array" ref="B82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27" s="6">
        <v>46060.318495370368</v>
      </c>
      <c r="D827" t="str">
        <f t="shared" si="36"/>
        <v>Saturday</v>
      </c>
      <c r="F827" s="6" t="str">
        <f t="shared" si="37"/>
        <v>Saturday</v>
      </c>
      <c r="G827" t="str">
        <f>IF(COUNTIF(INDEX(SkiResort_ParkingRevenue_Raw[License Plate],1):SkiResort_ParkingRevenue_Raw[[#This Row],[License Plate]],SkiResort_ParkingRevenue_Raw[[#This Row],[License Plate]])=1,"New","Returning")</f>
        <v>Returning</v>
      </c>
      <c r="H827">
        <v>24.99</v>
      </c>
      <c r="I827">
        <v>1</v>
      </c>
      <c r="J827" t="str">
        <f t="shared" si="38"/>
        <v>Weekends/Holiday Only</v>
      </c>
    </row>
    <row r="828" spans="1:10" x14ac:dyDescent="0.25">
      <c r="A828" t="s">
        <v>3297</v>
      </c>
      <c r="B828" t="str" cm="1">
        <f t="array" ref="B82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28" s="6">
        <v>46060.358819444446</v>
      </c>
      <c r="D828" t="str">
        <f t="shared" si="36"/>
        <v>Saturday</v>
      </c>
      <c r="F828" s="6" t="str">
        <f t="shared" si="37"/>
        <v>Saturday</v>
      </c>
      <c r="G828" t="str">
        <f>IF(COUNTIF(INDEX(SkiResort_ParkingRevenue_Raw[License Plate],1):SkiResort_ParkingRevenue_Raw[[#This Row],[License Plate]],SkiResort_ParkingRevenue_Raw[[#This Row],[License Plate]])=1,"New","Returning")</f>
        <v>New</v>
      </c>
      <c r="H828">
        <v>24.99</v>
      </c>
      <c r="I828">
        <v>1</v>
      </c>
      <c r="J828" t="str">
        <f t="shared" si="38"/>
        <v>Weekends/Holiday Only</v>
      </c>
    </row>
    <row r="829" spans="1:10" x14ac:dyDescent="0.25">
      <c r="A829" t="s">
        <v>3303</v>
      </c>
      <c r="B829" t="str" cm="1">
        <f t="array" ref="B82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29" s="6">
        <v>46060.396689814814</v>
      </c>
      <c r="D829" t="str">
        <f t="shared" si="36"/>
        <v>Saturday</v>
      </c>
      <c r="F829" s="6" t="str">
        <f t="shared" si="37"/>
        <v>Saturday</v>
      </c>
      <c r="G829" t="str">
        <f>IF(COUNTIF(INDEX(SkiResort_ParkingRevenue_Raw[License Plate],1):SkiResort_ParkingRevenue_Raw[[#This Row],[License Plate]],SkiResort_ParkingRevenue_Raw[[#This Row],[License Plate]])=1,"New","Returning")</f>
        <v>New</v>
      </c>
      <c r="H829">
        <v>24.99</v>
      </c>
      <c r="I829">
        <v>1</v>
      </c>
      <c r="J829" t="str">
        <f t="shared" si="38"/>
        <v>Weekends/Holiday Only</v>
      </c>
    </row>
    <row r="830" spans="1:10" x14ac:dyDescent="0.25">
      <c r="A830" t="s">
        <v>3306</v>
      </c>
      <c r="B830" t="str" cm="1">
        <f t="array" ref="B83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30" s="6">
        <v>46060.400879629633</v>
      </c>
      <c r="D830" t="str">
        <f t="shared" si="36"/>
        <v>Saturday</v>
      </c>
      <c r="F830" s="6" t="str">
        <f t="shared" si="37"/>
        <v>Saturday</v>
      </c>
      <c r="G830" t="str">
        <f>IF(COUNTIF(INDEX(SkiResort_ParkingRevenue_Raw[License Plate],1):SkiResort_ParkingRevenue_Raw[[#This Row],[License Plate]],SkiResort_ParkingRevenue_Raw[[#This Row],[License Plate]])=1,"New","Returning")</f>
        <v>New</v>
      </c>
      <c r="H830">
        <v>24.99</v>
      </c>
      <c r="I830">
        <v>1</v>
      </c>
      <c r="J830" t="str">
        <f t="shared" si="38"/>
        <v>Weekends/Holiday Only</v>
      </c>
    </row>
    <row r="831" spans="1:10" x14ac:dyDescent="0.25">
      <c r="A831" t="s">
        <v>3309</v>
      </c>
      <c r="B831" t="str" cm="1">
        <f t="array" ref="B83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31" s="6">
        <v>46061.278807870367</v>
      </c>
      <c r="D831" t="str">
        <f t="shared" si="36"/>
        <v>Sunday</v>
      </c>
      <c r="F831" s="6" t="str">
        <f t="shared" si="37"/>
        <v>Saturday</v>
      </c>
      <c r="G831" t="str">
        <f>IF(COUNTIF(INDEX(SkiResort_ParkingRevenue_Raw[License Plate],1):SkiResort_ParkingRevenue_Raw[[#This Row],[License Plate]],SkiResort_ParkingRevenue_Raw[[#This Row],[License Plate]])=1,"New","Returning")</f>
        <v>Returning</v>
      </c>
      <c r="H831">
        <v>24.99</v>
      </c>
      <c r="I831">
        <v>1</v>
      </c>
      <c r="J831" t="str">
        <f t="shared" si="38"/>
        <v>Weekends/Holiday Only</v>
      </c>
    </row>
    <row r="832" spans="1:10" x14ac:dyDescent="0.25">
      <c r="A832" t="s">
        <v>3311</v>
      </c>
      <c r="B832" t="str" cm="1">
        <f t="array" ref="B83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32" s="6">
        <v>46061.305821759262</v>
      </c>
      <c r="D832" t="str">
        <f t="shared" si="36"/>
        <v>Sunday</v>
      </c>
      <c r="F832" s="6" t="str">
        <f t="shared" si="37"/>
        <v>Saturday</v>
      </c>
      <c r="G832" t="str">
        <f>IF(COUNTIF(INDEX(SkiResort_ParkingRevenue_Raw[License Plate],1):SkiResort_ParkingRevenue_Raw[[#This Row],[License Plate]],SkiResort_ParkingRevenue_Raw[[#This Row],[License Plate]])=1,"New","Returning")</f>
        <v>Returning</v>
      </c>
      <c r="H832">
        <v>24.99</v>
      </c>
      <c r="I832">
        <v>1</v>
      </c>
      <c r="J832" t="str">
        <f t="shared" si="38"/>
        <v>Weekends/Holiday Only</v>
      </c>
    </row>
    <row r="833" spans="1:10" x14ac:dyDescent="0.25">
      <c r="A833" t="s">
        <v>3313</v>
      </c>
      <c r="B833" t="str" cm="1">
        <f t="array" ref="B83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33" s="6">
        <v>46061.410208333335</v>
      </c>
      <c r="D833" t="str">
        <f t="shared" si="36"/>
        <v>Sunday</v>
      </c>
      <c r="F833" s="6" t="str">
        <f t="shared" si="37"/>
        <v>Saturday</v>
      </c>
      <c r="G833" t="str">
        <f>IF(COUNTIF(INDEX(SkiResort_ParkingRevenue_Raw[License Plate],1):SkiResort_ParkingRevenue_Raw[[#This Row],[License Plate]],SkiResort_ParkingRevenue_Raw[[#This Row],[License Plate]])=1,"New","Returning")</f>
        <v>Returning</v>
      </c>
      <c r="H833">
        <v>24.99</v>
      </c>
      <c r="I833">
        <v>1</v>
      </c>
      <c r="J833" t="str">
        <f t="shared" si="38"/>
        <v>Weekends/Holiday Only</v>
      </c>
    </row>
    <row r="834" spans="1:10" x14ac:dyDescent="0.25">
      <c r="A834" t="s">
        <v>3315</v>
      </c>
      <c r="B834" t="str" cm="1">
        <f t="array" ref="B83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34" s="6">
        <v>46061.411979166667</v>
      </c>
      <c r="D834" t="str">
        <f t="shared" ref="D834:D897" si="39">_xlfn.TEXTBEFORE(TEXT(C834, "dddd, mmmm dd, yyyy"), ",")</f>
        <v>Sunday</v>
      </c>
      <c r="F834" s="6" t="str">
        <f t="shared" si="37"/>
        <v>Saturday</v>
      </c>
      <c r="G834" t="str">
        <f>IF(COUNTIF(INDEX(SkiResort_ParkingRevenue_Raw[License Plate],1):SkiResort_ParkingRevenue_Raw[[#This Row],[License Plate]],SkiResort_ParkingRevenue_Raw[[#This Row],[License Plate]])=1,"New","Returning")</f>
        <v>Returning</v>
      </c>
      <c r="H834">
        <v>24.99</v>
      </c>
      <c r="I834">
        <v>1</v>
      </c>
      <c r="J834" t="str">
        <f t="shared" si="38"/>
        <v>Weekends/Holiday Only</v>
      </c>
    </row>
    <row r="835" spans="1:10" x14ac:dyDescent="0.25">
      <c r="A835" t="s">
        <v>3317</v>
      </c>
      <c r="B835" t="str" cm="1">
        <f t="array" ref="B83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35" s="6">
        <v>46061.690648148149</v>
      </c>
      <c r="D835" t="str">
        <f t="shared" si="39"/>
        <v>Sunday</v>
      </c>
      <c r="F835" s="6" t="str">
        <f t="shared" ref="F835:F898" si="40">_xlfn.TEXTBEFORE(TEXT(E835,"dddd, mmmm dd, yyyy"), ",")</f>
        <v>Saturday</v>
      </c>
      <c r="G835" t="str">
        <f>IF(COUNTIF(INDEX(SkiResort_ParkingRevenue_Raw[License Plate],1):SkiResort_ParkingRevenue_Raw[[#This Row],[License Plate]],SkiResort_ParkingRevenue_Raw[[#This Row],[License Plate]])=1,"New","Returning")</f>
        <v>Returning</v>
      </c>
      <c r="H835">
        <v>24.99</v>
      </c>
      <c r="I835">
        <v>1</v>
      </c>
      <c r="J835" t="str">
        <f t="shared" ref="J835:J898" si="41">IF(C835&lt;DATE(2025,1,17), "All Season", "Weekends/Holiday Only")</f>
        <v>Weekends/Holiday Only</v>
      </c>
    </row>
    <row r="836" spans="1:10" x14ac:dyDescent="0.25">
      <c r="A836" t="s">
        <v>3319</v>
      </c>
      <c r="B836" t="str" cm="1">
        <f t="array" ref="B83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36" s="6">
        <v>46061.694085648145</v>
      </c>
      <c r="D836" t="str">
        <f t="shared" si="39"/>
        <v>Sunday</v>
      </c>
      <c r="F836" s="6" t="str">
        <f t="shared" si="40"/>
        <v>Saturday</v>
      </c>
      <c r="G836" t="str">
        <f>IF(COUNTIF(INDEX(SkiResort_ParkingRevenue_Raw[License Plate],1):SkiResort_ParkingRevenue_Raw[[#This Row],[License Plate]],SkiResort_ParkingRevenue_Raw[[#This Row],[License Plate]])=1,"New","Returning")</f>
        <v>Returning</v>
      </c>
      <c r="H836">
        <v>24.99</v>
      </c>
      <c r="I836">
        <v>1</v>
      </c>
      <c r="J836" t="str">
        <f t="shared" si="41"/>
        <v>Weekends/Holiday Only</v>
      </c>
    </row>
    <row r="837" spans="1:10" x14ac:dyDescent="0.25">
      <c r="A837" t="s">
        <v>3321</v>
      </c>
      <c r="B837" t="str" cm="1">
        <f t="array" ref="B83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37" s="6">
        <v>46062.54515046296</v>
      </c>
      <c r="D837" t="str">
        <f t="shared" si="39"/>
        <v>Monday</v>
      </c>
      <c r="F837" s="6" t="str">
        <f t="shared" si="40"/>
        <v>Saturday</v>
      </c>
      <c r="G837" t="str">
        <f>IF(COUNTIF(INDEX(SkiResort_ParkingRevenue_Raw[License Plate],1):SkiResort_ParkingRevenue_Raw[[#This Row],[License Plate]],SkiResort_ParkingRevenue_Raw[[#This Row],[License Plate]])=1,"New","Returning")</f>
        <v>New</v>
      </c>
      <c r="H837">
        <v>24.99</v>
      </c>
      <c r="I837">
        <v>1</v>
      </c>
      <c r="J837" t="str">
        <f t="shared" si="41"/>
        <v>Weekends/Holiday Only</v>
      </c>
    </row>
    <row r="838" spans="1:10" x14ac:dyDescent="0.25">
      <c r="A838" t="s">
        <v>3327</v>
      </c>
      <c r="B838" t="str" cm="1">
        <f t="array" ref="B83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38" s="6">
        <v>46062.752337962964</v>
      </c>
      <c r="D838" t="str">
        <f t="shared" si="39"/>
        <v>Monday</v>
      </c>
      <c r="F838" s="6" t="str">
        <f t="shared" si="40"/>
        <v>Saturday</v>
      </c>
      <c r="G838" t="str">
        <f>IF(COUNTIF(INDEX(SkiResort_ParkingRevenue_Raw[License Plate],1):SkiResort_ParkingRevenue_Raw[[#This Row],[License Plate]],SkiResort_ParkingRevenue_Raw[[#This Row],[License Plate]])=1,"New","Returning")</f>
        <v>New</v>
      </c>
      <c r="H838">
        <v>24.99</v>
      </c>
      <c r="I838">
        <v>1</v>
      </c>
      <c r="J838" t="str">
        <f t="shared" si="41"/>
        <v>Weekends/Holiday Only</v>
      </c>
    </row>
    <row r="839" spans="1:10" x14ac:dyDescent="0.25">
      <c r="A839" t="s">
        <v>3333</v>
      </c>
      <c r="B839" t="str" cm="1">
        <f t="array" ref="B83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39" s="6">
        <v>46066.387245370373</v>
      </c>
      <c r="D839" t="str">
        <f t="shared" si="39"/>
        <v>Friday</v>
      </c>
      <c r="F839" s="6" t="str">
        <f t="shared" si="40"/>
        <v>Saturday</v>
      </c>
      <c r="G839" t="str">
        <f>IF(COUNTIF(INDEX(SkiResort_ParkingRevenue_Raw[License Plate],1):SkiResort_ParkingRevenue_Raw[[#This Row],[License Plate]],SkiResort_ParkingRevenue_Raw[[#This Row],[License Plate]])=1,"New","Returning")</f>
        <v>New</v>
      </c>
      <c r="H839">
        <v>24.99</v>
      </c>
      <c r="I839">
        <v>1</v>
      </c>
      <c r="J839" t="str">
        <f t="shared" si="41"/>
        <v>Weekends/Holiday Only</v>
      </c>
    </row>
    <row r="840" spans="1:10" x14ac:dyDescent="0.25">
      <c r="A840" t="s">
        <v>3339</v>
      </c>
      <c r="B840" t="str" cm="1">
        <f t="array" ref="B84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40" s="6">
        <v>46066.722314814811</v>
      </c>
      <c r="D840" t="str">
        <f t="shared" si="39"/>
        <v>Friday</v>
      </c>
      <c r="F840" s="6" t="str">
        <f t="shared" si="40"/>
        <v>Saturday</v>
      </c>
      <c r="G840" t="str">
        <f>IF(COUNTIF(INDEX(SkiResort_ParkingRevenue_Raw[License Plate],1):SkiResort_ParkingRevenue_Raw[[#This Row],[License Plate]],SkiResort_ParkingRevenue_Raw[[#This Row],[License Plate]])=1,"New","Returning")</f>
        <v>New</v>
      </c>
      <c r="H840">
        <v>24.99</v>
      </c>
      <c r="I840">
        <v>1</v>
      </c>
      <c r="J840" t="str">
        <f t="shared" si="41"/>
        <v>Weekends/Holiday Only</v>
      </c>
    </row>
    <row r="841" spans="1:10" x14ac:dyDescent="0.25">
      <c r="A841" t="s">
        <v>3345</v>
      </c>
      <c r="B841" t="str" cm="1">
        <f t="array" ref="B84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41" s="6">
        <v>46066.766030092593</v>
      </c>
      <c r="D841" t="str">
        <f t="shared" si="39"/>
        <v>Friday</v>
      </c>
      <c r="F841" s="6" t="str">
        <f t="shared" si="40"/>
        <v>Saturday</v>
      </c>
      <c r="G841" t="str">
        <f>IF(COUNTIF(INDEX(SkiResort_ParkingRevenue_Raw[License Plate],1):SkiResort_ParkingRevenue_Raw[[#This Row],[License Plate]],SkiResort_ParkingRevenue_Raw[[#This Row],[License Plate]])=1,"New","Returning")</f>
        <v>New</v>
      </c>
      <c r="H841">
        <v>24.99</v>
      </c>
      <c r="I841">
        <v>1</v>
      </c>
      <c r="J841" t="str">
        <f t="shared" si="41"/>
        <v>Weekends/Holiday Only</v>
      </c>
    </row>
    <row r="842" spans="1:10" x14ac:dyDescent="0.25">
      <c r="A842" t="s">
        <v>3351</v>
      </c>
      <c r="B842" t="str" cm="1">
        <f t="array" ref="B84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42" s="6">
        <v>46067.328275462962</v>
      </c>
      <c r="D842" t="str">
        <f t="shared" si="39"/>
        <v>Saturday</v>
      </c>
      <c r="F842" s="6" t="str">
        <f t="shared" si="40"/>
        <v>Saturday</v>
      </c>
      <c r="G842" t="str">
        <f>IF(COUNTIF(INDEX(SkiResort_ParkingRevenue_Raw[License Plate],1):SkiResort_ParkingRevenue_Raw[[#This Row],[License Plate]],SkiResort_ParkingRevenue_Raw[[#This Row],[License Plate]])=1,"New","Returning")</f>
        <v>New</v>
      </c>
      <c r="H842">
        <v>24.99</v>
      </c>
      <c r="I842">
        <v>1</v>
      </c>
      <c r="J842" t="str">
        <f t="shared" si="41"/>
        <v>Weekends/Holiday Only</v>
      </c>
    </row>
    <row r="843" spans="1:10" x14ac:dyDescent="0.25">
      <c r="A843" t="s">
        <v>3357</v>
      </c>
      <c r="B843" t="str" cm="1">
        <f t="array" ref="B84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43" s="6">
        <v>46067.427222222221</v>
      </c>
      <c r="D843" t="str">
        <f t="shared" si="39"/>
        <v>Saturday</v>
      </c>
      <c r="F843" s="6" t="str">
        <f t="shared" si="40"/>
        <v>Saturday</v>
      </c>
      <c r="G843" t="str">
        <f>IF(COUNTIF(INDEX(SkiResort_ParkingRevenue_Raw[License Plate],1):SkiResort_ParkingRevenue_Raw[[#This Row],[License Plate]],SkiResort_ParkingRevenue_Raw[[#This Row],[License Plate]])=1,"New","Returning")</f>
        <v>New</v>
      </c>
      <c r="H843">
        <v>24.99</v>
      </c>
      <c r="I843">
        <v>1</v>
      </c>
      <c r="J843" t="str">
        <f t="shared" si="41"/>
        <v>Weekends/Holiday Only</v>
      </c>
    </row>
    <row r="844" spans="1:10" x14ac:dyDescent="0.25">
      <c r="A844" t="s">
        <v>3363</v>
      </c>
      <c r="B844" t="str" cm="1">
        <f t="array" ref="B84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44" s="6">
        <v>46067.446192129632</v>
      </c>
      <c r="D844" t="str">
        <f t="shared" si="39"/>
        <v>Saturday</v>
      </c>
      <c r="F844" s="6" t="str">
        <f t="shared" si="40"/>
        <v>Saturday</v>
      </c>
      <c r="G844" t="str">
        <f>IF(COUNTIF(INDEX(SkiResort_ParkingRevenue_Raw[License Plate],1):SkiResort_ParkingRevenue_Raw[[#This Row],[License Plate]],SkiResort_ParkingRevenue_Raw[[#This Row],[License Plate]])=1,"New","Returning")</f>
        <v>New</v>
      </c>
      <c r="H844">
        <v>24.99</v>
      </c>
      <c r="I844">
        <v>1</v>
      </c>
      <c r="J844" t="str">
        <f t="shared" si="41"/>
        <v>Weekends/Holiday Only</v>
      </c>
    </row>
    <row r="845" spans="1:10" x14ac:dyDescent="0.25">
      <c r="A845" t="s">
        <v>3369</v>
      </c>
      <c r="B845" t="str" cm="1">
        <f t="array" ref="B84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45" s="6">
        <v>46067.77716435185</v>
      </c>
      <c r="D845" t="str">
        <f t="shared" si="39"/>
        <v>Saturday</v>
      </c>
      <c r="F845" s="6" t="str">
        <f t="shared" si="40"/>
        <v>Saturday</v>
      </c>
      <c r="G845" t="str">
        <f>IF(COUNTIF(INDEX(SkiResort_ParkingRevenue_Raw[License Plate],1):SkiResort_ParkingRevenue_Raw[[#This Row],[License Plate]],SkiResort_ParkingRevenue_Raw[[#This Row],[License Plate]])=1,"New","Returning")</f>
        <v>New</v>
      </c>
      <c r="H845">
        <v>24.99</v>
      </c>
      <c r="I845">
        <v>1</v>
      </c>
      <c r="J845" t="str">
        <f t="shared" si="41"/>
        <v>Weekends/Holiday Only</v>
      </c>
    </row>
    <row r="846" spans="1:10" x14ac:dyDescent="0.25">
      <c r="A846" t="s">
        <v>3375</v>
      </c>
      <c r="B846" t="str" cm="1">
        <f t="array" ref="B84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46" s="6">
        <v>46068.335416666669</v>
      </c>
      <c r="D846" t="str">
        <f t="shared" si="39"/>
        <v>Sunday</v>
      </c>
      <c r="F846" s="6" t="str">
        <f t="shared" si="40"/>
        <v>Saturday</v>
      </c>
      <c r="G846" t="str">
        <f>IF(COUNTIF(INDEX(SkiResort_ParkingRevenue_Raw[License Plate],1):SkiResort_ParkingRevenue_Raw[[#This Row],[License Plate]],SkiResort_ParkingRevenue_Raw[[#This Row],[License Plate]])=1,"New","Returning")</f>
        <v>Returning</v>
      </c>
      <c r="H846">
        <v>24.99</v>
      </c>
      <c r="I846">
        <v>1</v>
      </c>
      <c r="J846" t="str">
        <f t="shared" si="41"/>
        <v>Weekends/Holiday Only</v>
      </c>
    </row>
    <row r="847" spans="1:10" x14ac:dyDescent="0.25">
      <c r="A847" t="s">
        <v>3377</v>
      </c>
      <c r="B847" t="str" cm="1">
        <f t="array" ref="B84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47" s="6">
        <v>46068.559930555559</v>
      </c>
      <c r="D847" t="str">
        <f t="shared" si="39"/>
        <v>Sunday</v>
      </c>
      <c r="F847" s="6" t="str">
        <f t="shared" si="40"/>
        <v>Saturday</v>
      </c>
      <c r="G847" t="str">
        <f>IF(COUNTIF(INDEX(SkiResort_ParkingRevenue_Raw[License Plate],1):SkiResort_ParkingRevenue_Raw[[#This Row],[License Plate]],SkiResort_ParkingRevenue_Raw[[#This Row],[License Plate]])=1,"New","Returning")</f>
        <v>New</v>
      </c>
      <c r="H847">
        <v>24.99</v>
      </c>
      <c r="I847">
        <v>1</v>
      </c>
      <c r="J847" t="str">
        <f t="shared" si="41"/>
        <v>Weekends/Holiday Only</v>
      </c>
    </row>
    <row r="848" spans="1:10" x14ac:dyDescent="0.25">
      <c r="A848" t="s">
        <v>3383</v>
      </c>
      <c r="B848" t="str" cm="1">
        <f t="array" ref="B84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48" s="6">
        <v>46068.560324074075</v>
      </c>
      <c r="D848" t="str">
        <f t="shared" si="39"/>
        <v>Sunday</v>
      </c>
      <c r="F848" s="6" t="str">
        <f t="shared" si="40"/>
        <v>Saturday</v>
      </c>
      <c r="G848" t="str">
        <f>IF(COUNTIF(INDEX(SkiResort_ParkingRevenue_Raw[License Plate],1):SkiResort_ParkingRevenue_Raw[[#This Row],[License Plate]],SkiResort_ParkingRevenue_Raw[[#This Row],[License Plate]])=1,"New","Returning")</f>
        <v>Returning</v>
      </c>
      <c r="H848">
        <v>24.99</v>
      </c>
      <c r="I848">
        <v>1</v>
      </c>
      <c r="J848" t="str">
        <f t="shared" si="41"/>
        <v>Weekends/Holiday Only</v>
      </c>
    </row>
    <row r="849" spans="1:10" x14ac:dyDescent="0.25">
      <c r="A849" t="s">
        <v>3385</v>
      </c>
      <c r="B849" t="str" cm="1">
        <f t="array" ref="B84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49" s="6">
        <v>46070.886331018519</v>
      </c>
      <c r="D849" t="str">
        <f t="shared" si="39"/>
        <v>Tuesday</v>
      </c>
      <c r="F849" s="6" t="str">
        <f t="shared" si="40"/>
        <v>Saturday</v>
      </c>
      <c r="G849" t="str">
        <f>IF(COUNTIF(INDEX(SkiResort_ParkingRevenue_Raw[License Plate],1):SkiResort_ParkingRevenue_Raw[[#This Row],[License Plate]],SkiResort_ParkingRevenue_Raw[[#This Row],[License Plate]])=1,"New","Returning")</f>
        <v>New</v>
      </c>
      <c r="H849">
        <v>24.99</v>
      </c>
      <c r="I849">
        <v>1</v>
      </c>
      <c r="J849" t="str">
        <f t="shared" si="41"/>
        <v>Weekends/Holiday Only</v>
      </c>
    </row>
    <row r="850" spans="1:10" x14ac:dyDescent="0.25">
      <c r="A850" t="s">
        <v>3391</v>
      </c>
      <c r="B850" t="str" cm="1">
        <f t="array" ref="B85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50" s="6">
        <v>46073.364016203705</v>
      </c>
      <c r="D850" t="str">
        <f t="shared" si="39"/>
        <v>Friday</v>
      </c>
      <c r="F850" s="6" t="str">
        <f t="shared" si="40"/>
        <v>Saturday</v>
      </c>
      <c r="G850" t="str">
        <f>IF(COUNTIF(INDEX(SkiResort_ParkingRevenue_Raw[License Plate],1):SkiResort_ParkingRevenue_Raw[[#This Row],[License Plate]],SkiResort_ParkingRevenue_Raw[[#This Row],[License Plate]])=1,"New","Returning")</f>
        <v>New</v>
      </c>
      <c r="H850">
        <v>24.99</v>
      </c>
      <c r="I850">
        <v>1</v>
      </c>
      <c r="J850" t="str">
        <f t="shared" si="41"/>
        <v>Weekends/Holiday Only</v>
      </c>
    </row>
    <row r="851" spans="1:10" x14ac:dyDescent="0.25">
      <c r="A851" t="s">
        <v>3397</v>
      </c>
      <c r="B851" t="str" cm="1">
        <f t="array" ref="B85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51" s="6">
        <v>46073.368738425925</v>
      </c>
      <c r="D851" t="str">
        <f t="shared" si="39"/>
        <v>Friday</v>
      </c>
      <c r="F851" s="6" t="str">
        <f t="shared" si="40"/>
        <v>Saturday</v>
      </c>
      <c r="G851" t="str">
        <f>IF(COUNTIF(INDEX(SkiResort_ParkingRevenue_Raw[License Plate],1):SkiResort_ParkingRevenue_Raw[[#This Row],[License Plate]],SkiResort_ParkingRevenue_Raw[[#This Row],[License Plate]])=1,"New","Returning")</f>
        <v>New</v>
      </c>
      <c r="H851">
        <v>24.99</v>
      </c>
      <c r="I851">
        <v>1</v>
      </c>
      <c r="J851" t="str">
        <f t="shared" si="41"/>
        <v>Weekends/Holiday Only</v>
      </c>
    </row>
    <row r="852" spans="1:10" x14ac:dyDescent="0.25">
      <c r="A852" t="s">
        <v>3403</v>
      </c>
      <c r="B852" t="str" cm="1">
        <f t="array" ref="B85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52" s="6">
        <v>46073.704363425924</v>
      </c>
      <c r="D852" t="str">
        <f t="shared" si="39"/>
        <v>Friday</v>
      </c>
      <c r="F852" s="6" t="str">
        <f t="shared" si="40"/>
        <v>Saturday</v>
      </c>
      <c r="G852" t="str">
        <f>IF(COUNTIF(INDEX(SkiResort_ParkingRevenue_Raw[License Plate],1):SkiResort_ParkingRevenue_Raw[[#This Row],[License Plate]],SkiResort_ParkingRevenue_Raw[[#This Row],[License Plate]])=1,"New","Returning")</f>
        <v>New</v>
      </c>
      <c r="H852">
        <v>24.99</v>
      </c>
      <c r="I852">
        <v>1</v>
      </c>
      <c r="J852" t="str">
        <f t="shared" si="41"/>
        <v>Weekends/Holiday Only</v>
      </c>
    </row>
    <row r="853" spans="1:10" x14ac:dyDescent="0.25">
      <c r="A853" t="s">
        <v>3406</v>
      </c>
      <c r="B853" t="str" cm="1">
        <f t="array" ref="B85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53" s="6">
        <v>46073.706689814811</v>
      </c>
      <c r="D853" t="str">
        <f t="shared" si="39"/>
        <v>Friday</v>
      </c>
      <c r="F853" s="6" t="str">
        <f t="shared" si="40"/>
        <v>Saturday</v>
      </c>
      <c r="G853" t="str">
        <f>IF(COUNTIF(INDEX(SkiResort_ParkingRevenue_Raw[License Plate],1):SkiResort_ParkingRevenue_Raw[[#This Row],[License Plate]],SkiResort_ParkingRevenue_Raw[[#This Row],[License Plate]])=1,"New","Returning")</f>
        <v>Returning</v>
      </c>
      <c r="H853">
        <v>24.99</v>
      </c>
      <c r="I853">
        <v>1</v>
      </c>
      <c r="J853" t="str">
        <f t="shared" si="41"/>
        <v>Weekends/Holiday Only</v>
      </c>
    </row>
    <row r="854" spans="1:10" x14ac:dyDescent="0.25">
      <c r="A854" t="s">
        <v>3408</v>
      </c>
      <c r="B854" t="str" cm="1">
        <f t="array" ref="B85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54" s="6">
        <v>46073.848009259258</v>
      </c>
      <c r="D854" t="str">
        <f t="shared" si="39"/>
        <v>Friday</v>
      </c>
      <c r="F854" s="6" t="str">
        <f t="shared" si="40"/>
        <v>Saturday</v>
      </c>
      <c r="G854" t="str">
        <f>IF(COUNTIF(INDEX(SkiResort_ParkingRevenue_Raw[License Plate],1):SkiResort_ParkingRevenue_Raw[[#This Row],[License Plate]],SkiResort_ParkingRevenue_Raw[[#This Row],[License Plate]])=1,"New","Returning")</f>
        <v>Returning</v>
      </c>
      <c r="H854">
        <v>24.99</v>
      </c>
      <c r="I854">
        <v>1</v>
      </c>
      <c r="J854" t="str">
        <f t="shared" si="41"/>
        <v>Weekends/Holiday Only</v>
      </c>
    </row>
    <row r="855" spans="1:10" x14ac:dyDescent="0.25">
      <c r="A855" t="s">
        <v>3410</v>
      </c>
      <c r="B855" t="str" cm="1">
        <f t="array" ref="B85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55" s="6">
        <v>46073.849745370368</v>
      </c>
      <c r="D855" t="str">
        <f t="shared" si="39"/>
        <v>Friday</v>
      </c>
      <c r="F855" s="6" t="str">
        <f t="shared" si="40"/>
        <v>Saturday</v>
      </c>
      <c r="G855" t="str">
        <f>IF(COUNTIF(INDEX(SkiResort_ParkingRevenue_Raw[License Plate],1):SkiResort_ParkingRevenue_Raw[[#This Row],[License Plate]],SkiResort_ParkingRevenue_Raw[[#This Row],[License Plate]])=1,"New","Returning")</f>
        <v>Returning</v>
      </c>
      <c r="H855">
        <v>24.99</v>
      </c>
      <c r="I855">
        <v>1</v>
      </c>
      <c r="J855" t="str">
        <f t="shared" si="41"/>
        <v>Weekends/Holiday Only</v>
      </c>
    </row>
    <row r="856" spans="1:10" x14ac:dyDescent="0.25">
      <c r="A856" t="s">
        <v>3412</v>
      </c>
      <c r="B856" t="str" cm="1">
        <f t="array" ref="B85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56" s="6">
        <v>46074.302118055559</v>
      </c>
      <c r="D856" t="str">
        <f t="shared" si="39"/>
        <v>Saturday</v>
      </c>
      <c r="F856" s="6" t="str">
        <f t="shared" si="40"/>
        <v>Saturday</v>
      </c>
      <c r="G856" t="str">
        <f>IF(COUNTIF(INDEX(SkiResort_ParkingRevenue_Raw[License Plate],1):SkiResort_ParkingRevenue_Raw[[#This Row],[License Plate]],SkiResort_ParkingRevenue_Raw[[#This Row],[License Plate]])=1,"New","Returning")</f>
        <v>Returning</v>
      </c>
      <c r="H856">
        <v>24.99</v>
      </c>
      <c r="I856">
        <v>1</v>
      </c>
      <c r="J856" t="str">
        <f t="shared" si="41"/>
        <v>Weekends/Holiday Only</v>
      </c>
    </row>
    <row r="857" spans="1:10" x14ac:dyDescent="0.25">
      <c r="A857" t="s">
        <v>3414</v>
      </c>
      <c r="B857" t="str" cm="1">
        <f t="array" ref="B85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57" s="6">
        <v>46074.303877314815</v>
      </c>
      <c r="D857" t="str">
        <f t="shared" si="39"/>
        <v>Saturday</v>
      </c>
      <c r="F857" s="6" t="str">
        <f t="shared" si="40"/>
        <v>Saturday</v>
      </c>
      <c r="G857" t="str">
        <f>IF(COUNTIF(INDEX(SkiResort_ParkingRevenue_Raw[License Plate],1):SkiResort_ParkingRevenue_Raw[[#This Row],[License Plate]],SkiResort_ParkingRevenue_Raw[[#This Row],[License Plate]])=1,"New","Returning")</f>
        <v>New</v>
      </c>
      <c r="H857">
        <v>24.99</v>
      </c>
      <c r="I857">
        <v>1</v>
      </c>
      <c r="J857" t="str">
        <f t="shared" si="41"/>
        <v>Weekends/Holiday Only</v>
      </c>
    </row>
    <row r="858" spans="1:10" x14ac:dyDescent="0.25">
      <c r="A858" t="s">
        <v>3417</v>
      </c>
      <c r="B858" t="str" cm="1">
        <f t="array" ref="B85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58" s="6">
        <v>46074.410462962966</v>
      </c>
      <c r="D858" t="str">
        <f t="shared" si="39"/>
        <v>Saturday</v>
      </c>
      <c r="F858" s="6" t="str">
        <f t="shared" si="40"/>
        <v>Saturday</v>
      </c>
      <c r="G858" t="str">
        <f>IF(COUNTIF(INDEX(SkiResort_ParkingRevenue_Raw[License Plate],1):SkiResort_ParkingRevenue_Raw[[#This Row],[License Plate]],SkiResort_ParkingRevenue_Raw[[#This Row],[License Plate]])=1,"New","Returning")</f>
        <v>Returning</v>
      </c>
      <c r="H858">
        <v>24.99</v>
      </c>
      <c r="I858">
        <v>1</v>
      </c>
      <c r="J858" t="str">
        <f t="shared" si="41"/>
        <v>Weekends/Holiday Only</v>
      </c>
    </row>
    <row r="859" spans="1:10" x14ac:dyDescent="0.25">
      <c r="A859" t="s">
        <v>3419</v>
      </c>
      <c r="B859" t="str" cm="1">
        <f t="array" ref="B85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59" s="6">
        <v>46074.412094907406</v>
      </c>
      <c r="D859" t="str">
        <f t="shared" si="39"/>
        <v>Saturday</v>
      </c>
      <c r="F859" s="6" t="str">
        <f t="shared" si="40"/>
        <v>Saturday</v>
      </c>
      <c r="G859" t="str">
        <f>IF(COUNTIF(INDEX(SkiResort_ParkingRevenue_Raw[License Plate],1):SkiResort_ParkingRevenue_Raw[[#This Row],[License Plate]],SkiResort_ParkingRevenue_Raw[[#This Row],[License Plate]])=1,"New","Returning")</f>
        <v>New</v>
      </c>
      <c r="H859">
        <v>24.99</v>
      </c>
      <c r="I859">
        <v>1</v>
      </c>
      <c r="J859" t="str">
        <f t="shared" si="41"/>
        <v>Weekends/Holiday Only</v>
      </c>
    </row>
    <row r="860" spans="1:10" x14ac:dyDescent="0.25">
      <c r="A860" t="s">
        <v>3422</v>
      </c>
      <c r="B860" t="str" cm="1">
        <f t="array" ref="B86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60" s="6">
        <v>46077.57234953704</v>
      </c>
      <c r="D860" t="str">
        <f t="shared" si="39"/>
        <v>Tuesday</v>
      </c>
      <c r="F860" s="6" t="str">
        <f t="shared" si="40"/>
        <v>Saturday</v>
      </c>
      <c r="G860" t="str">
        <f>IF(COUNTIF(INDEX(SkiResort_ParkingRevenue_Raw[License Plate],1):SkiResort_ParkingRevenue_Raw[[#This Row],[License Plate]],SkiResort_ParkingRevenue_Raw[[#This Row],[License Plate]])=1,"New","Returning")</f>
        <v>New</v>
      </c>
      <c r="H860">
        <v>24.99</v>
      </c>
      <c r="I860">
        <v>1</v>
      </c>
      <c r="J860" t="str">
        <f t="shared" si="41"/>
        <v>Weekends/Holiday Only</v>
      </c>
    </row>
    <row r="861" spans="1:10" x14ac:dyDescent="0.25">
      <c r="A861" t="s">
        <v>3428</v>
      </c>
      <c r="B861" t="str" cm="1">
        <f t="array" ref="B86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61" s="6">
        <v>46077.820289351854</v>
      </c>
      <c r="D861" t="str">
        <f t="shared" si="39"/>
        <v>Tuesday</v>
      </c>
      <c r="F861" s="6" t="str">
        <f t="shared" si="40"/>
        <v>Saturday</v>
      </c>
      <c r="G861" t="str">
        <f>IF(COUNTIF(INDEX(SkiResort_ParkingRevenue_Raw[License Plate],1):SkiResort_ParkingRevenue_Raw[[#This Row],[License Plate]],SkiResort_ParkingRevenue_Raw[[#This Row],[License Plate]])=1,"New","Returning")</f>
        <v>New</v>
      </c>
      <c r="H861">
        <v>24.99</v>
      </c>
      <c r="I861">
        <v>1</v>
      </c>
      <c r="J861" t="str">
        <f t="shared" si="41"/>
        <v>Weekends/Holiday Only</v>
      </c>
    </row>
    <row r="862" spans="1:10" x14ac:dyDescent="0.25">
      <c r="A862" t="s">
        <v>3434</v>
      </c>
      <c r="B862" t="str" cm="1">
        <f t="array" ref="B86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62" s="6">
        <v>46079.562905092593</v>
      </c>
      <c r="D862" t="str">
        <f t="shared" si="39"/>
        <v>Thursday</v>
      </c>
      <c r="F862" s="6" t="str">
        <f t="shared" si="40"/>
        <v>Saturday</v>
      </c>
      <c r="G862" t="str">
        <f>IF(COUNTIF(INDEX(SkiResort_ParkingRevenue_Raw[License Plate],1):SkiResort_ParkingRevenue_Raw[[#This Row],[License Plate]],SkiResort_ParkingRevenue_Raw[[#This Row],[License Plate]])=1,"New","Returning")</f>
        <v>New</v>
      </c>
      <c r="H862">
        <v>24.99</v>
      </c>
      <c r="I862">
        <v>1</v>
      </c>
      <c r="J862" t="str">
        <f t="shared" si="41"/>
        <v>Weekends/Holiday Only</v>
      </c>
    </row>
    <row r="863" spans="1:10" x14ac:dyDescent="0.25">
      <c r="A863" t="s">
        <v>3440</v>
      </c>
      <c r="B863" t="str" cm="1">
        <f t="array" ref="B86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63" s="6">
        <v>46079.563784722224</v>
      </c>
      <c r="D863" t="str">
        <f t="shared" si="39"/>
        <v>Thursday</v>
      </c>
      <c r="F863" s="6" t="str">
        <f t="shared" si="40"/>
        <v>Saturday</v>
      </c>
      <c r="G863" t="str">
        <f>IF(COUNTIF(INDEX(SkiResort_ParkingRevenue_Raw[License Plate],1):SkiResort_ParkingRevenue_Raw[[#This Row],[License Plate]],SkiResort_ParkingRevenue_Raw[[#This Row],[License Plate]])=1,"New","Returning")</f>
        <v>Returning</v>
      </c>
      <c r="H863">
        <v>24.99</v>
      </c>
      <c r="I863">
        <v>1</v>
      </c>
      <c r="J863" t="str">
        <f t="shared" si="41"/>
        <v>Weekends/Holiday Only</v>
      </c>
    </row>
    <row r="864" spans="1:10" x14ac:dyDescent="0.25">
      <c r="A864" t="s">
        <v>3442</v>
      </c>
      <c r="B864" t="str" cm="1">
        <f t="array" ref="B86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64" s="6">
        <v>46079.833101851851</v>
      </c>
      <c r="D864" t="str">
        <f t="shared" si="39"/>
        <v>Thursday</v>
      </c>
      <c r="F864" s="6" t="str">
        <f t="shared" si="40"/>
        <v>Saturday</v>
      </c>
      <c r="G864" t="str">
        <f>IF(COUNTIF(INDEX(SkiResort_ParkingRevenue_Raw[License Plate],1):SkiResort_ParkingRevenue_Raw[[#This Row],[License Plate]],SkiResort_ParkingRevenue_Raw[[#This Row],[License Plate]])=1,"New","Returning")</f>
        <v>Returning</v>
      </c>
      <c r="H864">
        <v>24.99</v>
      </c>
      <c r="I864">
        <v>1</v>
      </c>
      <c r="J864" t="str">
        <f t="shared" si="41"/>
        <v>Weekends/Holiday Only</v>
      </c>
    </row>
    <row r="865" spans="1:10" x14ac:dyDescent="0.25">
      <c r="A865" t="s">
        <v>3444</v>
      </c>
      <c r="B865" t="str" cm="1">
        <f t="array" ref="B86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65" s="6">
        <v>46079.849189814813</v>
      </c>
      <c r="D865" t="str">
        <f t="shared" si="39"/>
        <v>Thursday</v>
      </c>
      <c r="F865" s="6" t="str">
        <f t="shared" si="40"/>
        <v>Saturday</v>
      </c>
      <c r="G865" t="str">
        <f>IF(COUNTIF(INDEX(SkiResort_ParkingRevenue_Raw[License Plate],1):SkiResort_ParkingRevenue_Raw[[#This Row],[License Plate]],SkiResort_ParkingRevenue_Raw[[#This Row],[License Plate]])=1,"New","Returning")</f>
        <v>Returning</v>
      </c>
      <c r="H865">
        <v>24.99</v>
      </c>
      <c r="I865">
        <v>1</v>
      </c>
      <c r="J865" t="str">
        <f t="shared" si="41"/>
        <v>Weekends/Holiday Only</v>
      </c>
    </row>
    <row r="866" spans="1:10" x14ac:dyDescent="0.25">
      <c r="A866" t="s">
        <v>3447</v>
      </c>
      <c r="B866" t="str" cm="1">
        <f t="array" ref="B86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66" s="6">
        <v>46079.885706018518</v>
      </c>
      <c r="D866" t="str">
        <f t="shared" si="39"/>
        <v>Thursday</v>
      </c>
      <c r="F866" s="6" t="str">
        <f t="shared" si="40"/>
        <v>Saturday</v>
      </c>
      <c r="G866" t="str">
        <f>IF(COUNTIF(INDEX(SkiResort_ParkingRevenue_Raw[License Plate],1):SkiResort_ParkingRevenue_Raw[[#This Row],[License Plate]],SkiResort_ParkingRevenue_Raw[[#This Row],[License Plate]])=1,"New","Returning")</f>
        <v>New</v>
      </c>
      <c r="H866">
        <v>24.99</v>
      </c>
      <c r="I866">
        <v>1</v>
      </c>
      <c r="J866" t="str">
        <f t="shared" si="41"/>
        <v>Weekends/Holiday Only</v>
      </c>
    </row>
    <row r="867" spans="1:10" x14ac:dyDescent="0.25">
      <c r="A867" t="s">
        <v>3453</v>
      </c>
      <c r="B867" t="str" cm="1">
        <f t="array" ref="B86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67" s="6">
        <v>46080.346655092595</v>
      </c>
      <c r="D867" t="str">
        <f t="shared" si="39"/>
        <v>Friday</v>
      </c>
      <c r="F867" s="6" t="str">
        <f t="shared" si="40"/>
        <v>Saturday</v>
      </c>
      <c r="G867" t="str">
        <f>IF(COUNTIF(INDEX(SkiResort_ParkingRevenue_Raw[License Plate],1):SkiResort_ParkingRevenue_Raw[[#This Row],[License Plate]],SkiResort_ParkingRevenue_Raw[[#This Row],[License Plate]])=1,"New","Returning")</f>
        <v>Returning</v>
      </c>
      <c r="H867">
        <v>24.99</v>
      </c>
      <c r="I867">
        <v>1</v>
      </c>
      <c r="J867" t="str">
        <f t="shared" si="41"/>
        <v>Weekends/Holiday Only</v>
      </c>
    </row>
    <row r="868" spans="1:10" x14ac:dyDescent="0.25">
      <c r="A868" t="s">
        <v>3455</v>
      </c>
      <c r="B868" t="str" cm="1">
        <f t="array" ref="B86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68" s="6">
        <v>46080.757534722223</v>
      </c>
      <c r="D868" t="str">
        <f t="shared" si="39"/>
        <v>Friday</v>
      </c>
      <c r="F868" s="6" t="str">
        <f t="shared" si="40"/>
        <v>Saturday</v>
      </c>
      <c r="G868" t="str">
        <f>IF(COUNTIF(INDEX(SkiResort_ParkingRevenue_Raw[License Plate],1):SkiResort_ParkingRevenue_Raw[[#This Row],[License Plate]],SkiResort_ParkingRevenue_Raw[[#This Row],[License Plate]])=1,"New","Returning")</f>
        <v>Returning</v>
      </c>
      <c r="H868">
        <v>24.99</v>
      </c>
      <c r="I868">
        <v>1</v>
      </c>
      <c r="J868" t="str">
        <f t="shared" si="41"/>
        <v>Weekends/Holiday Only</v>
      </c>
    </row>
    <row r="869" spans="1:10" x14ac:dyDescent="0.25">
      <c r="A869" t="s">
        <v>3457</v>
      </c>
      <c r="B869" t="str" cm="1">
        <f t="array" ref="B86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69" s="6">
        <v>46081.381365740737</v>
      </c>
      <c r="D869" t="str">
        <f t="shared" si="39"/>
        <v>Saturday</v>
      </c>
      <c r="F869" s="6" t="str">
        <f t="shared" si="40"/>
        <v>Saturday</v>
      </c>
      <c r="G869" t="str">
        <f>IF(COUNTIF(INDEX(SkiResort_ParkingRevenue_Raw[License Plate],1):SkiResort_ParkingRevenue_Raw[[#This Row],[License Plate]],SkiResort_ParkingRevenue_Raw[[#This Row],[License Plate]])=1,"New","Returning")</f>
        <v>New</v>
      </c>
      <c r="H869">
        <v>24.99</v>
      </c>
      <c r="I869">
        <v>1</v>
      </c>
      <c r="J869" t="str">
        <f t="shared" si="41"/>
        <v>Weekends/Holiday Only</v>
      </c>
    </row>
    <row r="870" spans="1:10" x14ac:dyDescent="0.25">
      <c r="A870" t="s">
        <v>3460</v>
      </c>
      <c r="B870" t="str" cm="1">
        <f t="array" ref="B87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70" s="6">
        <v>46081.448425925926</v>
      </c>
      <c r="D870" t="str">
        <f t="shared" si="39"/>
        <v>Saturday</v>
      </c>
      <c r="F870" s="6" t="str">
        <f t="shared" si="40"/>
        <v>Saturday</v>
      </c>
      <c r="G870" t="str">
        <f>IF(COUNTIF(INDEX(SkiResort_ParkingRevenue_Raw[License Plate],1):SkiResort_ParkingRevenue_Raw[[#This Row],[License Plate]],SkiResort_ParkingRevenue_Raw[[#This Row],[License Plate]])=1,"New","Returning")</f>
        <v>Returning</v>
      </c>
      <c r="H870">
        <v>24.99</v>
      </c>
      <c r="I870">
        <v>1</v>
      </c>
      <c r="J870" t="str">
        <f t="shared" si="41"/>
        <v>Weekends/Holiday Only</v>
      </c>
    </row>
    <row r="871" spans="1:10" x14ac:dyDescent="0.25">
      <c r="A871" t="s">
        <v>3462</v>
      </c>
      <c r="B871" t="str" cm="1">
        <f t="array" ref="B87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71" s="6">
        <v>46081.47761574074</v>
      </c>
      <c r="D871" t="str">
        <f t="shared" si="39"/>
        <v>Saturday</v>
      </c>
      <c r="F871" s="6" t="str">
        <f t="shared" si="40"/>
        <v>Saturday</v>
      </c>
      <c r="G871" t="str">
        <f>IF(COUNTIF(INDEX(SkiResort_ParkingRevenue_Raw[License Plate],1):SkiResort_ParkingRevenue_Raw[[#This Row],[License Plate]],SkiResort_ParkingRevenue_Raw[[#This Row],[License Plate]])=1,"New","Returning")</f>
        <v>New</v>
      </c>
      <c r="H871">
        <v>24.99</v>
      </c>
      <c r="I871">
        <v>1</v>
      </c>
      <c r="J871" t="str">
        <f t="shared" si="41"/>
        <v>Weekends/Holiday Only</v>
      </c>
    </row>
    <row r="872" spans="1:10" x14ac:dyDescent="0.25">
      <c r="A872" t="s">
        <v>3468</v>
      </c>
      <c r="B872" t="str" cm="1">
        <f t="array" ref="B87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72" s="6">
        <v>46082.321608796294</v>
      </c>
      <c r="D872" t="str">
        <f t="shared" si="39"/>
        <v>Sunday</v>
      </c>
      <c r="F872" s="6" t="str">
        <f t="shared" si="40"/>
        <v>Saturday</v>
      </c>
      <c r="G872" t="str">
        <f>IF(COUNTIF(INDEX(SkiResort_ParkingRevenue_Raw[License Plate],1):SkiResort_ParkingRevenue_Raw[[#This Row],[License Plate]],SkiResort_ParkingRevenue_Raw[[#This Row],[License Plate]])=1,"New","Returning")</f>
        <v>Returning</v>
      </c>
      <c r="H872">
        <v>24.99</v>
      </c>
      <c r="I872">
        <v>1</v>
      </c>
      <c r="J872" t="str">
        <f t="shared" si="41"/>
        <v>Weekends/Holiday Only</v>
      </c>
    </row>
    <row r="873" spans="1:10" x14ac:dyDescent="0.25">
      <c r="A873" t="s">
        <v>3470</v>
      </c>
      <c r="B873" t="str" cm="1">
        <f t="array" ref="B87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73" s="6">
        <v>46084.428124999999</v>
      </c>
      <c r="D873" t="str">
        <f t="shared" si="39"/>
        <v>Tuesday</v>
      </c>
      <c r="F873" s="6" t="str">
        <f t="shared" si="40"/>
        <v>Saturday</v>
      </c>
      <c r="G873" t="str">
        <f>IF(COUNTIF(INDEX(SkiResort_ParkingRevenue_Raw[License Plate],1):SkiResort_ParkingRevenue_Raw[[#This Row],[License Plate]],SkiResort_ParkingRevenue_Raw[[#This Row],[License Plate]])=1,"New","Returning")</f>
        <v>New</v>
      </c>
      <c r="H873">
        <v>24.99</v>
      </c>
      <c r="I873">
        <v>1</v>
      </c>
      <c r="J873" t="str">
        <f t="shared" si="41"/>
        <v>Weekends/Holiday Only</v>
      </c>
    </row>
    <row r="874" spans="1:10" x14ac:dyDescent="0.25">
      <c r="A874" t="s">
        <v>3476</v>
      </c>
      <c r="B874" t="str" cm="1">
        <f t="array" ref="B87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74" s="6">
        <v>46086.665578703702</v>
      </c>
      <c r="D874" t="str">
        <f t="shared" si="39"/>
        <v>Thursday</v>
      </c>
      <c r="F874" s="6" t="str">
        <f t="shared" si="40"/>
        <v>Saturday</v>
      </c>
      <c r="G874" t="str">
        <f>IF(COUNTIF(INDEX(SkiResort_ParkingRevenue_Raw[License Plate],1):SkiResort_ParkingRevenue_Raw[[#This Row],[License Plate]],SkiResort_ParkingRevenue_Raw[[#This Row],[License Plate]])=1,"New","Returning")</f>
        <v>New</v>
      </c>
      <c r="H874">
        <v>24.99</v>
      </c>
      <c r="I874">
        <v>1</v>
      </c>
      <c r="J874" t="str">
        <f t="shared" si="41"/>
        <v>Weekends/Holiday Only</v>
      </c>
    </row>
    <row r="875" spans="1:10" x14ac:dyDescent="0.25">
      <c r="A875" t="s">
        <v>3482</v>
      </c>
      <c r="B875" t="str" cm="1">
        <f t="array" ref="B87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75" s="6">
        <v>46086.725162037037</v>
      </c>
      <c r="D875" t="str">
        <f t="shared" si="39"/>
        <v>Thursday</v>
      </c>
      <c r="F875" s="6" t="str">
        <f t="shared" si="40"/>
        <v>Saturday</v>
      </c>
      <c r="G875" t="str">
        <f>IF(COUNTIF(INDEX(SkiResort_ParkingRevenue_Raw[License Plate],1):SkiResort_ParkingRevenue_Raw[[#This Row],[License Plate]],SkiResort_ParkingRevenue_Raw[[#This Row],[License Plate]])=1,"New","Returning")</f>
        <v>New</v>
      </c>
      <c r="H875">
        <v>24.99</v>
      </c>
      <c r="I875">
        <v>1</v>
      </c>
      <c r="J875" t="str">
        <f t="shared" si="41"/>
        <v>Weekends/Holiday Only</v>
      </c>
    </row>
    <row r="876" spans="1:10" x14ac:dyDescent="0.25">
      <c r="A876" t="s">
        <v>3488</v>
      </c>
      <c r="B876" t="str" cm="1">
        <f t="array" ref="B87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76" s="6">
        <v>46086.735300925924</v>
      </c>
      <c r="D876" t="str">
        <f t="shared" si="39"/>
        <v>Thursday</v>
      </c>
      <c r="F876" s="6" t="str">
        <f t="shared" si="40"/>
        <v>Saturday</v>
      </c>
      <c r="G876" t="str">
        <f>IF(COUNTIF(INDEX(SkiResort_ParkingRevenue_Raw[License Plate],1):SkiResort_ParkingRevenue_Raw[[#This Row],[License Plate]],SkiResort_ParkingRevenue_Raw[[#This Row],[License Plate]])=1,"New","Returning")</f>
        <v>New</v>
      </c>
      <c r="H876">
        <v>24.99</v>
      </c>
      <c r="I876">
        <v>1</v>
      </c>
      <c r="J876" t="str">
        <f t="shared" si="41"/>
        <v>Weekends/Holiday Only</v>
      </c>
    </row>
    <row r="877" spans="1:10" x14ac:dyDescent="0.25">
      <c r="A877" t="s">
        <v>3494</v>
      </c>
      <c r="B877" t="str" cm="1">
        <f t="array" ref="B87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77" s="6">
        <v>46087.227060185185</v>
      </c>
      <c r="D877" t="str">
        <f t="shared" si="39"/>
        <v>Friday</v>
      </c>
      <c r="F877" s="6" t="str">
        <f t="shared" si="40"/>
        <v>Saturday</v>
      </c>
      <c r="G877" t="str">
        <f>IF(COUNTIF(INDEX(SkiResort_ParkingRevenue_Raw[License Plate],1):SkiResort_ParkingRevenue_Raw[[#This Row],[License Plate]],SkiResort_ParkingRevenue_Raw[[#This Row],[License Plate]])=1,"New","Returning")</f>
        <v>Returning</v>
      </c>
      <c r="H877">
        <v>24.99</v>
      </c>
      <c r="I877">
        <v>1</v>
      </c>
      <c r="J877" t="str">
        <f t="shared" si="41"/>
        <v>Weekends/Holiday Only</v>
      </c>
    </row>
    <row r="878" spans="1:10" x14ac:dyDescent="0.25">
      <c r="A878" t="s">
        <v>3496</v>
      </c>
      <c r="B878" t="str" cm="1">
        <f t="array" ref="B87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78" s="6">
        <v>46087.339629629627</v>
      </c>
      <c r="D878" t="str">
        <f t="shared" si="39"/>
        <v>Friday</v>
      </c>
      <c r="F878" s="6" t="str">
        <f t="shared" si="40"/>
        <v>Saturday</v>
      </c>
      <c r="G878" t="str">
        <f>IF(COUNTIF(INDEX(SkiResort_ParkingRevenue_Raw[License Plate],1):SkiResort_ParkingRevenue_Raw[[#This Row],[License Plate]],SkiResort_ParkingRevenue_Raw[[#This Row],[License Plate]])=1,"New","Returning")</f>
        <v>New</v>
      </c>
      <c r="H878">
        <v>24.99</v>
      </c>
      <c r="I878">
        <v>1</v>
      </c>
      <c r="J878" t="str">
        <f t="shared" si="41"/>
        <v>Weekends/Holiday Only</v>
      </c>
    </row>
    <row r="879" spans="1:10" x14ac:dyDescent="0.25">
      <c r="A879" t="s">
        <v>3502</v>
      </c>
      <c r="B879" t="str" cm="1">
        <f t="array" ref="B87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79" s="6">
        <v>46087.830613425926</v>
      </c>
      <c r="D879" t="str">
        <f t="shared" si="39"/>
        <v>Friday</v>
      </c>
      <c r="F879" s="6" t="str">
        <f t="shared" si="40"/>
        <v>Saturday</v>
      </c>
      <c r="G879" t="str">
        <f>IF(COUNTIF(INDEX(SkiResort_ParkingRevenue_Raw[License Plate],1):SkiResort_ParkingRevenue_Raw[[#This Row],[License Plate]],SkiResort_ParkingRevenue_Raw[[#This Row],[License Plate]])=1,"New","Returning")</f>
        <v>New</v>
      </c>
      <c r="H879">
        <v>24.99</v>
      </c>
      <c r="I879">
        <v>1</v>
      </c>
      <c r="J879" t="str">
        <f t="shared" si="41"/>
        <v>Weekends/Holiday Only</v>
      </c>
    </row>
    <row r="880" spans="1:10" x14ac:dyDescent="0.25">
      <c r="A880" t="s">
        <v>3508</v>
      </c>
      <c r="B880" t="str" cm="1">
        <f t="array" ref="B88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80" s="6">
        <v>46087.872164351851</v>
      </c>
      <c r="D880" t="str">
        <f t="shared" si="39"/>
        <v>Friday</v>
      </c>
      <c r="F880" s="6" t="str">
        <f t="shared" si="40"/>
        <v>Saturday</v>
      </c>
      <c r="G880" t="str">
        <f>IF(COUNTIF(INDEX(SkiResort_ParkingRevenue_Raw[License Plate],1):SkiResort_ParkingRevenue_Raw[[#This Row],[License Plate]],SkiResort_ParkingRevenue_Raw[[#This Row],[License Plate]])=1,"New","Returning")</f>
        <v>New</v>
      </c>
      <c r="H880">
        <v>24.99</v>
      </c>
      <c r="I880">
        <v>1</v>
      </c>
      <c r="J880" t="str">
        <f t="shared" si="41"/>
        <v>Weekends/Holiday Only</v>
      </c>
    </row>
    <row r="881" spans="1:10" x14ac:dyDescent="0.25">
      <c r="A881" t="s">
        <v>3514</v>
      </c>
      <c r="B881" t="str" cm="1">
        <f t="array" ref="B88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81" s="6">
        <v>46087.873217592591</v>
      </c>
      <c r="D881" t="str">
        <f t="shared" si="39"/>
        <v>Friday</v>
      </c>
      <c r="F881" s="6" t="str">
        <f t="shared" si="40"/>
        <v>Saturday</v>
      </c>
      <c r="G881" t="str">
        <f>IF(COUNTIF(INDEX(SkiResort_ParkingRevenue_Raw[License Plate],1):SkiResort_ParkingRevenue_Raw[[#This Row],[License Plate]],SkiResort_ParkingRevenue_Raw[[#This Row],[License Plate]])=1,"New","Returning")</f>
        <v>New</v>
      </c>
      <c r="H881">
        <v>24.99</v>
      </c>
      <c r="I881">
        <v>1</v>
      </c>
      <c r="J881" t="str">
        <f t="shared" si="41"/>
        <v>Weekends/Holiday Only</v>
      </c>
    </row>
    <row r="882" spans="1:10" x14ac:dyDescent="0.25">
      <c r="A882" t="s">
        <v>3517</v>
      </c>
      <c r="B882" t="str" cm="1">
        <f t="array" ref="B88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82" s="6">
        <v>46087.941446759258</v>
      </c>
      <c r="D882" t="str">
        <f t="shared" si="39"/>
        <v>Friday</v>
      </c>
      <c r="F882" s="6" t="str">
        <f t="shared" si="40"/>
        <v>Saturday</v>
      </c>
      <c r="G882" t="str">
        <f>IF(COUNTIF(INDEX(SkiResort_ParkingRevenue_Raw[License Plate],1):SkiResort_ParkingRevenue_Raw[[#This Row],[License Plate]],SkiResort_ParkingRevenue_Raw[[#This Row],[License Plate]])=1,"New","Returning")</f>
        <v>Returning</v>
      </c>
      <c r="H882">
        <v>24.99</v>
      </c>
      <c r="I882">
        <v>1</v>
      </c>
      <c r="J882" t="str">
        <f t="shared" si="41"/>
        <v>Weekends/Holiday Only</v>
      </c>
    </row>
    <row r="883" spans="1:10" x14ac:dyDescent="0.25">
      <c r="A883" t="s">
        <v>3519</v>
      </c>
      <c r="B883" t="str" cm="1">
        <f t="array" ref="B88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83" s="6">
        <v>46088.206516203703</v>
      </c>
      <c r="D883" t="str">
        <f t="shared" si="39"/>
        <v>Saturday</v>
      </c>
      <c r="F883" s="6" t="str">
        <f t="shared" si="40"/>
        <v>Saturday</v>
      </c>
      <c r="G883" t="str">
        <f>IF(COUNTIF(INDEX(SkiResort_ParkingRevenue_Raw[License Plate],1):SkiResort_ParkingRevenue_Raw[[#This Row],[License Plate]],SkiResort_ParkingRevenue_Raw[[#This Row],[License Plate]])=1,"New","Returning")</f>
        <v>New</v>
      </c>
      <c r="H883">
        <v>24.99</v>
      </c>
      <c r="I883">
        <v>1</v>
      </c>
      <c r="J883" t="str">
        <f t="shared" si="41"/>
        <v>Weekends/Holiday Only</v>
      </c>
    </row>
    <row r="884" spans="1:10" x14ac:dyDescent="0.25">
      <c r="A884" t="s">
        <v>3525</v>
      </c>
      <c r="B884" t="str" cm="1">
        <f t="array" ref="B88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84" s="6">
        <v>46088.408541666664</v>
      </c>
      <c r="D884" t="str">
        <f t="shared" si="39"/>
        <v>Saturday</v>
      </c>
      <c r="F884" s="6" t="str">
        <f t="shared" si="40"/>
        <v>Saturday</v>
      </c>
      <c r="G884" t="str">
        <f>IF(COUNTIF(INDEX(SkiResort_ParkingRevenue_Raw[License Plate],1):SkiResort_ParkingRevenue_Raw[[#This Row],[License Plate]],SkiResort_ParkingRevenue_Raw[[#This Row],[License Plate]])=1,"New","Returning")</f>
        <v>New</v>
      </c>
      <c r="H884">
        <v>24.99</v>
      </c>
      <c r="I884">
        <v>1</v>
      </c>
      <c r="J884" t="str">
        <f t="shared" si="41"/>
        <v>Weekends/Holiday Only</v>
      </c>
    </row>
    <row r="885" spans="1:10" x14ac:dyDescent="0.25">
      <c r="A885" t="s">
        <v>3531</v>
      </c>
      <c r="B885" t="str" cm="1">
        <f t="array" ref="B88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85" s="6">
        <v>46088.441342592596</v>
      </c>
      <c r="D885" t="str">
        <f t="shared" si="39"/>
        <v>Saturday</v>
      </c>
      <c r="F885" s="6" t="str">
        <f t="shared" si="40"/>
        <v>Saturday</v>
      </c>
      <c r="G885" t="str">
        <f>IF(COUNTIF(INDEX(SkiResort_ParkingRevenue_Raw[License Plate],1):SkiResort_ParkingRevenue_Raw[[#This Row],[License Plate]],SkiResort_ParkingRevenue_Raw[[#This Row],[License Plate]])=1,"New","Returning")</f>
        <v>New</v>
      </c>
      <c r="H885">
        <v>24.99</v>
      </c>
      <c r="I885">
        <v>1</v>
      </c>
      <c r="J885" t="str">
        <f t="shared" si="41"/>
        <v>Weekends/Holiday Only</v>
      </c>
    </row>
    <row r="886" spans="1:10" x14ac:dyDescent="0.25">
      <c r="A886" t="s">
        <v>3537</v>
      </c>
      <c r="B886" t="str" cm="1">
        <f t="array" ref="B88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86" s="6">
        <v>46088.445115740738</v>
      </c>
      <c r="D886" t="str">
        <f t="shared" si="39"/>
        <v>Saturday</v>
      </c>
      <c r="F886" s="6" t="str">
        <f t="shared" si="40"/>
        <v>Saturday</v>
      </c>
      <c r="G886" t="str">
        <f>IF(COUNTIF(INDEX(SkiResort_ParkingRevenue_Raw[License Plate],1):SkiResort_ParkingRevenue_Raw[[#This Row],[License Plate]],SkiResort_ParkingRevenue_Raw[[#This Row],[License Plate]])=1,"New","Returning")</f>
        <v>New</v>
      </c>
      <c r="H886">
        <v>24.99</v>
      </c>
      <c r="I886">
        <v>1</v>
      </c>
      <c r="J886" t="str">
        <f t="shared" si="41"/>
        <v>Weekends/Holiday Only</v>
      </c>
    </row>
    <row r="887" spans="1:10" x14ac:dyDescent="0.25">
      <c r="A887" t="s">
        <v>3543</v>
      </c>
      <c r="B887" t="str" cm="1">
        <f t="array" ref="B88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87" s="6">
        <v>46088.483090277776</v>
      </c>
      <c r="D887" t="str">
        <f t="shared" si="39"/>
        <v>Saturday</v>
      </c>
      <c r="F887" s="6" t="str">
        <f t="shared" si="40"/>
        <v>Saturday</v>
      </c>
      <c r="G887" t="str">
        <f>IF(COUNTIF(INDEX(SkiResort_ParkingRevenue_Raw[License Plate],1):SkiResort_ParkingRevenue_Raw[[#This Row],[License Plate]],SkiResort_ParkingRevenue_Raw[[#This Row],[License Plate]])=1,"New","Returning")</f>
        <v>New</v>
      </c>
      <c r="H887">
        <v>24.99</v>
      </c>
      <c r="I887">
        <v>1</v>
      </c>
      <c r="J887" t="str">
        <f t="shared" si="41"/>
        <v>Weekends/Holiday Only</v>
      </c>
    </row>
    <row r="888" spans="1:10" x14ac:dyDescent="0.25">
      <c r="A888" t="s">
        <v>3549</v>
      </c>
      <c r="B888" t="str" cm="1">
        <f t="array" ref="B88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88" s="6">
        <v>46088.633946759262</v>
      </c>
      <c r="D888" t="str">
        <f t="shared" si="39"/>
        <v>Saturday</v>
      </c>
      <c r="F888" s="6" t="str">
        <f t="shared" si="40"/>
        <v>Saturday</v>
      </c>
      <c r="G888" t="str">
        <f>IF(COUNTIF(INDEX(SkiResort_ParkingRevenue_Raw[License Plate],1):SkiResort_ParkingRevenue_Raw[[#This Row],[License Plate]],SkiResort_ParkingRevenue_Raw[[#This Row],[License Plate]])=1,"New","Returning")</f>
        <v>New</v>
      </c>
      <c r="H888">
        <v>24.99</v>
      </c>
      <c r="I888">
        <v>1</v>
      </c>
      <c r="J888" t="str">
        <f t="shared" si="41"/>
        <v>Weekends/Holiday Only</v>
      </c>
    </row>
    <row r="889" spans="1:10" x14ac:dyDescent="0.25">
      <c r="A889" t="s">
        <v>3555</v>
      </c>
      <c r="B889" t="str" cm="1">
        <f t="array" ref="B88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89" s="6">
        <v>46088.69835648148</v>
      </c>
      <c r="D889" t="str">
        <f t="shared" si="39"/>
        <v>Saturday</v>
      </c>
      <c r="F889" s="6" t="str">
        <f t="shared" si="40"/>
        <v>Saturday</v>
      </c>
      <c r="G889" t="str">
        <f>IF(COUNTIF(INDEX(SkiResort_ParkingRevenue_Raw[License Plate],1):SkiResort_ParkingRevenue_Raw[[#This Row],[License Plate]],SkiResort_ParkingRevenue_Raw[[#This Row],[License Plate]])=1,"New","Returning")</f>
        <v>Returning</v>
      </c>
      <c r="H889">
        <v>24.99</v>
      </c>
      <c r="I889">
        <v>1</v>
      </c>
      <c r="J889" t="str">
        <f t="shared" si="41"/>
        <v>Weekends/Holiday Only</v>
      </c>
    </row>
    <row r="890" spans="1:10" x14ac:dyDescent="0.25">
      <c r="A890" t="s">
        <v>3557</v>
      </c>
      <c r="B890" t="str" cm="1">
        <f t="array" ref="B89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90" s="6">
        <v>46089.333622685182</v>
      </c>
      <c r="D890" t="str">
        <f t="shared" si="39"/>
        <v>Sunday</v>
      </c>
      <c r="F890" s="6" t="str">
        <f t="shared" si="40"/>
        <v>Saturday</v>
      </c>
      <c r="G890" t="str">
        <f>IF(COUNTIF(INDEX(SkiResort_ParkingRevenue_Raw[License Plate],1):SkiResort_ParkingRevenue_Raw[[#This Row],[License Plate]],SkiResort_ParkingRevenue_Raw[[#This Row],[License Plate]])=1,"New","Returning")</f>
        <v>Returning</v>
      </c>
      <c r="H890">
        <v>24.99</v>
      </c>
      <c r="I890">
        <v>1</v>
      </c>
      <c r="J890" t="str">
        <f t="shared" si="41"/>
        <v>Weekends/Holiday Only</v>
      </c>
    </row>
    <row r="891" spans="1:10" x14ac:dyDescent="0.25">
      <c r="A891" t="s">
        <v>3559</v>
      </c>
      <c r="B891" t="str" cm="1">
        <f t="array" ref="B89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91" s="6">
        <v>46089.37903935185</v>
      </c>
      <c r="D891" t="str">
        <f t="shared" si="39"/>
        <v>Sunday</v>
      </c>
      <c r="F891" s="6" t="str">
        <f t="shared" si="40"/>
        <v>Saturday</v>
      </c>
      <c r="G891" t="str">
        <f>IF(COUNTIF(INDEX(SkiResort_ParkingRevenue_Raw[License Plate],1):SkiResort_ParkingRevenue_Raw[[#This Row],[License Plate]],SkiResort_ParkingRevenue_Raw[[#This Row],[License Plate]])=1,"New","Returning")</f>
        <v>New</v>
      </c>
      <c r="H891">
        <v>24.99</v>
      </c>
      <c r="I891">
        <v>1</v>
      </c>
      <c r="J891" t="str">
        <f t="shared" si="41"/>
        <v>Weekends/Holiday Only</v>
      </c>
    </row>
    <row r="892" spans="1:10" x14ac:dyDescent="0.25">
      <c r="A892" t="s">
        <v>3565</v>
      </c>
      <c r="B892" t="str" cm="1">
        <f t="array" ref="B89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92" s="6">
        <v>46089.45349537037</v>
      </c>
      <c r="D892" t="str">
        <f t="shared" si="39"/>
        <v>Sunday</v>
      </c>
      <c r="F892" s="6" t="str">
        <f t="shared" si="40"/>
        <v>Saturday</v>
      </c>
      <c r="G892" t="str">
        <f>IF(COUNTIF(INDEX(SkiResort_ParkingRevenue_Raw[License Plate],1):SkiResort_ParkingRevenue_Raw[[#This Row],[License Plate]],SkiResort_ParkingRevenue_Raw[[#This Row],[License Plate]])=1,"New","Returning")</f>
        <v>Returning</v>
      </c>
      <c r="H892">
        <v>24.99</v>
      </c>
      <c r="I892">
        <v>1</v>
      </c>
      <c r="J892" t="str">
        <f t="shared" si="41"/>
        <v>Weekends/Holiday Only</v>
      </c>
    </row>
    <row r="893" spans="1:10" x14ac:dyDescent="0.25">
      <c r="A893" t="s">
        <v>3567</v>
      </c>
      <c r="B893" t="str" cm="1">
        <f t="array" ref="B89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93" s="6">
        <v>46089.465752314813</v>
      </c>
      <c r="D893" t="str">
        <f t="shared" si="39"/>
        <v>Sunday</v>
      </c>
      <c r="F893" s="6" t="str">
        <f t="shared" si="40"/>
        <v>Saturday</v>
      </c>
      <c r="G893" t="str">
        <f>IF(COUNTIF(INDEX(SkiResort_ParkingRevenue_Raw[License Plate],1):SkiResort_ParkingRevenue_Raw[[#This Row],[License Plate]],SkiResort_ParkingRevenue_Raw[[#This Row],[License Plate]])=1,"New","Returning")</f>
        <v>Returning</v>
      </c>
      <c r="H893">
        <v>24.99</v>
      </c>
      <c r="I893">
        <v>1</v>
      </c>
      <c r="J893" t="str">
        <f t="shared" si="41"/>
        <v>Weekends/Holiday Only</v>
      </c>
    </row>
    <row r="894" spans="1:10" x14ac:dyDescent="0.25">
      <c r="A894" t="s">
        <v>3569</v>
      </c>
      <c r="B894" t="str" cm="1">
        <f t="array" ref="B89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94" s="6">
        <v>46090.783935185187</v>
      </c>
      <c r="D894" t="str">
        <f t="shared" si="39"/>
        <v>Monday</v>
      </c>
      <c r="F894" s="6" t="str">
        <f t="shared" si="40"/>
        <v>Saturday</v>
      </c>
      <c r="G894" t="str">
        <f>IF(COUNTIF(INDEX(SkiResort_ParkingRevenue_Raw[License Plate],1):SkiResort_ParkingRevenue_Raw[[#This Row],[License Plate]],SkiResort_ParkingRevenue_Raw[[#This Row],[License Plate]])=1,"New","Returning")</f>
        <v>New</v>
      </c>
      <c r="H894">
        <v>24.99</v>
      </c>
      <c r="I894">
        <v>1</v>
      </c>
      <c r="J894" t="str">
        <f t="shared" si="41"/>
        <v>Weekends/Holiday Only</v>
      </c>
    </row>
    <row r="895" spans="1:10" x14ac:dyDescent="0.25">
      <c r="A895" t="s">
        <v>3575</v>
      </c>
      <c r="B895" t="str" cm="1">
        <f t="array" ref="B89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95" s="6">
        <v>46091.305150462962</v>
      </c>
      <c r="D895" t="str">
        <f t="shared" si="39"/>
        <v>Tuesday</v>
      </c>
      <c r="F895" s="6" t="str">
        <f t="shared" si="40"/>
        <v>Saturday</v>
      </c>
      <c r="G895" t="str">
        <f>IF(COUNTIF(INDEX(SkiResort_ParkingRevenue_Raw[License Plate],1):SkiResort_ParkingRevenue_Raw[[#This Row],[License Plate]],SkiResort_ParkingRevenue_Raw[[#This Row],[License Plate]])=1,"New","Returning")</f>
        <v>Returning</v>
      </c>
      <c r="H895">
        <v>24.99</v>
      </c>
      <c r="I895">
        <v>1</v>
      </c>
      <c r="J895" t="str">
        <f t="shared" si="41"/>
        <v>Weekends/Holiday Only</v>
      </c>
    </row>
    <row r="896" spans="1:10" x14ac:dyDescent="0.25">
      <c r="A896" t="s">
        <v>3577</v>
      </c>
      <c r="B896" t="str" cm="1">
        <f t="array" ref="B89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96" s="6">
        <v>46091.587638888886</v>
      </c>
      <c r="D896" t="str">
        <f t="shared" si="39"/>
        <v>Tuesday</v>
      </c>
      <c r="F896" s="6" t="str">
        <f t="shared" si="40"/>
        <v>Saturday</v>
      </c>
      <c r="G896" t="str">
        <f>IF(COUNTIF(INDEX(SkiResort_ParkingRevenue_Raw[License Plate],1):SkiResort_ParkingRevenue_Raw[[#This Row],[License Plate]],SkiResort_ParkingRevenue_Raw[[#This Row],[License Plate]])=1,"New","Returning")</f>
        <v>New</v>
      </c>
      <c r="H896">
        <v>24.99</v>
      </c>
      <c r="I896">
        <v>1</v>
      </c>
      <c r="J896" t="str">
        <f t="shared" si="41"/>
        <v>Weekends/Holiday Only</v>
      </c>
    </row>
    <row r="897" spans="1:10" x14ac:dyDescent="0.25">
      <c r="A897" t="s">
        <v>3583</v>
      </c>
      <c r="B897" t="str" cm="1">
        <f t="array" ref="B89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97" s="6">
        <v>46091.589722222219</v>
      </c>
      <c r="D897" t="str">
        <f t="shared" si="39"/>
        <v>Tuesday</v>
      </c>
      <c r="F897" s="6" t="str">
        <f t="shared" si="40"/>
        <v>Saturday</v>
      </c>
      <c r="G897" t="str">
        <f>IF(COUNTIF(INDEX(SkiResort_ParkingRevenue_Raw[License Plate],1):SkiResort_ParkingRevenue_Raw[[#This Row],[License Plate]],SkiResort_ParkingRevenue_Raw[[#This Row],[License Plate]])=1,"New","Returning")</f>
        <v>Returning</v>
      </c>
      <c r="H897">
        <v>24.99</v>
      </c>
      <c r="I897">
        <v>1</v>
      </c>
      <c r="J897" t="str">
        <f t="shared" si="41"/>
        <v>Weekends/Holiday Only</v>
      </c>
    </row>
    <row r="898" spans="1:10" x14ac:dyDescent="0.25">
      <c r="A898" t="s">
        <v>3585</v>
      </c>
      <c r="B898" t="str" cm="1">
        <f t="array" ref="B89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98" s="6">
        <v>46092.569745370369</v>
      </c>
      <c r="D898" t="str">
        <f t="shared" ref="D898:D961" si="42">_xlfn.TEXTBEFORE(TEXT(C898, "dddd, mmmm dd, yyyy"), ",")</f>
        <v>Wednesday</v>
      </c>
      <c r="F898" s="6" t="str">
        <f t="shared" si="40"/>
        <v>Saturday</v>
      </c>
      <c r="G898" t="str">
        <f>IF(COUNTIF(INDEX(SkiResort_ParkingRevenue_Raw[License Plate],1):SkiResort_ParkingRevenue_Raw[[#This Row],[License Plate]],SkiResort_ParkingRevenue_Raw[[#This Row],[License Plate]])=1,"New","Returning")</f>
        <v>New</v>
      </c>
      <c r="H898">
        <v>24.99</v>
      </c>
      <c r="I898">
        <v>1</v>
      </c>
      <c r="J898" t="str">
        <f t="shared" si="41"/>
        <v>Weekends/Holiday Only</v>
      </c>
    </row>
    <row r="899" spans="1:10" x14ac:dyDescent="0.25">
      <c r="A899" t="s">
        <v>3591</v>
      </c>
      <c r="B899" t="str" cm="1">
        <f t="array" ref="B89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899" s="6">
        <v>46092.843240740738</v>
      </c>
      <c r="D899" t="str">
        <f t="shared" si="42"/>
        <v>Wednesday</v>
      </c>
      <c r="F899" s="6" t="str">
        <f t="shared" ref="F899:F962" si="43">_xlfn.TEXTBEFORE(TEXT(E899,"dddd, mmmm dd, yyyy"), ",")</f>
        <v>Saturday</v>
      </c>
      <c r="G899" t="str">
        <f>IF(COUNTIF(INDEX(SkiResort_ParkingRevenue_Raw[License Plate],1):SkiResort_ParkingRevenue_Raw[[#This Row],[License Plate]],SkiResort_ParkingRevenue_Raw[[#This Row],[License Plate]])=1,"New","Returning")</f>
        <v>Returning</v>
      </c>
      <c r="H899">
        <v>24.99</v>
      </c>
      <c r="I899">
        <v>1</v>
      </c>
      <c r="J899" t="str">
        <f t="shared" ref="J899:J962" si="44">IF(C899&lt;DATE(2025,1,17), "All Season", "Weekends/Holiday Only")</f>
        <v>Weekends/Holiday Only</v>
      </c>
    </row>
    <row r="900" spans="1:10" x14ac:dyDescent="0.25">
      <c r="A900" t="s">
        <v>3593</v>
      </c>
      <c r="B900" t="str" cm="1">
        <f t="array" ref="B90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00" s="6">
        <v>46093.370347222219</v>
      </c>
      <c r="D900" t="str">
        <f t="shared" si="42"/>
        <v>Thursday</v>
      </c>
      <c r="F900" s="6" t="str">
        <f t="shared" si="43"/>
        <v>Saturday</v>
      </c>
      <c r="G900" t="str">
        <f>IF(COUNTIF(INDEX(SkiResort_ParkingRevenue_Raw[License Plate],1):SkiResort_ParkingRevenue_Raw[[#This Row],[License Plate]],SkiResort_ParkingRevenue_Raw[[#This Row],[License Plate]])=1,"New","Returning")</f>
        <v>New</v>
      </c>
      <c r="H900">
        <v>24.99</v>
      </c>
      <c r="I900">
        <v>1</v>
      </c>
      <c r="J900" t="str">
        <f t="shared" si="44"/>
        <v>Weekends/Holiday Only</v>
      </c>
    </row>
    <row r="901" spans="1:10" x14ac:dyDescent="0.25">
      <c r="A901" t="s">
        <v>3599</v>
      </c>
      <c r="B901" t="str" cm="1">
        <f t="array" ref="B90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01" s="6">
        <v>46093.484756944446</v>
      </c>
      <c r="D901" t="str">
        <f t="shared" si="42"/>
        <v>Thursday</v>
      </c>
      <c r="F901" s="6" t="str">
        <f t="shared" si="43"/>
        <v>Saturday</v>
      </c>
      <c r="G901" t="str">
        <f>IF(COUNTIF(INDEX(SkiResort_ParkingRevenue_Raw[License Plate],1):SkiResort_ParkingRevenue_Raw[[#This Row],[License Plate]],SkiResort_ParkingRevenue_Raw[[#This Row],[License Plate]])=1,"New","Returning")</f>
        <v>New</v>
      </c>
      <c r="H901">
        <v>74.97</v>
      </c>
      <c r="I901">
        <v>3</v>
      </c>
      <c r="J901" t="str">
        <f t="shared" si="44"/>
        <v>Weekends/Holiday Only</v>
      </c>
    </row>
    <row r="902" spans="1:10" x14ac:dyDescent="0.25">
      <c r="A902" t="s">
        <v>3605</v>
      </c>
      <c r="B902" t="str" cm="1">
        <f t="array" ref="B90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02" s="6">
        <v>46094.381192129629</v>
      </c>
      <c r="D902" t="str">
        <f t="shared" si="42"/>
        <v>Friday</v>
      </c>
      <c r="F902" s="6" t="str">
        <f t="shared" si="43"/>
        <v>Saturday</v>
      </c>
      <c r="G902" t="str">
        <f>IF(COUNTIF(INDEX(SkiResort_ParkingRevenue_Raw[License Plate],1):SkiResort_ParkingRevenue_Raw[[#This Row],[License Plate]],SkiResort_ParkingRevenue_Raw[[#This Row],[License Plate]])=1,"New","Returning")</f>
        <v>New</v>
      </c>
      <c r="H902">
        <v>24.99</v>
      </c>
      <c r="I902">
        <v>1</v>
      </c>
      <c r="J902" t="str">
        <f t="shared" si="44"/>
        <v>Weekends/Holiday Only</v>
      </c>
    </row>
    <row r="903" spans="1:10" x14ac:dyDescent="0.25">
      <c r="A903" t="s">
        <v>3611</v>
      </c>
      <c r="B903" t="str" cm="1">
        <f t="array" ref="B90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03" s="6">
        <v>46094.455717592595</v>
      </c>
      <c r="D903" t="str">
        <f t="shared" si="42"/>
        <v>Friday</v>
      </c>
      <c r="F903" s="6" t="str">
        <f t="shared" si="43"/>
        <v>Saturday</v>
      </c>
      <c r="G903" t="str">
        <f>IF(COUNTIF(INDEX(SkiResort_ParkingRevenue_Raw[License Plate],1):SkiResort_ParkingRevenue_Raw[[#This Row],[License Plate]],SkiResort_ParkingRevenue_Raw[[#This Row],[License Plate]])=1,"New","Returning")</f>
        <v>New</v>
      </c>
      <c r="H903">
        <v>24.99</v>
      </c>
      <c r="I903">
        <v>1</v>
      </c>
      <c r="J903" t="str">
        <f t="shared" si="44"/>
        <v>Weekends/Holiday Only</v>
      </c>
    </row>
    <row r="904" spans="1:10" x14ac:dyDescent="0.25">
      <c r="A904" t="s">
        <v>3617</v>
      </c>
      <c r="B904" t="str" cm="1">
        <f t="array" ref="B90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04" s="6">
        <v>46094.499074074076</v>
      </c>
      <c r="D904" t="str">
        <f t="shared" si="42"/>
        <v>Friday</v>
      </c>
      <c r="F904" s="6" t="str">
        <f t="shared" si="43"/>
        <v>Saturday</v>
      </c>
      <c r="G904" t="str">
        <f>IF(COUNTIF(INDEX(SkiResort_ParkingRevenue_Raw[License Plate],1):SkiResort_ParkingRevenue_Raw[[#This Row],[License Plate]],SkiResort_ParkingRevenue_Raw[[#This Row],[License Plate]])=1,"New","Returning")</f>
        <v>New</v>
      </c>
      <c r="H904">
        <v>24.99</v>
      </c>
      <c r="I904">
        <v>1</v>
      </c>
      <c r="J904" t="str">
        <f t="shared" si="44"/>
        <v>Weekends/Holiday Only</v>
      </c>
    </row>
    <row r="905" spans="1:10" x14ac:dyDescent="0.25">
      <c r="A905" t="s">
        <v>3623</v>
      </c>
      <c r="B905" t="str" cm="1">
        <f t="array" ref="B90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05" s="6">
        <v>46094.859918981485</v>
      </c>
      <c r="D905" t="str">
        <f t="shared" si="42"/>
        <v>Friday</v>
      </c>
      <c r="F905" s="6" t="str">
        <f t="shared" si="43"/>
        <v>Saturday</v>
      </c>
      <c r="G905" t="str">
        <f>IF(COUNTIF(INDEX(SkiResort_ParkingRevenue_Raw[License Plate],1):SkiResort_ParkingRevenue_Raw[[#This Row],[License Plate]],SkiResort_ParkingRevenue_Raw[[#This Row],[License Plate]])=1,"New","Returning")</f>
        <v>Returning</v>
      </c>
      <c r="H905">
        <v>24.99</v>
      </c>
      <c r="I905">
        <v>1</v>
      </c>
      <c r="J905" t="str">
        <f t="shared" si="44"/>
        <v>Weekends/Holiday Only</v>
      </c>
    </row>
    <row r="906" spans="1:10" x14ac:dyDescent="0.25">
      <c r="A906" t="s">
        <v>3628</v>
      </c>
      <c r="B906" t="str" cm="1">
        <f t="array" ref="B90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06" s="6">
        <v>46095.08216435185</v>
      </c>
      <c r="D906" t="str">
        <f t="shared" si="42"/>
        <v>Saturday</v>
      </c>
      <c r="F906" s="6" t="str">
        <f t="shared" si="43"/>
        <v>Saturday</v>
      </c>
      <c r="G906" t="str">
        <f>IF(COUNTIF(INDEX(SkiResort_ParkingRevenue_Raw[License Plate],1):SkiResort_ParkingRevenue_Raw[[#This Row],[License Plate]],SkiResort_ParkingRevenue_Raw[[#This Row],[License Plate]])=1,"New","Returning")</f>
        <v>Returning</v>
      </c>
      <c r="H906">
        <v>24.99</v>
      </c>
      <c r="I906">
        <v>1</v>
      </c>
      <c r="J906" t="str">
        <f t="shared" si="44"/>
        <v>Weekends/Holiday Only</v>
      </c>
    </row>
    <row r="907" spans="1:10" x14ac:dyDescent="0.25">
      <c r="A907" t="s">
        <v>3630</v>
      </c>
      <c r="B907" t="str" cm="1">
        <f t="array" ref="B90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07" s="6">
        <v>46095.236944444441</v>
      </c>
      <c r="D907" t="str">
        <f t="shared" si="42"/>
        <v>Saturday</v>
      </c>
      <c r="F907" s="6" t="str">
        <f t="shared" si="43"/>
        <v>Saturday</v>
      </c>
      <c r="G907" t="str">
        <f>IF(COUNTIF(INDEX(SkiResort_ParkingRevenue_Raw[License Plate],1):SkiResort_ParkingRevenue_Raw[[#This Row],[License Plate]],SkiResort_ParkingRevenue_Raw[[#This Row],[License Plate]])=1,"New","Returning")</f>
        <v>New</v>
      </c>
      <c r="H907">
        <v>24.99</v>
      </c>
      <c r="I907">
        <v>1</v>
      </c>
      <c r="J907" t="str">
        <f t="shared" si="44"/>
        <v>Weekends/Holiday Only</v>
      </c>
    </row>
    <row r="908" spans="1:10" x14ac:dyDescent="0.25">
      <c r="A908" t="s">
        <v>3636</v>
      </c>
      <c r="B908" t="str" cm="1">
        <f t="array" ref="B90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08" s="6">
        <v>46095.321400462963</v>
      </c>
      <c r="D908" t="str">
        <f t="shared" si="42"/>
        <v>Saturday</v>
      </c>
      <c r="F908" s="6" t="str">
        <f t="shared" si="43"/>
        <v>Saturday</v>
      </c>
      <c r="G908" t="str">
        <f>IF(COUNTIF(INDEX(SkiResort_ParkingRevenue_Raw[License Plate],1):SkiResort_ParkingRevenue_Raw[[#This Row],[License Plate]],SkiResort_ParkingRevenue_Raw[[#This Row],[License Plate]])=1,"New","Returning")</f>
        <v>New</v>
      </c>
      <c r="H908">
        <v>24.99</v>
      </c>
      <c r="I908">
        <v>1</v>
      </c>
      <c r="J908" t="str">
        <f t="shared" si="44"/>
        <v>Weekends/Holiday Only</v>
      </c>
    </row>
    <row r="909" spans="1:10" x14ac:dyDescent="0.25">
      <c r="A909" t="s">
        <v>3642</v>
      </c>
      <c r="B909" t="str" cm="1">
        <f t="array" ref="B90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09" s="6">
        <v>46095.377557870372</v>
      </c>
      <c r="D909" t="str">
        <f t="shared" si="42"/>
        <v>Saturday</v>
      </c>
      <c r="F909" s="6" t="str">
        <f t="shared" si="43"/>
        <v>Saturday</v>
      </c>
      <c r="G909" t="str">
        <f>IF(COUNTIF(INDEX(SkiResort_ParkingRevenue_Raw[License Plate],1):SkiResort_ParkingRevenue_Raw[[#This Row],[License Plate]],SkiResort_ParkingRevenue_Raw[[#This Row],[License Plate]])=1,"New","Returning")</f>
        <v>New</v>
      </c>
      <c r="H909">
        <v>24.99</v>
      </c>
      <c r="I909">
        <v>1</v>
      </c>
      <c r="J909" t="str">
        <f t="shared" si="44"/>
        <v>Weekends/Holiday Only</v>
      </c>
    </row>
    <row r="910" spans="1:10" x14ac:dyDescent="0.25">
      <c r="A910" t="s">
        <v>3648</v>
      </c>
      <c r="B910" t="str" cm="1">
        <f t="array" ref="B91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10" s="6">
        <v>46095.381724537037</v>
      </c>
      <c r="D910" t="str">
        <f t="shared" si="42"/>
        <v>Saturday</v>
      </c>
      <c r="F910" s="6" t="str">
        <f t="shared" si="43"/>
        <v>Saturday</v>
      </c>
      <c r="G910" t="str">
        <f>IF(COUNTIF(INDEX(SkiResort_ParkingRevenue_Raw[License Plate],1):SkiResort_ParkingRevenue_Raw[[#This Row],[License Plate]],SkiResort_ParkingRevenue_Raw[[#This Row],[License Plate]])=1,"New","Returning")</f>
        <v>Returning</v>
      </c>
      <c r="H910">
        <v>24.99</v>
      </c>
      <c r="I910">
        <v>1</v>
      </c>
      <c r="J910" t="str">
        <f t="shared" si="44"/>
        <v>Weekends/Holiday Only</v>
      </c>
    </row>
    <row r="911" spans="1:10" x14ac:dyDescent="0.25">
      <c r="A911" t="s">
        <v>3650</v>
      </c>
      <c r="B911" t="str" cm="1">
        <f t="array" ref="B91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11" s="6">
        <v>46095.451122685183</v>
      </c>
      <c r="D911" t="str">
        <f t="shared" si="42"/>
        <v>Saturday</v>
      </c>
      <c r="F911" s="6" t="str">
        <f t="shared" si="43"/>
        <v>Saturday</v>
      </c>
      <c r="G911" t="str">
        <f>IF(COUNTIF(INDEX(SkiResort_ParkingRevenue_Raw[License Plate],1):SkiResort_ParkingRevenue_Raw[[#This Row],[License Plate]],SkiResort_ParkingRevenue_Raw[[#This Row],[License Plate]])=1,"New","Returning")</f>
        <v>New</v>
      </c>
      <c r="H911">
        <v>24.99</v>
      </c>
      <c r="I911">
        <v>1</v>
      </c>
      <c r="J911" t="str">
        <f t="shared" si="44"/>
        <v>Weekends/Holiday Only</v>
      </c>
    </row>
    <row r="912" spans="1:10" x14ac:dyDescent="0.25">
      <c r="A912" t="s">
        <v>3656</v>
      </c>
      <c r="B912" t="str" cm="1">
        <f t="array" ref="B91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12" s="6">
        <v>46095.474074074074</v>
      </c>
      <c r="D912" t="str">
        <f t="shared" si="42"/>
        <v>Saturday</v>
      </c>
      <c r="F912" s="6" t="str">
        <f t="shared" si="43"/>
        <v>Saturday</v>
      </c>
      <c r="G912" t="str">
        <f>IF(COUNTIF(INDEX(SkiResort_ParkingRevenue_Raw[License Plate],1):SkiResort_ParkingRevenue_Raw[[#This Row],[License Plate]],SkiResort_ParkingRevenue_Raw[[#This Row],[License Plate]])=1,"New","Returning")</f>
        <v>New</v>
      </c>
      <c r="H912">
        <v>24.99</v>
      </c>
      <c r="I912">
        <v>1</v>
      </c>
      <c r="J912" t="str">
        <f t="shared" si="44"/>
        <v>Weekends/Holiday Only</v>
      </c>
    </row>
    <row r="913" spans="1:10" x14ac:dyDescent="0.25">
      <c r="A913" t="s">
        <v>3662</v>
      </c>
      <c r="B913" t="str" cm="1">
        <f t="array" ref="B91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13" s="6">
        <v>46095.516516203701</v>
      </c>
      <c r="D913" t="str">
        <f t="shared" si="42"/>
        <v>Saturday</v>
      </c>
      <c r="F913" s="6" t="str">
        <f t="shared" si="43"/>
        <v>Saturday</v>
      </c>
      <c r="G913" t="str">
        <f>IF(COUNTIF(INDEX(SkiResort_ParkingRevenue_Raw[License Plate],1):SkiResort_ParkingRevenue_Raw[[#This Row],[License Plate]],SkiResort_ParkingRevenue_Raw[[#This Row],[License Plate]])=1,"New","Returning")</f>
        <v>New</v>
      </c>
      <c r="H913">
        <v>24.99</v>
      </c>
      <c r="I913">
        <v>1</v>
      </c>
      <c r="J913" t="str">
        <f t="shared" si="44"/>
        <v>Weekends/Holiday Only</v>
      </c>
    </row>
    <row r="914" spans="1:10" x14ac:dyDescent="0.25">
      <c r="A914" t="s">
        <v>3668</v>
      </c>
      <c r="B914" t="str" cm="1">
        <f t="array" ref="B91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14" s="6">
        <v>46096.51835648148</v>
      </c>
      <c r="D914" t="str">
        <f t="shared" si="42"/>
        <v>Sunday</v>
      </c>
      <c r="F914" s="6" t="str">
        <f t="shared" si="43"/>
        <v>Saturday</v>
      </c>
      <c r="G914" t="str">
        <f>IF(COUNTIF(INDEX(SkiResort_ParkingRevenue_Raw[License Plate],1):SkiResort_ParkingRevenue_Raw[[#This Row],[License Plate]],SkiResort_ParkingRevenue_Raw[[#This Row],[License Plate]])=1,"New","Returning")</f>
        <v>Returning</v>
      </c>
      <c r="H914">
        <v>24.99</v>
      </c>
      <c r="I914">
        <v>1</v>
      </c>
      <c r="J914" t="str">
        <f t="shared" si="44"/>
        <v>Weekends/Holiday Only</v>
      </c>
    </row>
    <row r="915" spans="1:10" x14ac:dyDescent="0.25">
      <c r="A915" t="s">
        <v>3670</v>
      </c>
      <c r="B915" t="str" cm="1">
        <f t="array" ref="B91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15" s="6">
        <v>46098.80976851852</v>
      </c>
      <c r="D915" t="str">
        <f t="shared" si="42"/>
        <v>Tuesday</v>
      </c>
      <c r="F915" s="6" t="str">
        <f t="shared" si="43"/>
        <v>Saturday</v>
      </c>
      <c r="G915" t="str">
        <f>IF(COUNTIF(INDEX(SkiResort_ParkingRevenue_Raw[License Plate],1):SkiResort_ParkingRevenue_Raw[[#This Row],[License Plate]],SkiResort_ParkingRevenue_Raw[[#This Row],[License Plate]])=1,"New","Returning")</f>
        <v>Returning</v>
      </c>
      <c r="H915">
        <v>24.99</v>
      </c>
      <c r="I915">
        <v>1</v>
      </c>
      <c r="J915" t="str">
        <f t="shared" si="44"/>
        <v>Weekends/Holiday Only</v>
      </c>
    </row>
    <row r="916" spans="1:10" x14ac:dyDescent="0.25">
      <c r="A916" t="s">
        <v>3672</v>
      </c>
      <c r="B916" t="str" cm="1">
        <f t="array" ref="B91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16" s="6">
        <v>46098.810671296298</v>
      </c>
      <c r="D916" t="str">
        <f t="shared" si="42"/>
        <v>Tuesday</v>
      </c>
      <c r="F916" s="6" t="str">
        <f t="shared" si="43"/>
        <v>Saturday</v>
      </c>
      <c r="G916" t="str">
        <f>IF(COUNTIF(INDEX(SkiResort_ParkingRevenue_Raw[License Plate],1):SkiResort_ParkingRevenue_Raw[[#This Row],[License Plate]],SkiResort_ParkingRevenue_Raw[[#This Row],[License Plate]])=1,"New","Returning")</f>
        <v>Returning</v>
      </c>
      <c r="H916">
        <v>24.99</v>
      </c>
      <c r="I916">
        <v>1</v>
      </c>
      <c r="J916" t="str">
        <f t="shared" si="44"/>
        <v>Weekends/Holiday Only</v>
      </c>
    </row>
    <row r="917" spans="1:10" x14ac:dyDescent="0.25">
      <c r="A917" t="s">
        <v>3674</v>
      </c>
      <c r="B917" t="str" cm="1">
        <f t="array" ref="B91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17" s="6">
        <v>46100.765150462961</v>
      </c>
      <c r="D917" t="str">
        <f t="shared" si="42"/>
        <v>Thursday</v>
      </c>
      <c r="F917" s="6" t="str">
        <f t="shared" si="43"/>
        <v>Saturday</v>
      </c>
      <c r="G917" t="str">
        <f>IF(COUNTIF(INDEX(SkiResort_ParkingRevenue_Raw[License Plate],1):SkiResort_ParkingRevenue_Raw[[#This Row],[License Plate]],SkiResort_ParkingRevenue_Raw[[#This Row],[License Plate]])=1,"New","Returning")</f>
        <v>New</v>
      </c>
      <c r="H917">
        <v>49.98</v>
      </c>
      <c r="I917">
        <v>2</v>
      </c>
      <c r="J917" t="str">
        <f t="shared" si="44"/>
        <v>Weekends/Holiday Only</v>
      </c>
    </row>
    <row r="918" spans="1:10" x14ac:dyDescent="0.25">
      <c r="A918" t="s">
        <v>3680</v>
      </c>
      <c r="B918" t="str" cm="1">
        <f t="array" ref="B91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18" s="6">
        <v>46100.980069444442</v>
      </c>
      <c r="D918" t="str">
        <f t="shared" si="42"/>
        <v>Thursday</v>
      </c>
      <c r="F918" s="6" t="str">
        <f t="shared" si="43"/>
        <v>Saturday</v>
      </c>
      <c r="G918" t="str">
        <f>IF(COUNTIF(INDEX(SkiResort_ParkingRevenue_Raw[License Plate],1):SkiResort_ParkingRevenue_Raw[[#This Row],[License Plate]],SkiResort_ParkingRevenue_Raw[[#This Row],[License Plate]])=1,"New","Returning")</f>
        <v>New</v>
      </c>
      <c r="H918">
        <v>24.99</v>
      </c>
      <c r="I918">
        <v>1</v>
      </c>
      <c r="J918" t="str">
        <f t="shared" si="44"/>
        <v>Weekends/Holiday Only</v>
      </c>
    </row>
    <row r="919" spans="1:10" x14ac:dyDescent="0.25">
      <c r="A919" t="s">
        <v>3686</v>
      </c>
      <c r="B919" t="str" cm="1">
        <f t="array" ref="B91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19" s="6">
        <v>46101.109733796293</v>
      </c>
      <c r="D919" t="str">
        <f t="shared" si="42"/>
        <v>Friday</v>
      </c>
      <c r="F919" s="6" t="str">
        <f t="shared" si="43"/>
        <v>Saturday</v>
      </c>
      <c r="G919" t="str">
        <f>IF(COUNTIF(INDEX(SkiResort_ParkingRevenue_Raw[License Plate],1):SkiResort_ParkingRevenue_Raw[[#This Row],[License Plate]],SkiResort_ParkingRevenue_Raw[[#This Row],[License Plate]])=1,"New","Returning")</f>
        <v>New</v>
      </c>
      <c r="H919">
        <v>49.98</v>
      </c>
      <c r="I919">
        <v>2</v>
      </c>
      <c r="J919" t="str">
        <f t="shared" si="44"/>
        <v>Weekends/Holiday Only</v>
      </c>
    </row>
    <row r="920" spans="1:10" x14ac:dyDescent="0.25">
      <c r="A920" t="s">
        <v>3692</v>
      </c>
      <c r="B920" t="str" cm="1">
        <f t="array" ref="B92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20" s="6">
        <v>46101.282708333332</v>
      </c>
      <c r="D920" t="str">
        <f t="shared" si="42"/>
        <v>Friday</v>
      </c>
      <c r="F920" s="6" t="str">
        <f t="shared" si="43"/>
        <v>Saturday</v>
      </c>
      <c r="G920" t="str">
        <f>IF(COUNTIF(INDEX(SkiResort_ParkingRevenue_Raw[License Plate],1):SkiResort_ParkingRevenue_Raw[[#This Row],[License Plate]],SkiResort_ParkingRevenue_Raw[[#This Row],[License Plate]])=1,"New","Returning")</f>
        <v>New</v>
      </c>
      <c r="H920">
        <v>24.99</v>
      </c>
      <c r="I920">
        <v>1</v>
      </c>
      <c r="J920" t="str">
        <f t="shared" si="44"/>
        <v>Weekends/Holiday Only</v>
      </c>
    </row>
    <row r="921" spans="1:10" x14ac:dyDescent="0.25">
      <c r="A921" t="s">
        <v>3698</v>
      </c>
      <c r="B921" t="str" cm="1">
        <f t="array" ref="B92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21" s="6">
        <v>46101.35728009259</v>
      </c>
      <c r="D921" t="str">
        <f t="shared" si="42"/>
        <v>Friday</v>
      </c>
      <c r="F921" s="6" t="str">
        <f t="shared" si="43"/>
        <v>Saturday</v>
      </c>
      <c r="G921" t="str">
        <f>IF(COUNTIF(INDEX(SkiResort_ParkingRevenue_Raw[License Plate],1):SkiResort_ParkingRevenue_Raw[[#This Row],[License Plate]],SkiResort_ParkingRevenue_Raw[[#This Row],[License Plate]])=1,"New","Returning")</f>
        <v>New</v>
      </c>
      <c r="H921">
        <v>24.99</v>
      </c>
      <c r="I921">
        <v>1</v>
      </c>
      <c r="J921" t="str">
        <f t="shared" si="44"/>
        <v>Weekends/Holiday Only</v>
      </c>
    </row>
    <row r="922" spans="1:10" x14ac:dyDescent="0.25">
      <c r="A922" t="s">
        <v>3704</v>
      </c>
      <c r="B922" t="str" cm="1">
        <f t="array" ref="B92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22" s="6">
        <v>46101.50341435185</v>
      </c>
      <c r="D922" t="str">
        <f t="shared" si="42"/>
        <v>Friday</v>
      </c>
      <c r="F922" s="6" t="str">
        <f t="shared" si="43"/>
        <v>Saturday</v>
      </c>
      <c r="G922" t="str">
        <f>IF(COUNTIF(INDEX(SkiResort_ParkingRevenue_Raw[License Plate],1):SkiResort_ParkingRevenue_Raw[[#This Row],[License Plate]],SkiResort_ParkingRevenue_Raw[[#This Row],[License Plate]])=1,"New","Returning")</f>
        <v>Returning</v>
      </c>
      <c r="H922">
        <v>49.98</v>
      </c>
      <c r="I922">
        <v>2</v>
      </c>
      <c r="J922" t="str">
        <f t="shared" si="44"/>
        <v>Weekends/Holiday Only</v>
      </c>
    </row>
    <row r="923" spans="1:10" x14ac:dyDescent="0.25">
      <c r="A923" t="s">
        <v>3706</v>
      </c>
      <c r="B923" t="str" cm="1">
        <f t="array" ref="B92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23" s="6">
        <v>46101.577615740738</v>
      </c>
      <c r="D923" t="str">
        <f t="shared" si="42"/>
        <v>Friday</v>
      </c>
      <c r="F923" s="6" t="str">
        <f t="shared" si="43"/>
        <v>Saturday</v>
      </c>
      <c r="G923" t="str">
        <f>IF(COUNTIF(INDEX(SkiResort_ParkingRevenue_Raw[License Plate],1):SkiResort_ParkingRevenue_Raw[[#This Row],[License Plate]],SkiResort_ParkingRevenue_Raw[[#This Row],[License Plate]])=1,"New","Returning")</f>
        <v>Returning</v>
      </c>
      <c r="H923">
        <v>24.99</v>
      </c>
      <c r="I923">
        <v>1</v>
      </c>
      <c r="J923" t="str">
        <f t="shared" si="44"/>
        <v>Weekends/Holiday Only</v>
      </c>
    </row>
    <row r="924" spans="1:10" x14ac:dyDescent="0.25">
      <c r="A924" t="s">
        <v>3708</v>
      </c>
      <c r="B924" t="str" cm="1">
        <f t="array" ref="B92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24" s="6">
        <v>46101.638472222221</v>
      </c>
      <c r="D924" t="str">
        <f t="shared" si="42"/>
        <v>Friday</v>
      </c>
      <c r="F924" s="6" t="str">
        <f t="shared" si="43"/>
        <v>Saturday</v>
      </c>
      <c r="G924" t="str">
        <f>IF(COUNTIF(INDEX(SkiResort_ParkingRevenue_Raw[License Plate],1):SkiResort_ParkingRevenue_Raw[[#This Row],[License Plate]],SkiResort_ParkingRevenue_Raw[[#This Row],[License Plate]])=1,"New","Returning")</f>
        <v>New</v>
      </c>
      <c r="H924">
        <v>49.98</v>
      </c>
      <c r="I924">
        <v>2</v>
      </c>
      <c r="J924" t="str">
        <f t="shared" si="44"/>
        <v>Weekends/Holiday Only</v>
      </c>
    </row>
    <row r="925" spans="1:10" x14ac:dyDescent="0.25">
      <c r="A925" t="s">
        <v>3714</v>
      </c>
      <c r="B925" t="str" cm="1">
        <f t="array" ref="B92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25" s="6">
        <v>46101.641400462962</v>
      </c>
      <c r="D925" t="str">
        <f t="shared" si="42"/>
        <v>Friday</v>
      </c>
      <c r="F925" s="6" t="str">
        <f t="shared" si="43"/>
        <v>Saturday</v>
      </c>
      <c r="G925" t="str">
        <f>IF(COUNTIF(INDEX(SkiResort_ParkingRevenue_Raw[License Plate],1):SkiResort_ParkingRevenue_Raw[[#This Row],[License Plate]],SkiResort_ParkingRevenue_Raw[[#This Row],[License Plate]])=1,"New","Returning")</f>
        <v>Returning</v>
      </c>
      <c r="H925">
        <v>49.98</v>
      </c>
      <c r="I925">
        <v>2</v>
      </c>
      <c r="J925" t="str">
        <f t="shared" si="44"/>
        <v>Weekends/Holiday Only</v>
      </c>
    </row>
    <row r="926" spans="1:10" x14ac:dyDescent="0.25">
      <c r="A926" t="s">
        <v>3716</v>
      </c>
      <c r="B926" t="str" cm="1">
        <f t="array" ref="B92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26" s="6">
        <v>46101.643310185187</v>
      </c>
      <c r="D926" t="str">
        <f t="shared" si="42"/>
        <v>Friday</v>
      </c>
      <c r="F926" s="6" t="str">
        <f t="shared" si="43"/>
        <v>Saturday</v>
      </c>
      <c r="G926" t="str">
        <f>IF(COUNTIF(INDEX(SkiResort_ParkingRevenue_Raw[License Plate],1):SkiResort_ParkingRevenue_Raw[[#This Row],[License Plate]],SkiResort_ParkingRevenue_Raw[[#This Row],[License Plate]])=1,"New","Returning")</f>
        <v>Returning</v>
      </c>
      <c r="H926">
        <v>24.99</v>
      </c>
      <c r="I926">
        <v>1</v>
      </c>
      <c r="J926" t="str">
        <f t="shared" si="44"/>
        <v>Weekends/Holiday Only</v>
      </c>
    </row>
    <row r="927" spans="1:10" x14ac:dyDescent="0.25">
      <c r="A927" t="s">
        <v>3718</v>
      </c>
      <c r="B927" t="str" cm="1">
        <f t="array" ref="B92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27" s="6">
        <v>46101.649386574078</v>
      </c>
      <c r="D927" t="str">
        <f t="shared" si="42"/>
        <v>Friday</v>
      </c>
      <c r="F927" s="6" t="str">
        <f t="shared" si="43"/>
        <v>Saturday</v>
      </c>
      <c r="G927" t="str">
        <f>IF(COUNTIF(INDEX(SkiResort_ParkingRevenue_Raw[License Plate],1):SkiResort_ParkingRevenue_Raw[[#This Row],[License Plate]],SkiResort_ParkingRevenue_Raw[[#This Row],[License Plate]])=1,"New","Returning")</f>
        <v>New</v>
      </c>
      <c r="H927">
        <v>24.99</v>
      </c>
      <c r="I927">
        <v>1</v>
      </c>
      <c r="J927" t="str">
        <f t="shared" si="44"/>
        <v>Weekends/Holiday Only</v>
      </c>
    </row>
    <row r="928" spans="1:10" x14ac:dyDescent="0.25">
      <c r="A928" t="s">
        <v>3724</v>
      </c>
      <c r="B928" t="str" cm="1">
        <f t="array" ref="B92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28" s="6">
        <v>46101.658483796295</v>
      </c>
      <c r="D928" t="str">
        <f t="shared" si="42"/>
        <v>Friday</v>
      </c>
      <c r="F928" s="6" t="str">
        <f t="shared" si="43"/>
        <v>Saturday</v>
      </c>
      <c r="G928" t="str">
        <f>IF(COUNTIF(INDEX(SkiResort_ParkingRevenue_Raw[License Plate],1):SkiResort_ParkingRevenue_Raw[[#This Row],[License Plate]],SkiResort_ParkingRevenue_Raw[[#This Row],[License Plate]])=1,"New","Returning")</f>
        <v>Returning</v>
      </c>
      <c r="H928">
        <v>24.99</v>
      </c>
      <c r="I928">
        <v>1</v>
      </c>
      <c r="J928" t="str">
        <f t="shared" si="44"/>
        <v>Weekends/Holiday Only</v>
      </c>
    </row>
    <row r="929" spans="1:10" x14ac:dyDescent="0.25">
      <c r="A929" t="s">
        <v>3726</v>
      </c>
      <c r="B929" t="str" cm="1">
        <f t="array" ref="B92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29" s="6">
        <v>46101.710416666669</v>
      </c>
      <c r="D929" t="str">
        <f t="shared" si="42"/>
        <v>Friday</v>
      </c>
      <c r="F929" s="6" t="str">
        <f t="shared" si="43"/>
        <v>Saturday</v>
      </c>
      <c r="G929" t="str">
        <f>IF(COUNTIF(INDEX(SkiResort_ParkingRevenue_Raw[License Plate],1):SkiResort_ParkingRevenue_Raw[[#This Row],[License Plate]],SkiResort_ParkingRevenue_Raw[[#This Row],[License Plate]])=1,"New","Returning")</f>
        <v>New</v>
      </c>
      <c r="H929">
        <v>24.99</v>
      </c>
      <c r="I929">
        <v>1</v>
      </c>
      <c r="J929" t="str">
        <f t="shared" si="44"/>
        <v>Weekends/Holiday Only</v>
      </c>
    </row>
    <row r="930" spans="1:10" x14ac:dyDescent="0.25">
      <c r="A930" t="s">
        <v>3732</v>
      </c>
      <c r="B930" t="str" cm="1">
        <f t="array" ref="B93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30" s="6">
        <v>46101.752685185187</v>
      </c>
      <c r="D930" t="str">
        <f t="shared" si="42"/>
        <v>Friday</v>
      </c>
      <c r="F930" s="6" t="str">
        <f t="shared" si="43"/>
        <v>Saturday</v>
      </c>
      <c r="G930" t="str">
        <f>IF(COUNTIF(INDEX(SkiResort_ParkingRevenue_Raw[License Plate],1):SkiResort_ParkingRevenue_Raw[[#This Row],[License Plate]],SkiResort_ParkingRevenue_Raw[[#This Row],[License Plate]])=1,"New","Returning")</f>
        <v>Returning</v>
      </c>
      <c r="H930">
        <v>24.99</v>
      </c>
      <c r="I930">
        <v>1</v>
      </c>
      <c r="J930" t="str">
        <f t="shared" si="44"/>
        <v>Weekends/Holiday Only</v>
      </c>
    </row>
    <row r="931" spans="1:10" x14ac:dyDescent="0.25">
      <c r="A931" t="s">
        <v>3734</v>
      </c>
      <c r="B931" t="str" cm="1">
        <f t="array" ref="B93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31" s="6">
        <v>46101.843900462962</v>
      </c>
      <c r="D931" t="str">
        <f t="shared" si="42"/>
        <v>Friday</v>
      </c>
      <c r="F931" s="6" t="str">
        <f t="shared" si="43"/>
        <v>Saturday</v>
      </c>
      <c r="G931" t="str">
        <f>IF(COUNTIF(INDEX(SkiResort_ParkingRevenue_Raw[License Plate],1):SkiResort_ParkingRevenue_Raw[[#This Row],[License Plate]],SkiResort_ParkingRevenue_Raw[[#This Row],[License Plate]])=1,"New","Returning")</f>
        <v>Returning</v>
      </c>
      <c r="H931">
        <v>24.99</v>
      </c>
      <c r="I931">
        <v>1</v>
      </c>
      <c r="J931" t="str">
        <f t="shared" si="44"/>
        <v>Weekends/Holiday Only</v>
      </c>
    </row>
    <row r="932" spans="1:10" x14ac:dyDescent="0.25">
      <c r="A932" t="s">
        <v>3736</v>
      </c>
      <c r="B932" t="str" cm="1">
        <f t="array" ref="B93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32" s="6">
        <v>46101.886435185188</v>
      </c>
      <c r="D932" t="str">
        <f t="shared" si="42"/>
        <v>Friday</v>
      </c>
      <c r="F932" s="6" t="str">
        <f t="shared" si="43"/>
        <v>Saturday</v>
      </c>
      <c r="G932" t="str">
        <f>IF(COUNTIF(INDEX(SkiResort_ParkingRevenue_Raw[License Plate],1):SkiResort_ParkingRevenue_Raw[[#This Row],[License Plate]],SkiResort_ParkingRevenue_Raw[[#This Row],[License Plate]])=1,"New","Returning")</f>
        <v>Returning</v>
      </c>
      <c r="H932">
        <v>24.99</v>
      </c>
      <c r="I932">
        <v>1</v>
      </c>
      <c r="J932" t="str">
        <f t="shared" si="44"/>
        <v>Weekends/Holiday Only</v>
      </c>
    </row>
    <row r="933" spans="1:10" x14ac:dyDescent="0.25">
      <c r="A933" t="s">
        <v>3738</v>
      </c>
      <c r="B933" t="str" cm="1">
        <f t="array" ref="B93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33" s="6">
        <v>46101.893020833333</v>
      </c>
      <c r="D933" t="str">
        <f t="shared" si="42"/>
        <v>Friday</v>
      </c>
      <c r="F933" s="6" t="str">
        <f t="shared" si="43"/>
        <v>Saturday</v>
      </c>
      <c r="G933" t="str">
        <f>IF(COUNTIF(INDEX(SkiResort_ParkingRevenue_Raw[License Plate],1):SkiResort_ParkingRevenue_Raw[[#This Row],[License Plate]],SkiResort_ParkingRevenue_Raw[[#This Row],[License Plate]])=1,"New","Returning")</f>
        <v>New</v>
      </c>
      <c r="H933">
        <v>24.99</v>
      </c>
      <c r="I933">
        <v>1</v>
      </c>
      <c r="J933" t="str">
        <f t="shared" si="44"/>
        <v>Weekends/Holiday Only</v>
      </c>
    </row>
    <row r="934" spans="1:10" x14ac:dyDescent="0.25">
      <c r="A934" t="s">
        <v>3744</v>
      </c>
      <c r="B934" t="str" cm="1">
        <f t="array" ref="B93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34" s="6">
        <v>46102.002430555556</v>
      </c>
      <c r="D934" t="str">
        <f t="shared" si="42"/>
        <v>Saturday</v>
      </c>
      <c r="F934" s="6" t="str">
        <f t="shared" si="43"/>
        <v>Saturday</v>
      </c>
      <c r="G934" t="str">
        <f>IF(COUNTIF(INDEX(SkiResort_ParkingRevenue_Raw[License Plate],1):SkiResort_ParkingRevenue_Raw[[#This Row],[License Plate]],SkiResort_ParkingRevenue_Raw[[#This Row],[License Plate]])=1,"New","Returning")</f>
        <v>New</v>
      </c>
      <c r="H934">
        <v>24.99</v>
      </c>
      <c r="I934">
        <v>1</v>
      </c>
      <c r="J934" t="str">
        <f t="shared" si="44"/>
        <v>Weekends/Holiday Only</v>
      </c>
    </row>
    <row r="935" spans="1:10" x14ac:dyDescent="0.25">
      <c r="A935" t="s">
        <v>3750</v>
      </c>
      <c r="B935" t="str" cm="1">
        <f t="array" ref="B93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35" s="6">
        <v>46102.27684027778</v>
      </c>
      <c r="D935" t="str">
        <f t="shared" si="42"/>
        <v>Saturday</v>
      </c>
      <c r="F935" s="6" t="str">
        <f t="shared" si="43"/>
        <v>Saturday</v>
      </c>
      <c r="G935" t="str">
        <f>IF(COUNTIF(INDEX(SkiResort_ParkingRevenue_Raw[License Plate],1):SkiResort_ParkingRevenue_Raw[[#This Row],[License Plate]],SkiResort_ParkingRevenue_Raw[[#This Row],[License Plate]])=1,"New","Returning")</f>
        <v>New</v>
      </c>
      <c r="H935">
        <v>24.99</v>
      </c>
      <c r="I935">
        <v>1</v>
      </c>
      <c r="J935" t="str">
        <f t="shared" si="44"/>
        <v>Weekends/Holiday Only</v>
      </c>
    </row>
    <row r="936" spans="1:10" x14ac:dyDescent="0.25">
      <c r="A936" t="s">
        <v>3756</v>
      </c>
      <c r="B936" t="str" cm="1">
        <f t="array" ref="B93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36" s="6">
        <v>46102.283252314817</v>
      </c>
      <c r="D936" t="str">
        <f t="shared" si="42"/>
        <v>Saturday</v>
      </c>
      <c r="F936" s="6" t="str">
        <f t="shared" si="43"/>
        <v>Saturday</v>
      </c>
      <c r="G936" t="str">
        <f>IF(COUNTIF(INDEX(SkiResort_ParkingRevenue_Raw[License Plate],1):SkiResort_ParkingRevenue_Raw[[#This Row],[License Plate]],SkiResort_ParkingRevenue_Raw[[#This Row],[License Plate]])=1,"New","Returning")</f>
        <v>New</v>
      </c>
      <c r="H936">
        <v>24.99</v>
      </c>
      <c r="I936">
        <v>1</v>
      </c>
      <c r="J936" t="str">
        <f t="shared" si="44"/>
        <v>Weekends/Holiday Only</v>
      </c>
    </row>
    <row r="937" spans="1:10" x14ac:dyDescent="0.25">
      <c r="A937" t="s">
        <v>3762</v>
      </c>
      <c r="B937" t="str" cm="1">
        <f t="array" ref="B93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37" s="6">
        <v>46102.338831018518</v>
      </c>
      <c r="D937" t="str">
        <f t="shared" si="42"/>
        <v>Saturday</v>
      </c>
      <c r="F937" s="6" t="str">
        <f t="shared" si="43"/>
        <v>Saturday</v>
      </c>
      <c r="G937" t="str">
        <f>IF(COUNTIF(INDEX(SkiResort_ParkingRevenue_Raw[License Plate],1):SkiResort_ParkingRevenue_Raw[[#This Row],[License Plate]],SkiResort_ParkingRevenue_Raw[[#This Row],[License Plate]])=1,"New","Returning")</f>
        <v>New</v>
      </c>
      <c r="H937">
        <v>24.99</v>
      </c>
      <c r="I937">
        <v>1</v>
      </c>
      <c r="J937" t="str">
        <f t="shared" si="44"/>
        <v>Weekends/Holiday Only</v>
      </c>
    </row>
    <row r="938" spans="1:10" x14ac:dyDescent="0.25">
      <c r="A938" t="s">
        <v>3768</v>
      </c>
      <c r="B938" t="str" cm="1">
        <f t="array" ref="B93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38" s="6">
        <v>46102.431643518517</v>
      </c>
      <c r="D938" t="str">
        <f t="shared" si="42"/>
        <v>Saturday</v>
      </c>
      <c r="F938" s="6" t="str">
        <f t="shared" si="43"/>
        <v>Saturday</v>
      </c>
      <c r="G938" t="str">
        <f>IF(COUNTIF(INDEX(SkiResort_ParkingRevenue_Raw[License Plate],1):SkiResort_ParkingRevenue_Raw[[#This Row],[License Plate]],SkiResort_ParkingRevenue_Raw[[#This Row],[License Plate]])=1,"New","Returning")</f>
        <v>New</v>
      </c>
      <c r="H938">
        <v>24.99</v>
      </c>
      <c r="I938">
        <v>1</v>
      </c>
      <c r="J938" t="str">
        <f t="shared" si="44"/>
        <v>Weekends/Holiday Only</v>
      </c>
    </row>
    <row r="939" spans="1:10" x14ac:dyDescent="0.25">
      <c r="A939" t="s">
        <v>3774</v>
      </c>
      <c r="B939" t="str" cm="1">
        <f t="array" ref="B93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39" s="6">
        <v>46102.701192129629</v>
      </c>
      <c r="D939" t="str">
        <f t="shared" si="42"/>
        <v>Saturday</v>
      </c>
      <c r="F939" s="6" t="str">
        <f t="shared" si="43"/>
        <v>Saturday</v>
      </c>
      <c r="G939" t="str">
        <f>IF(COUNTIF(INDEX(SkiResort_ParkingRevenue_Raw[License Plate],1):SkiResort_ParkingRevenue_Raw[[#This Row],[License Plate]],SkiResort_ParkingRevenue_Raw[[#This Row],[License Plate]])=1,"New","Returning")</f>
        <v>New</v>
      </c>
      <c r="H939">
        <v>24.99</v>
      </c>
      <c r="I939">
        <v>1</v>
      </c>
      <c r="J939" t="str">
        <f t="shared" si="44"/>
        <v>Weekends/Holiday Only</v>
      </c>
    </row>
    <row r="940" spans="1:10" x14ac:dyDescent="0.25">
      <c r="A940" t="s">
        <v>3780</v>
      </c>
      <c r="B940" t="str" cm="1">
        <f t="array" ref="B94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40" s="6">
        <v>46102.732060185182</v>
      </c>
      <c r="D940" t="str">
        <f t="shared" si="42"/>
        <v>Saturday</v>
      </c>
      <c r="F940" s="6" t="str">
        <f t="shared" si="43"/>
        <v>Saturday</v>
      </c>
      <c r="G940" t="str">
        <f>IF(COUNTIF(INDEX(SkiResort_ParkingRevenue_Raw[License Plate],1):SkiResort_ParkingRevenue_Raw[[#This Row],[License Plate]],SkiResort_ParkingRevenue_Raw[[#This Row],[License Plate]])=1,"New","Returning")</f>
        <v>New</v>
      </c>
      <c r="H940">
        <v>24.99</v>
      </c>
      <c r="I940">
        <v>1</v>
      </c>
      <c r="J940" t="str">
        <f t="shared" si="44"/>
        <v>Weekends/Holiday Only</v>
      </c>
    </row>
    <row r="941" spans="1:10" x14ac:dyDescent="0.25">
      <c r="A941" t="s">
        <v>3786</v>
      </c>
      <c r="B941" t="str" cm="1">
        <f t="array" ref="B94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41" s="6">
        <v>46104.888437499998</v>
      </c>
      <c r="D941" t="str">
        <f t="shared" si="42"/>
        <v>Monday</v>
      </c>
      <c r="F941" s="6" t="str">
        <f t="shared" si="43"/>
        <v>Saturday</v>
      </c>
      <c r="G941" t="str">
        <f>IF(COUNTIF(INDEX(SkiResort_ParkingRevenue_Raw[License Plate],1):SkiResort_ParkingRevenue_Raw[[#This Row],[License Plate]],SkiResort_ParkingRevenue_Raw[[#This Row],[License Plate]])=1,"New","Returning")</f>
        <v>New</v>
      </c>
      <c r="H941">
        <v>24.99</v>
      </c>
      <c r="I941">
        <v>1</v>
      </c>
      <c r="J941" t="str">
        <f t="shared" si="44"/>
        <v>Weekends/Holiday Only</v>
      </c>
    </row>
    <row r="942" spans="1:10" x14ac:dyDescent="0.25">
      <c r="A942" t="s">
        <v>3792</v>
      </c>
      <c r="B942" t="str" cm="1">
        <f t="array" ref="B94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42" s="6">
        <v>46104.890717592592</v>
      </c>
      <c r="D942" t="str">
        <f t="shared" si="42"/>
        <v>Monday</v>
      </c>
      <c r="F942" s="6" t="str">
        <f t="shared" si="43"/>
        <v>Saturday</v>
      </c>
      <c r="G942" t="str">
        <f>IF(COUNTIF(INDEX(SkiResort_ParkingRevenue_Raw[License Plate],1):SkiResort_ParkingRevenue_Raw[[#This Row],[License Plate]],SkiResort_ParkingRevenue_Raw[[#This Row],[License Plate]])=1,"New","Returning")</f>
        <v>Returning</v>
      </c>
      <c r="H942">
        <v>24.99</v>
      </c>
      <c r="I942">
        <v>1</v>
      </c>
      <c r="J942" t="str">
        <f t="shared" si="44"/>
        <v>Weekends/Holiday Only</v>
      </c>
    </row>
    <row r="943" spans="1:10" x14ac:dyDescent="0.25">
      <c r="A943" t="s">
        <v>3794</v>
      </c>
      <c r="B943" t="str" cm="1">
        <f t="array" ref="B94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43" s="6">
        <v>46105.857997685183</v>
      </c>
      <c r="D943" t="str">
        <f t="shared" si="42"/>
        <v>Tuesday</v>
      </c>
      <c r="F943" s="6" t="str">
        <f t="shared" si="43"/>
        <v>Saturday</v>
      </c>
      <c r="G943" t="str">
        <f>IF(COUNTIF(INDEX(SkiResort_ParkingRevenue_Raw[License Plate],1):SkiResort_ParkingRevenue_Raw[[#This Row],[License Plate]],SkiResort_ParkingRevenue_Raw[[#This Row],[License Plate]])=1,"New","Returning")</f>
        <v>Returning</v>
      </c>
      <c r="H943">
        <v>24.99</v>
      </c>
      <c r="I943">
        <v>1</v>
      </c>
      <c r="J943" t="str">
        <f t="shared" si="44"/>
        <v>Weekends/Holiday Only</v>
      </c>
    </row>
    <row r="944" spans="1:10" x14ac:dyDescent="0.25">
      <c r="A944" t="s">
        <v>3796</v>
      </c>
      <c r="B944" t="str" cm="1">
        <f t="array" ref="B94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44" s="6">
        <v>46105.8590625</v>
      </c>
      <c r="D944" t="str">
        <f t="shared" si="42"/>
        <v>Tuesday</v>
      </c>
      <c r="F944" s="6" t="str">
        <f t="shared" si="43"/>
        <v>Saturday</v>
      </c>
      <c r="G944" t="str">
        <f>IF(COUNTIF(INDEX(SkiResort_ParkingRevenue_Raw[License Plate],1):SkiResort_ParkingRevenue_Raw[[#This Row],[License Plate]],SkiResort_ParkingRevenue_Raw[[#This Row],[License Plate]])=1,"New","Returning")</f>
        <v>Returning</v>
      </c>
      <c r="H944">
        <v>24.99</v>
      </c>
      <c r="I944">
        <v>1</v>
      </c>
      <c r="J944" t="str">
        <f t="shared" si="44"/>
        <v>Weekends/Holiday Only</v>
      </c>
    </row>
    <row r="945" spans="1:10" x14ac:dyDescent="0.25">
      <c r="A945" t="s">
        <v>3798</v>
      </c>
      <c r="B945" t="str" cm="1">
        <f t="array" ref="B94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45" s="6">
        <v>46105.950069444443</v>
      </c>
      <c r="D945" t="str">
        <f t="shared" si="42"/>
        <v>Tuesday</v>
      </c>
      <c r="F945" s="6" t="str">
        <f t="shared" si="43"/>
        <v>Saturday</v>
      </c>
      <c r="G945" t="str">
        <f>IF(COUNTIF(INDEX(SkiResort_ParkingRevenue_Raw[License Plate],1):SkiResort_ParkingRevenue_Raw[[#This Row],[License Plate]],SkiResort_ParkingRevenue_Raw[[#This Row],[License Plate]])=1,"New","Returning")</f>
        <v>New</v>
      </c>
      <c r="H945">
        <v>24.99</v>
      </c>
      <c r="I945">
        <v>1</v>
      </c>
      <c r="J945" t="str">
        <f t="shared" si="44"/>
        <v>Weekends/Holiday Only</v>
      </c>
    </row>
    <row r="946" spans="1:10" x14ac:dyDescent="0.25">
      <c r="A946" t="s">
        <v>3804</v>
      </c>
      <c r="B946" t="str" cm="1">
        <f t="array" ref="B94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46" s="6">
        <v>46105.952534722222</v>
      </c>
      <c r="D946" t="str">
        <f t="shared" si="42"/>
        <v>Tuesday</v>
      </c>
      <c r="F946" s="6" t="str">
        <f t="shared" si="43"/>
        <v>Saturday</v>
      </c>
      <c r="G946" t="str">
        <f>IF(COUNTIF(INDEX(SkiResort_ParkingRevenue_Raw[License Plate],1):SkiResort_ParkingRevenue_Raw[[#This Row],[License Plate]],SkiResort_ParkingRevenue_Raw[[#This Row],[License Plate]])=1,"New","Returning")</f>
        <v>Returning</v>
      </c>
      <c r="H946">
        <v>24.99</v>
      </c>
      <c r="I946">
        <v>1</v>
      </c>
      <c r="J946" t="str">
        <f t="shared" si="44"/>
        <v>Weekends/Holiday Only</v>
      </c>
    </row>
    <row r="947" spans="1:10" x14ac:dyDescent="0.25">
      <c r="A947" t="s">
        <v>3806</v>
      </c>
      <c r="B947" t="str" cm="1">
        <f t="array" ref="B94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47" s="6">
        <v>46106.838159722225</v>
      </c>
      <c r="D947" t="str">
        <f t="shared" si="42"/>
        <v>Wednesday</v>
      </c>
      <c r="F947" s="6" t="str">
        <f t="shared" si="43"/>
        <v>Saturday</v>
      </c>
      <c r="G947" t="str">
        <f>IF(COUNTIF(INDEX(SkiResort_ParkingRevenue_Raw[License Plate],1):SkiResort_ParkingRevenue_Raw[[#This Row],[License Plate]],SkiResort_ParkingRevenue_Raw[[#This Row],[License Plate]])=1,"New","Returning")</f>
        <v>New</v>
      </c>
      <c r="H947">
        <v>24.99</v>
      </c>
      <c r="I947">
        <v>1</v>
      </c>
      <c r="J947" t="str">
        <f t="shared" si="44"/>
        <v>Weekends/Holiday Only</v>
      </c>
    </row>
    <row r="948" spans="1:10" x14ac:dyDescent="0.25">
      <c r="A948" t="s">
        <v>3812</v>
      </c>
      <c r="B948" t="str" cm="1">
        <f t="array" ref="B94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48" s="6">
        <v>46106.839641203704</v>
      </c>
      <c r="D948" t="str">
        <f t="shared" si="42"/>
        <v>Wednesday</v>
      </c>
      <c r="F948" s="6" t="str">
        <f t="shared" si="43"/>
        <v>Saturday</v>
      </c>
      <c r="G948" t="str">
        <f>IF(COUNTIF(INDEX(SkiResort_ParkingRevenue_Raw[License Plate],1):SkiResort_ParkingRevenue_Raw[[#This Row],[License Plate]],SkiResort_ParkingRevenue_Raw[[#This Row],[License Plate]])=1,"New","Returning")</f>
        <v>Returning</v>
      </c>
      <c r="H948">
        <v>24.99</v>
      </c>
      <c r="I948">
        <v>1</v>
      </c>
      <c r="J948" t="str">
        <f t="shared" si="44"/>
        <v>Weekends/Holiday Only</v>
      </c>
    </row>
    <row r="949" spans="1:10" x14ac:dyDescent="0.25">
      <c r="A949" t="s">
        <v>3814</v>
      </c>
      <c r="B949" t="str" cm="1">
        <f t="array" ref="B94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49" s="6">
        <v>46107.634236111109</v>
      </c>
      <c r="D949" t="str">
        <f t="shared" si="42"/>
        <v>Thursday</v>
      </c>
      <c r="F949" s="6" t="str">
        <f t="shared" si="43"/>
        <v>Saturday</v>
      </c>
      <c r="G949" t="str">
        <f>IF(COUNTIF(INDEX(SkiResort_ParkingRevenue_Raw[License Plate],1):SkiResort_ParkingRevenue_Raw[[#This Row],[License Plate]],SkiResort_ParkingRevenue_Raw[[#This Row],[License Plate]])=1,"New","Returning")</f>
        <v>New</v>
      </c>
      <c r="H949">
        <v>24.99</v>
      </c>
      <c r="I949">
        <v>1</v>
      </c>
      <c r="J949" t="str">
        <f t="shared" si="44"/>
        <v>Weekends/Holiday Only</v>
      </c>
    </row>
    <row r="950" spans="1:10" x14ac:dyDescent="0.25">
      <c r="A950" t="s">
        <v>3820</v>
      </c>
      <c r="B950" t="str" cm="1">
        <f t="array" ref="B95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50" s="6">
        <v>46107.799189814818</v>
      </c>
      <c r="D950" t="str">
        <f t="shared" si="42"/>
        <v>Thursday</v>
      </c>
      <c r="F950" s="6" t="str">
        <f t="shared" si="43"/>
        <v>Saturday</v>
      </c>
      <c r="G950" t="str">
        <f>IF(COUNTIF(INDEX(SkiResort_ParkingRevenue_Raw[License Plate],1):SkiResort_ParkingRevenue_Raw[[#This Row],[License Plate]],SkiResort_ParkingRevenue_Raw[[#This Row],[License Plate]])=1,"New","Returning")</f>
        <v>New</v>
      </c>
      <c r="H950">
        <v>24.99</v>
      </c>
      <c r="I950">
        <v>1</v>
      </c>
      <c r="J950" t="str">
        <f t="shared" si="44"/>
        <v>Weekends/Holiday Only</v>
      </c>
    </row>
    <row r="951" spans="1:10" x14ac:dyDescent="0.25">
      <c r="A951" t="s">
        <v>3826</v>
      </c>
      <c r="B951" t="str" cm="1">
        <f t="array" ref="B95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51" s="6">
        <v>46108.351539351854</v>
      </c>
      <c r="D951" t="str">
        <f t="shared" si="42"/>
        <v>Friday</v>
      </c>
      <c r="F951" s="6" t="str">
        <f t="shared" si="43"/>
        <v>Saturday</v>
      </c>
      <c r="G951" t="str">
        <f>IF(COUNTIF(INDEX(SkiResort_ParkingRevenue_Raw[License Plate],1):SkiResort_ParkingRevenue_Raw[[#This Row],[License Plate]],SkiResort_ParkingRevenue_Raw[[#This Row],[License Plate]])=1,"New","Returning")</f>
        <v>Returning</v>
      </c>
      <c r="H951">
        <v>24.99</v>
      </c>
      <c r="I951">
        <v>1</v>
      </c>
      <c r="J951" t="str">
        <f t="shared" si="44"/>
        <v>Weekends/Holiday Only</v>
      </c>
    </row>
    <row r="952" spans="1:10" x14ac:dyDescent="0.25">
      <c r="A952" t="s">
        <v>3828</v>
      </c>
      <c r="B952" t="str" cm="1">
        <f t="array" ref="B95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52" s="6">
        <v>46108.358148148145</v>
      </c>
      <c r="D952" t="str">
        <f t="shared" si="42"/>
        <v>Friday</v>
      </c>
      <c r="F952" s="6" t="str">
        <f t="shared" si="43"/>
        <v>Saturday</v>
      </c>
      <c r="G952" t="str">
        <f>IF(COUNTIF(INDEX(SkiResort_ParkingRevenue_Raw[License Plate],1):SkiResort_ParkingRevenue_Raw[[#This Row],[License Plate]],SkiResort_ParkingRevenue_Raw[[#This Row],[License Plate]])=1,"New","Returning")</f>
        <v>Returning</v>
      </c>
      <c r="H952">
        <v>24.99</v>
      </c>
      <c r="I952">
        <v>1</v>
      </c>
      <c r="J952" t="str">
        <f t="shared" si="44"/>
        <v>Weekends/Holiday Only</v>
      </c>
    </row>
    <row r="953" spans="1:10" x14ac:dyDescent="0.25">
      <c r="A953" t="s">
        <v>3830</v>
      </c>
      <c r="B953" t="str" cm="1">
        <f t="array" ref="B95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53" s="6">
        <v>46108.980868055558</v>
      </c>
      <c r="D953" t="str">
        <f t="shared" si="42"/>
        <v>Friday</v>
      </c>
      <c r="F953" s="6" t="str">
        <f t="shared" si="43"/>
        <v>Saturday</v>
      </c>
      <c r="G953" t="str">
        <f>IF(COUNTIF(INDEX(SkiResort_ParkingRevenue_Raw[License Plate],1):SkiResort_ParkingRevenue_Raw[[#This Row],[License Plate]],SkiResort_ParkingRevenue_Raw[[#This Row],[License Plate]])=1,"New","Returning")</f>
        <v>New</v>
      </c>
      <c r="H953">
        <v>24.99</v>
      </c>
      <c r="I953">
        <v>1</v>
      </c>
      <c r="J953" t="str">
        <f t="shared" si="44"/>
        <v>Weekends/Holiday Only</v>
      </c>
    </row>
    <row r="954" spans="1:10" x14ac:dyDescent="0.25">
      <c r="A954" t="s">
        <v>3836</v>
      </c>
      <c r="B954" t="str" cm="1">
        <f t="array" ref="B95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54" s="6">
        <v>46109.311064814814</v>
      </c>
      <c r="D954" t="str">
        <f t="shared" si="42"/>
        <v>Saturday</v>
      </c>
      <c r="F954" s="6" t="str">
        <f t="shared" si="43"/>
        <v>Saturday</v>
      </c>
      <c r="G954" t="str">
        <f>IF(COUNTIF(INDEX(SkiResort_ParkingRevenue_Raw[License Plate],1):SkiResort_ParkingRevenue_Raw[[#This Row],[License Plate]],SkiResort_ParkingRevenue_Raw[[#This Row],[License Plate]])=1,"New","Returning")</f>
        <v>New</v>
      </c>
      <c r="H954">
        <v>24.99</v>
      </c>
      <c r="I954">
        <v>1</v>
      </c>
      <c r="J954" t="str">
        <f t="shared" si="44"/>
        <v>Weekends/Holiday Only</v>
      </c>
    </row>
    <row r="955" spans="1:10" x14ac:dyDescent="0.25">
      <c r="A955" t="s">
        <v>3842</v>
      </c>
      <c r="B955" t="str" cm="1">
        <f t="array" ref="B95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55" s="6">
        <v>46109.340960648151</v>
      </c>
      <c r="D955" t="str">
        <f t="shared" si="42"/>
        <v>Saturday</v>
      </c>
      <c r="F955" s="6" t="str">
        <f t="shared" si="43"/>
        <v>Saturday</v>
      </c>
      <c r="G955" t="str">
        <f>IF(COUNTIF(INDEX(SkiResort_ParkingRevenue_Raw[License Plate],1):SkiResort_ParkingRevenue_Raw[[#This Row],[License Plate]],SkiResort_ParkingRevenue_Raw[[#This Row],[License Plate]])=1,"New","Returning")</f>
        <v>Returning</v>
      </c>
      <c r="H955">
        <v>24.99</v>
      </c>
      <c r="I955">
        <v>1</v>
      </c>
      <c r="J955" t="str">
        <f t="shared" si="44"/>
        <v>Weekends/Holiday Only</v>
      </c>
    </row>
    <row r="956" spans="1:10" x14ac:dyDescent="0.25">
      <c r="A956" t="s">
        <v>3844</v>
      </c>
      <c r="B956" t="str" cm="1">
        <f t="array" ref="B95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56" s="6">
        <v>46109.383946759262</v>
      </c>
      <c r="D956" t="str">
        <f t="shared" si="42"/>
        <v>Saturday</v>
      </c>
      <c r="F956" s="6" t="str">
        <f t="shared" si="43"/>
        <v>Saturday</v>
      </c>
      <c r="G956" t="str">
        <f>IF(COUNTIF(INDEX(SkiResort_ParkingRevenue_Raw[License Plate],1):SkiResort_ParkingRevenue_Raw[[#This Row],[License Plate]],SkiResort_ParkingRevenue_Raw[[#This Row],[License Plate]])=1,"New","Returning")</f>
        <v>New</v>
      </c>
      <c r="H956">
        <v>24.99</v>
      </c>
      <c r="I956">
        <v>1</v>
      </c>
      <c r="J956" t="str">
        <f t="shared" si="44"/>
        <v>Weekends/Holiday Only</v>
      </c>
    </row>
    <row r="957" spans="1:10" x14ac:dyDescent="0.25">
      <c r="A957" t="s">
        <v>3850</v>
      </c>
      <c r="B957" t="str" cm="1">
        <f t="array" ref="B95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57" s="6">
        <v>46109.50613425926</v>
      </c>
      <c r="D957" t="str">
        <f t="shared" si="42"/>
        <v>Saturday</v>
      </c>
      <c r="F957" s="6" t="str">
        <f t="shared" si="43"/>
        <v>Saturday</v>
      </c>
      <c r="G957" t="str">
        <f>IF(COUNTIF(INDEX(SkiResort_ParkingRevenue_Raw[License Plate],1):SkiResort_ParkingRevenue_Raw[[#This Row],[License Plate]],SkiResort_ParkingRevenue_Raw[[#This Row],[License Plate]])=1,"New","Returning")</f>
        <v>New</v>
      </c>
      <c r="H957">
        <v>24.99</v>
      </c>
      <c r="I957">
        <v>1</v>
      </c>
      <c r="J957" t="str">
        <f t="shared" si="44"/>
        <v>Weekends/Holiday Only</v>
      </c>
    </row>
    <row r="958" spans="1:10" x14ac:dyDescent="0.25">
      <c r="A958" t="s">
        <v>3856</v>
      </c>
      <c r="B958" t="str" cm="1">
        <f t="array" ref="B95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58" s="6">
        <v>46109.507893518516</v>
      </c>
      <c r="D958" t="str">
        <f t="shared" si="42"/>
        <v>Saturday</v>
      </c>
      <c r="F958" s="6" t="str">
        <f t="shared" si="43"/>
        <v>Saturday</v>
      </c>
      <c r="G958" t="str">
        <f>IF(COUNTIF(INDEX(SkiResort_ParkingRevenue_Raw[License Plate],1):SkiResort_ParkingRevenue_Raw[[#This Row],[License Plate]],SkiResort_ParkingRevenue_Raw[[#This Row],[License Plate]])=1,"New","Returning")</f>
        <v>Returning</v>
      </c>
      <c r="H958">
        <v>24.99</v>
      </c>
      <c r="I958">
        <v>1</v>
      </c>
      <c r="J958" t="str">
        <f t="shared" si="44"/>
        <v>Weekends/Holiday Only</v>
      </c>
    </row>
    <row r="959" spans="1:10" x14ac:dyDescent="0.25">
      <c r="A959" t="s">
        <v>3858</v>
      </c>
      <c r="B959" t="str" cm="1">
        <f t="array" ref="B95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59" s="6">
        <v>46109.516250000001</v>
      </c>
      <c r="D959" t="str">
        <f t="shared" si="42"/>
        <v>Saturday</v>
      </c>
      <c r="F959" s="6" t="str">
        <f t="shared" si="43"/>
        <v>Saturday</v>
      </c>
      <c r="G959" t="str">
        <f>IF(COUNTIF(INDEX(SkiResort_ParkingRevenue_Raw[License Plate],1):SkiResort_ParkingRevenue_Raw[[#This Row],[License Plate]],SkiResort_ParkingRevenue_Raw[[#This Row],[License Plate]])=1,"New","Returning")</f>
        <v>New</v>
      </c>
      <c r="H959">
        <v>24.99</v>
      </c>
      <c r="I959">
        <v>1</v>
      </c>
      <c r="J959" t="str">
        <f t="shared" si="44"/>
        <v>Weekends/Holiday Only</v>
      </c>
    </row>
    <row r="960" spans="1:10" x14ac:dyDescent="0.25">
      <c r="A960" t="s">
        <v>3864</v>
      </c>
      <c r="B960" t="str" cm="1">
        <f t="array" ref="B96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60" s="6">
        <v>46109.906284722223</v>
      </c>
      <c r="D960" t="str">
        <f t="shared" si="42"/>
        <v>Saturday</v>
      </c>
      <c r="F960" s="6" t="str">
        <f t="shared" si="43"/>
        <v>Saturday</v>
      </c>
      <c r="G960" t="str">
        <f>IF(COUNTIF(INDEX(SkiResort_ParkingRevenue_Raw[License Plate],1):SkiResort_ParkingRevenue_Raw[[#This Row],[License Plate]],SkiResort_ParkingRevenue_Raw[[#This Row],[License Plate]])=1,"New","Returning")</f>
        <v>New</v>
      </c>
      <c r="H960">
        <v>24.99</v>
      </c>
      <c r="I960">
        <v>1</v>
      </c>
      <c r="J960" t="str">
        <f t="shared" si="44"/>
        <v>Weekends/Holiday Only</v>
      </c>
    </row>
    <row r="961" spans="1:10" x14ac:dyDescent="0.25">
      <c r="A961" t="s">
        <v>3870</v>
      </c>
      <c r="B961" t="str" cm="1">
        <f t="array" ref="B96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61" s="6">
        <v>46109.937789351854</v>
      </c>
      <c r="D961" t="str">
        <f t="shared" si="42"/>
        <v>Saturday</v>
      </c>
      <c r="F961" s="6" t="str">
        <f t="shared" si="43"/>
        <v>Saturday</v>
      </c>
      <c r="G961" t="str">
        <f>IF(COUNTIF(INDEX(SkiResort_ParkingRevenue_Raw[License Plate],1):SkiResort_ParkingRevenue_Raw[[#This Row],[License Plate]],SkiResort_ParkingRevenue_Raw[[#This Row],[License Plate]])=1,"New","Returning")</f>
        <v>Returning</v>
      </c>
      <c r="H961">
        <v>24.99</v>
      </c>
      <c r="I961">
        <v>1</v>
      </c>
      <c r="J961" t="str">
        <f t="shared" si="44"/>
        <v>Weekends/Holiday Only</v>
      </c>
    </row>
    <row r="962" spans="1:10" x14ac:dyDescent="0.25">
      <c r="A962" t="s">
        <v>3872</v>
      </c>
      <c r="B962" t="str" cm="1">
        <f t="array" ref="B96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62" s="6">
        <v>46110.317326388889</v>
      </c>
      <c r="D962" t="str">
        <f t="shared" ref="D962:D1025" si="45">_xlfn.TEXTBEFORE(TEXT(C962, "dddd, mmmm dd, yyyy"), ",")</f>
        <v>Sunday</v>
      </c>
      <c r="F962" s="6" t="str">
        <f t="shared" si="43"/>
        <v>Saturday</v>
      </c>
      <c r="G962" t="str">
        <f>IF(COUNTIF(INDEX(SkiResort_ParkingRevenue_Raw[License Plate],1):SkiResort_ParkingRevenue_Raw[[#This Row],[License Plate]],SkiResort_ParkingRevenue_Raw[[#This Row],[License Plate]])=1,"New","Returning")</f>
        <v>New</v>
      </c>
      <c r="H962">
        <v>24.99</v>
      </c>
      <c r="I962">
        <v>1</v>
      </c>
      <c r="J962" t="str">
        <f t="shared" si="44"/>
        <v>Weekends/Holiday Only</v>
      </c>
    </row>
    <row r="963" spans="1:10" x14ac:dyDescent="0.25">
      <c r="A963" t="s">
        <v>3878</v>
      </c>
      <c r="B963" t="str" cm="1">
        <f t="array" ref="B96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63" s="6">
        <v>46110.339108796295</v>
      </c>
      <c r="D963" t="str">
        <f t="shared" si="45"/>
        <v>Sunday</v>
      </c>
      <c r="F963" s="6" t="str">
        <f t="shared" ref="F963:F1026" si="46">_xlfn.TEXTBEFORE(TEXT(E963,"dddd, mmmm dd, yyyy"), ",")</f>
        <v>Saturday</v>
      </c>
      <c r="G963" t="str">
        <f>IF(COUNTIF(INDEX(SkiResort_ParkingRevenue_Raw[License Plate],1):SkiResort_ParkingRevenue_Raw[[#This Row],[License Plate]],SkiResort_ParkingRevenue_Raw[[#This Row],[License Plate]])=1,"New","Returning")</f>
        <v>Returning</v>
      </c>
      <c r="H963">
        <v>24.99</v>
      </c>
      <c r="I963">
        <v>1</v>
      </c>
      <c r="J963" t="str">
        <f t="shared" ref="J963:J1026" si="47">IF(C963&lt;DATE(2025,1,17), "All Season", "Weekends/Holiday Only")</f>
        <v>Weekends/Holiday Only</v>
      </c>
    </row>
    <row r="964" spans="1:10" x14ac:dyDescent="0.25">
      <c r="A964" t="s">
        <v>3880</v>
      </c>
      <c r="B964" t="str" cm="1">
        <f t="array" ref="B96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64" s="6">
        <v>46110.352442129632</v>
      </c>
      <c r="D964" t="str">
        <f t="shared" si="45"/>
        <v>Sunday</v>
      </c>
      <c r="F964" s="6" t="str">
        <f t="shared" si="46"/>
        <v>Saturday</v>
      </c>
      <c r="G964" t="str">
        <f>IF(COUNTIF(INDEX(SkiResort_ParkingRevenue_Raw[License Plate],1):SkiResort_ParkingRevenue_Raw[[#This Row],[License Plate]],SkiResort_ParkingRevenue_Raw[[#This Row],[License Plate]])=1,"New","Returning")</f>
        <v>New</v>
      </c>
      <c r="H964">
        <v>24.99</v>
      </c>
      <c r="I964">
        <v>1</v>
      </c>
      <c r="J964" t="str">
        <f t="shared" si="47"/>
        <v>Weekends/Holiday Only</v>
      </c>
    </row>
    <row r="965" spans="1:10" x14ac:dyDescent="0.25">
      <c r="A965" t="s">
        <v>3886</v>
      </c>
      <c r="B965" t="str" cm="1">
        <f t="array" ref="B96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65" s="6">
        <v>46110.367986111109</v>
      </c>
      <c r="D965" t="str">
        <f t="shared" si="45"/>
        <v>Sunday</v>
      </c>
      <c r="F965" s="6" t="str">
        <f t="shared" si="46"/>
        <v>Saturday</v>
      </c>
      <c r="G965" t="str">
        <f>IF(COUNTIF(INDEX(SkiResort_ParkingRevenue_Raw[License Plate],1):SkiResort_ParkingRevenue_Raw[[#This Row],[License Plate]],SkiResort_ParkingRevenue_Raw[[#This Row],[License Plate]])=1,"New","Returning")</f>
        <v>New</v>
      </c>
      <c r="H965">
        <v>24.99</v>
      </c>
      <c r="I965">
        <v>1</v>
      </c>
      <c r="J965" t="str">
        <f t="shared" si="47"/>
        <v>Weekends/Holiday Only</v>
      </c>
    </row>
    <row r="966" spans="1:10" x14ac:dyDescent="0.25">
      <c r="A966" t="s">
        <v>3892</v>
      </c>
      <c r="B966" t="str" cm="1">
        <f t="array" ref="B96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66" s="6">
        <v>46110.373715277776</v>
      </c>
      <c r="D966" t="str">
        <f t="shared" si="45"/>
        <v>Sunday</v>
      </c>
      <c r="F966" s="6" t="str">
        <f t="shared" si="46"/>
        <v>Saturday</v>
      </c>
      <c r="G966" t="str">
        <f>IF(COUNTIF(INDEX(SkiResort_ParkingRevenue_Raw[License Plate],1):SkiResort_ParkingRevenue_Raw[[#This Row],[License Plate]],SkiResort_ParkingRevenue_Raw[[#This Row],[License Plate]])=1,"New","Returning")</f>
        <v>Returning</v>
      </c>
      <c r="H966">
        <v>24.99</v>
      </c>
      <c r="I966">
        <v>1</v>
      </c>
      <c r="J966" t="str">
        <f t="shared" si="47"/>
        <v>Weekends/Holiday Only</v>
      </c>
    </row>
    <row r="967" spans="1:10" x14ac:dyDescent="0.25">
      <c r="A967" t="s">
        <v>3897</v>
      </c>
      <c r="B967" t="str" cm="1">
        <f t="array" ref="B96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67" s="6">
        <v>46110.409756944442</v>
      </c>
      <c r="D967" t="str">
        <f t="shared" si="45"/>
        <v>Sunday</v>
      </c>
      <c r="F967" s="6" t="str">
        <f t="shared" si="46"/>
        <v>Saturday</v>
      </c>
      <c r="G967" t="str">
        <f>IF(COUNTIF(INDEX(SkiResort_ParkingRevenue_Raw[License Plate],1):SkiResort_ParkingRevenue_Raw[[#This Row],[License Plate]],SkiResort_ParkingRevenue_Raw[[#This Row],[License Plate]])=1,"New","Returning")</f>
        <v>Returning</v>
      </c>
      <c r="H967">
        <v>24.99</v>
      </c>
      <c r="I967">
        <v>1</v>
      </c>
      <c r="J967" t="str">
        <f t="shared" si="47"/>
        <v>Weekends/Holiday Only</v>
      </c>
    </row>
    <row r="968" spans="1:10" x14ac:dyDescent="0.25">
      <c r="A968" t="s">
        <v>3899</v>
      </c>
      <c r="B968" t="str" cm="1">
        <f t="array" ref="B96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68" s="6">
        <v>46110.410624999997</v>
      </c>
      <c r="D968" t="str">
        <f t="shared" si="45"/>
        <v>Sunday</v>
      </c>
      <c r="F968" s="6" t="str">
        <f t="shared" si="46"/>
        <v>Saturday</v>
      </c>
      <c r="G968" t="str">
        <f>IF(COUNTIF(INDEX(SkiResort_ParkingRevenue_Raw[License Plate],1):SkiResort_ParkingRevenue_Raw[[#This Row],[License Plate]],SkiResort_ParkingRevenue_Raw[[#This Row],[License Plate]])=1,"New","Returning")</f>
        <v>New</v>
      </c>
      <c r="H968">
        <v>24.99</v>
      </c>
      <c r="I968">
        <v>1</v>
      </c>
      <c r="J968" t="str">
        <f t="shared" si="47"/>
        <v>Weekends/Holiday Only</v>
      </c>
    </row>
    <row r="969" spans="1:10" x14ac:dyDescent="0.25">
      <c r="A969" t="s">
        <v>3905</v>
      </c>
      <c r="B969" t="str" cm="1">
        <f t="array" ref="B96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69" s="6">
        <v>46110.614131944443</v>
      </c>
      <c r="D969" t="str">
        <f t="shared" si="45"/>
        <v>Sunday</v>
      </c>
      <c r="F969" s="6" t="str">
        <f t="shared" si="46"/>
        <v>Saturday</v>
      </c>
      <c r="G969" t="str">
        <f>IF(COUNTIF(INDEX(SkiResort_ParkingRevenue_Raw[License Plate],1):SkiResort_ParkingRevenue_Raw[[#This Row],[License Plate]],SkiResort_ParkingRevenue_Raw[[#This Row],[License Plate]])=1,"New","Returning")</f>
        <v>New</v>
      </c>
      <c r="H969">
        <v>24.99</v>
      </c>
      <c r="I969">
        <v>1</v>
      </c>
      <c r="J969" t="str">
        <f t="shared" si="47"/>
        <v>Weekends/Holiday Only</v>
      </c>
    </row>
    <row r="970" spans="1:10" x14ac:dyDescent="0.25">
      <c r="A970" t="s">
        <v>3911</v>
      </c>
      <c r="B970" t="str" cm="1">
        <f t="array" ref="B97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70" s="6">
        <v>46110.69222222222</v>
      </c>
      <c r="D970" t="str">
        <f t="shared" si="45"/>
        <v>Sunday</v>
      </c>
      <c r="F970" s="6" t="str">
        <f t="shared" si="46"/>
        <v>Saturday</v>
      </c>
      <c r="G970" t="str">
        <f>IF(COUNTIF(INDEX(SkiResort_ParkingRevenue_Raw[License Plate],1):SkiResort_ParkingRevenue_Raw[[#This Row],[License Plate]],SkiResort_ParkingRevenue_Raw[[#This Row],[License Plate]])=1,"New","Returning")</f>
        <v>Returning</v>
      </c>
      <c r="H970">
        <v>24.99</v>
      </c>
      <c r="I970">
        <v>1</v>
      </c>
      <c r="J970" t="str">
        <f t="shared" si="47"/>
        <v>Weekends/Holiday Only</v>
      </c>
    </row>
    <row r="971" spans="1:10" x14ac:dyDescent="0.25">
      <c r="A971" t="s">
        <v>3913</v>
      </c>
      <c r="B971" t="str" cm="1">
        <f t="array" ref="B97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71" s="6">
        <v>46110.825335648151</v>
      </c>
      <c r="D971" t="str">
        <f t="shared" si="45"/>
        <v>Sunday</v>
      </c>
      <c r="F971" s="6" t="str">
        <f t="shared" si="46"/>
        <v>Saturday</v>
      </c>
      <c r="G971" t="str">
        <f>IF(COUNTIF(INDEX(SkiResort_ParkingRevenue_Raw[License Plate],1):SkiResort_ParkingRevenue_Raw[[#This Row],[License Plate]],SkiResort_ParkingRevenue_Raw[[#This Row],[License Plate]])=1,"New","Returning")</f>
        <v>Returning</v>
      </c>
      <c r="H971">
        <v>24.99</v>
      </c>
      <c r="I971">
        <v>1</v>
      </c>
      <c r="J971" t="str">
        <f t="shared" si="47"/>
        <v>Weekends/Holiday Only</v>
      </c>
    </row>
    <row r="972" spans="1:10" x14ac:dyDescent="0.25">
      <c r="A972" t="s">
        <v>3915</v>
      </c>
      <c r="B972" t="str" cm="1">
        <f t="array" ref="B97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72" s="6">
        <v>46111.402256944442</v>
      </c>
      <c r="D972" t="str">
        <f t="shared" si="45"/>
        <v>Monday</v>
      </c>
      <c r="F972" s="6" t="str">
        <f t="shared" si="46"/>
        <v>Saturday</v>
      </c>
      <c r="G972" t="str">
        <f>IF(COUNTIF(INDEX(SkiResort_ParkingRevenue_Raw[License Plate],1):SkiResort_ParkingRevenue_Raw[[#This Row],[License Plate]],SkiResort_ParkingRevenue_Raw[[#This Row],[License Plate]])=1,"New","Returning")</f>
        <v>Returning</v>
      </c>
      <c r="H972">
        <v>24.99</v>
      </c>
      <c r="I972">
        <v>1</v>
      </c>
      <c r="J972" t="str">
        <f t="shared" si="47"/>
        <v>Weekends/Holiday Only</v>
      </c>
    </row>
    <row r="973" spans="1:10" x14ac:dyDescent="0.25">
      <c r="A973" t="s">
        <v>3917</v>
      </c>
      <c r="B973" t="str" cm="1">
        <f t="array" ref="B97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73" s="6">
        <v>46111.412060185183</v>
      </c>
      <c r="D973" t="str">
        <f t="shared" si="45"/>
        <v>Monday</v>
      </c>
      <c r="F973" s="6" t="str">
        <f t="shared" si="46"/>
        <v>Saturday</v>
      </c>
      <c r="G973" t="str">
        <f>IF(COUNTIF(INDEX(SkiResort_ParkingRevenue_Raw[License Plate],1):SkiResort_ParkingRevenue_Raw[[#This Row],[License Plate]],SkiResort_ParkingRevenue_Raw[[#This Row],[License Plate]])=1,"New","Returning")</f>
        <v>New</v>
      </c>
      <c r="H973">
        <v>24.99</v>
      </c>
      <c r="I973">
        <v>1</v>
      </c>
      <c r="J973" t="str">
        <f t="shared" si="47"/>
        <v>Weekends/Holiday Only</v>
      </c>
    </row>
    <row r="974" spans="1:10" x14ac:dyDescent="0.25">
      <c r="A974" t="s">
        <v>3923</v>
      </c>
      <c r="B974" t="str" cm="1">
        <f t="array" ref="B97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74" s="6">
        <v>46111.419953703706</v>
      </c>
      <c r="D974" t="str">
        <f t="shared" si="45"/>
        <v>Monday</v>
      </c>
      <c r="F974" s="6" t="str">
        <f t="shared" si="46"/>
        <v>Saturday</v>
      </c>
      <c r="G974" t="str">
        <f>IF(COUNTIF(INDEX(SkiResort_ParkingRevenue_Raw[License Plate],1):SkiResort_ParkingRevenue_Raw[[#This Row],[License Plate]],SkiResort_ParkingRevenue_Raw[[#This Row],[License Plate]])=1,"New","Returning")</f>
        <v>Returning</v>
      </c>
      <c r="H974">
        <v>24.99</v>
      </c>
      <c r="I974">
        <v>1</v>
      </c>
      <c r="J974" t="str">
        <f t="shared" si="47"/>
        <v>Weekends/Holiday Only</v>
      </c>
    </row>
    <row r="975" spans="1:10" x14ac:dyDescent="0.25">
      <c r="A975" t="s">
        <v>3925</v>
      </c>
      <c r="B975" t="str" cm="1">
        <f t="array" ref="B97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75" s="6">
        <v>46111.507465277777</v>
      </c>
      <c r="D975" t="str">
        <f t="shared" si="45"/>
        <v>Monday</v>
      </c>
      <c r="F975" s="6" t="str">
        <f t="shared" si="46"/>
        <v>Saturday</v>
      </c>
      <c r="G975" t="str">
        <f>IF(COUNTIF(INDEX(SkiResort_ParkingRevenue_Raw[License Plate],1):SkiResort_ParkingRevenue_Raw[[#This Row],[License Plate]],SkiResort_ParkingRevenue_Raw[[#This Row],[License Plate]])=1,"New","Returning")</f>
        <v>New</v>
      </c>
      <c r="H975">
        <v>24.99</v>
      </c>
      <c r="I975">
        <v>1</v>
      </c>
      <c r="J975" t="str">
        <f t="shared" si="47"/>
        <v>Weekends/Holiday Only</v>
      </c>
    </row>
    <row r="976" spans="1:10" x14ac:dyDescent="0.25">
      <c r="A976" t="s">
        <v>3931</v>
      </c>
      <c r="B976" t="str" cm="1">
        <f t="array" ref="B97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76" s="6">
        <v>46111.795138888891</v>
      </c>
      <c r="D976" t="str">
        <f t="shared" si="45"/>
        <v>Monday</v>
      </c>
      <c r="F976" s="6" t="str">
        <f t="shared" si="46"/>
        <v>Saturday</v>
      </c>
      <c r="G976" t="str">
        <f>IF(COUNTIF(INDEX(SkiResort_ParkingRevenue_Raw[License Plate],1):SkiResort_ParkingRevenue_Raw[[#This Row],[License Plate]],SkiResort_ParkingRevenue_Raw[[#This Row],[License Plate]])=1,"New","Returning")</f>
        <v>New</v>
      </c>
      <c r="H976">
        <v>24.99</v>
      </c>
      <c r="I976">
        <v>1</v>
      </c>
      <c r="J976" t="str">
        <f t="shared" si="47"/>
        <v>Weekends/Holiday Only</v>
      </c>
    </row>
    <row r="977" spans="1:10" x14ac:dyDescent="0.25">
      <c r="A977" t="s">
        <v>3937</v>
      </c>
      <c r="B977" t="str" cm="1">
        <f t="array" ref="B97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77" s="6">
        <v>46111.800173611111</v>
      </c>
      <c r="D977" t="str">
        <f t="shared" si="45"/>
        <v>Monday</v>
      </c>
      <c r="F977" s="6" t="str">
        <f t="shared" si="46"/>
        <v>Saturday</v>
      </c>
      <c r="G977" t="str">
        <f>IF(COUNTIF(INDEX(SkiResort_ParkingRevenue_Raw[License Plate],1):SkiResort_ParkingRevenue_Raw[[#This Row],[License Plate]],SkiResort_ParkingRevenue_Raw[[#This Row],[License Plate]])=1,"New","Returning")</f>
        <v>New</v>
      </c>
      <c r="H977">
        <v>24.99</v>
      </c>
      <c r="I977">
        <v>1</v>
      </c>
      <c r="J977" t="str">
        <f t="shared" si="47"/>
        <v>Weekends/Holiday Only</v>
      </c>
    </row>
    <row r="978" spans="1:10" x14ac:dyDescent="0.25">
      <c r="A978" t="s">
        <v>3943</v>
      </c>
      <c r="B978" t="str" cm="1">
        <f t="array" ref="B97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78" s="6">
        <v>46111.861504629633</v>
      </c>
      <c r="D978" t="str">
        <f t="shared" si="45"/>
        <v>Monday</v>
      </c>
      <c r="F978" s="6" t="str">
        <f t="shared" si="46"/>
        <v>Saturday</v>
      </c>
      <c r="G978" t="str">
        <f>IF(COUNTIF(INDEX(SkiResort_ParkingRevenue_Raw[License Plate],1):SkiResort_ParkingRevenue_Raw[[#This Row],[License Plate]],SkiResort_ParkingRevenue_Raw[[#This Row],[License Plate]])=1,"New","Returning")</f>
        <v>New</v>
      </c>
      <c r="H978">
        <v>24.99</v>
      </c>
      <c r="I978">
        <v>1</v>
      </c>
      <c r="J978" t="str">
        <f t="shared" si="47"/>
        <v>Weekends/Holiday Only</v>
      </c>
    </row>
    <row r="979" spans="1:10" x14ac:dyDescent="0.25">
      <c r="A979" t="s">
        <v>3949</v>
      </c>
      <c r="B979" t="str" cm="1">
        <f t="array" ref="B97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79" s="6">
        <v>46111.909189814818</v>
      </c>
      <c r="D979" t="str">
        <f t="shared" si="45"/>
        <v>Monday</v>
      </c>
      <c r="F979" s="6" t="str">
        <f t="shared" si="46"/>
        <v>Saturday</v>
      </c>
      <c r="G979" t="str">
        <f>IF(COUNTIF(INDEX(SkiResort_ParkingRevenue_Raw[License Plate],1):SkiResort_ParkingRevenue_Raw[[#This Row],[License Plate]],SkiResort_ParkingRevenue_Raw[[#This Row],[License Plate]])=1,"New","Returning")</f>
        <v>New</v>
      </c>
      <c r="H979">
        <v>24.99</v>
      </c>
      <c r="I979">
        <v>1</v>
      </c>
      <c r="J979" t="str">
        <f t="shared" si="47"/>
        <v>Weekends/Holiday Only</v>
      </c>
    </row>
    <row r="980" spans="1:10" x14ac:dyDescent="0.25">
      <c r="A980" t="s">
        <v>3955</v>
      </c>
      <c r="B980" t="str" cm="1">
        <f t="array" ref="B98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80" s="6">
        <v>46112.277372685188</v>
      </c>
      <c r="D980" t="str">
        <f t="shared" si="45"/>
        <v>Tuesday</v>
      </c>
      <c r="F980" s="6" t="str">
        <f t="shared" si="46"/>
        <v>Saturday</v>
      </c>
      <c r="G980" t="str">
        <f>IF(COUNTIF(INDEX(SkiResort_ParkingRevenue_Raw[License Plate],1):SkiResort_ParkingRevenue_Raw[[#This Row],[License Plate]],SkiResort_ParkingRevenue_Raw[[#This Row],[License Plate]])=1,"New","Returning")</f>
        <v>Returning</v>
      </c>
      <c r="H980">
        <v>24.99</v>
      </c>
      <c r="I980">
        <v>1</v>
      </c>
      <c r="J980" t="str">
        <f t="shared" si="47"/>
        <v>Weekends/Holiday Only</v>
      </c>
    </row>
    <row r="981" spans="1:10" x14ac:dyDescent="0.25">
      <c r="A981" t="s">
        <v>3957</v>
      </c>
      <c r="B981" t="str" cm="1">
        <f t="array" ref="B98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81" s="6">
        <v>46112.379814814813</v>
      </c>
      <c r="D981" t="str">
        <f t="shared" si="45"/>
        <v>Tuesday</v>
      </c>
      <c r="F981" s="6" t="str">
        <f t="shared" si="46"/>
        <v>Saturday</v>
      </c>
      <c r="G981" t="str">
        <f>IF(COUNTIF(INDEX(SkiResort_ParkingRevenue_Raw[License Plate],1):SkiResort_ParkingRevenue_Raw[[#This Row],[License Plate]],SkiResort_ParkingRevenue_Raw[[#This Row],[License Plate]])=1,"New","Returning")</f>
        <v>Returning</v>
      </c>
      <c r="H981">
        <v>24.99</v>
      </c>
      <c r="I981">
        <v>1</v>
      </c>
      <c r="J981" t="str">
        <f t="shared" si="47"/>
        <v>Weekends/Holiday Only</v>
      </c>
    </row>
    <row r="982" spans="1:10" x14ac:dyDescent="0.25">
      <c r="A982" t="s">
        <v>3959</v>
      </c>
      <c r="B982" t="str" cm="1">
        <f t="array" ref="B98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82" s="6">
        <v>46112.380474537036</v>
      </c>
      <c r="D982" t="str">
        <f t="shared" si="45"/>
        <v>Tuesday</v>
      </c>
      <c r="F982" s="6" t="str">
        <f t="shared" si="46"/>
        <v>Saturday</v>
      </c>
      <c r="G982" t="str">
        <f>IF(COUNTIF(INDEX(SkiResort_ParkingRevenue_Raw[License Plate],1):SkiResort_ParkingRevenue_Raw[[#This Row],[License Plate]],SkiResort_ParkingRevenue_Raw[[#This Row],[License Plate]])=1,"New","Returning")</f>
        <v>New</v>
      </c>
      <c r="H982">
        <v>24.99</v>
      </c>
      <c r="I982">
        <v>1</v>
      </c>
      <c r="J982" t="str">
        <f t="shared" si="47"/>
        <v>Weekends/Holiday Only</v>
      </c>
    </row>
    <row r="983" spans="1:10" x14ac:dyDescent="0.25">
      <c r="A983" t="s">
        <v>3965</v>
      </c>
      <c r="B983" t="str" cm="1">
        <f t="array" ref="B98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83" s="6">
        <v>46112.580590277779</v>
      </c>
      <c r="D983" t="str">
        <f t="shared" si="45"/>
        <v>Tuesday</v>
      </c>
      <c r="F983" s="6" t="str">
        <f t="shared" si="46"/>
        <v>Saturday</v>
      </c>
      <c r="G983" t="str">
        <f>IF(COUNTIF(INDEX(SkiResort_ParkingRevenue_Raw[License Plate],1):SkiResort_ParkingRevenue_Raw[[#This Row],[License Plate]],SkiResort_ParkingRevenue_Raw[[#This Row],[License Plate]])=1,"New","Returning")</f>
        <v>New</v>
      </c>
      <c r="H983">
        <v>24.99</v>
      </c>
      <c r="I983">
        <v>1</v>
      </c>
      <c r="J983" t="str">
        <f t="shared" si="47"/>
        <v>Weekends/Holiday Only</v>
      </c>
    </row>
    <row r="984" spans="1:10" x14ac:dyDescent="0.25">
      <c r="A984" t="s">
        <v>3971</v>
      </c>
      <c r="B984" t="str" cm="1">
        <f t="array" ref="B98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84" s="6">
        <v>46112.647673611114</v>
      </c>
      <c r="D984" t="str">
        <f t="shared" si="45"/>
        <v>Tuesday</v>
      </c>
      <c r="F984" s="6" t="str">
        <f t="shared" si="46"/>
        <v>Saturday</v>
      </c>
      <c r="G984" t="str">
        <f>IF(COUNTIF(INDEX(SkiResort_ParkingRevenue_Raw[License Plate],1):SkiResort_ParkingRevenue_Raw[[#This Row],[License Plate]],SkiResort_ParkingRevenue_Raw[[#This Row],[License Plate]])=1,"New","Returning")</f>
        <v>New</v>
      </c>
      <c r="H984">
        <v>24.99</v>
      </c>
      <c r="I984">
        <v>1</v>
      </c>
      <c r="J984" t="str">
        <f t="shared" si="47"/>
        <v>Weekends/Holiday Only</v>
      </c>
    </row>
    <row r="985" spans="1:10" x14ac:dyDescent="0.25">
      <c r="A985" t="s">
        <v>3977</v>
      </c>
      <c r="B985" t="str" cm="1">
        <f t="array" ref="B98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85" s="6">
        <v>46112.726006944446</v>
      </c>
      <c r="D985" t="str">
        <f t="shared" si="45"/>
        <v>Tuesday</v>
      </c>
      <c r="F985" s="6" t="str">
        <f t="shared" si="46"/>
        <v>Saturday</v>
      </c>
      <c r="G985" t="str">
        <f>IF(COUNTIF(INDEX(SkiResort_ParkingRevenue_Raw[License Plate],1):SkiResort_ParkingRevenue_Raw[[#This Row],[License Plate]],SkiResort_ParkingRevenue_Raw[[#This Row],[License Plate]])=1,"New","Returning")</f>
        <v>New</v>
      </c>
      <c r="H985">
        <v>24.99</v>
      </c>
      <c r="I985">
        <v>1</v>
      </c>
      <c r="J985" t="str">
        <f t="shared" si="47"/>
        <v>Weekends/Holiday Only</v>
      </c>
    </row>
    <row r="986" spans="1:10" x14ac:dyDescent="0.25">
      <c r="A986" t="s">
        <v>3980</v>
      </c>
      <c r="B986" t="str" cm="1">
        <f t="array" ref="B98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86" s="6">
        <v>46112.726585648146</v>
      </c>
      <c r="D986" t="str">
        <f t="shared" si="45"/>
        <v>Tuesday</v>
      </c>
      <c r="F986" s="6" t="str">
        <f t="shared" si="46"/>
        <v>Saturday</v>
      </c>
      <c r="G986" t="str">
        <f>IF(COUNTIF(INDEX(SkiResort_ParkingRevenue_Raw[License Plate],1):SkiResort_ParkingRevenue_Raw[[#This Row],[License Plate]],SkiResort_ParkingRevenue_Raw[[#This Row],[License Plate]])=1,"New","Returning")</f>
        <v>Returning</v>
      </c>
      <c r="H986">
        <v>24.99</v>
      </c>
      <c r="I986">
        <v>1</v>
      </c>
      <c r="J986" t="str">
        <f t="shared" si="47"/>
        <v>Weekends/Holiday Only</v>
      </c>
    </row>
    <row r="987" spans="1:10" x14ac:dyDescent="0.25">
      <c r="A987" t="s">
        <v>3982</v>
      </c>
      <c r="B987" t="str" cm="1">
        <f t="array" ref="B98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87" s="6">
        <v>46112.836736111109</v>
      </c>
      <c r="D987" t="str">
        <f t="shared" si="45"/>
        <v>Tuesday</v>
      </c>
      <c r="F987" s="6" t="str">
        <f t="shared" si="46"/>
        <v>Saturday</v>
      </c>
      <c r="G987" t="str">
        <f>IF(COUNTIF(INDEX(SkiResort_ParkingRevenue_Raw[License Plate],1):SkiResort_ParkingRevenue_Raw[[#This Row],[License Plate]],SkiResort_ParkingRevenue_Raw[[#This Row],[License Plate]])=1,"New","Returning")</f>
        <v>New</v>
      </c>
      <c r="H987">
        <v>24.99</v>
      </c>
      <c r="I987">
        <v>1</v>
      </c>
      <c r="J987" t="str">
        <f t="shared" si="47"/>
        <v>Weekends/Holiday Only</v>
      </c>
    </row>
    <row r="988" spans="1:10" x14ac:dyDescent="0.25">
      <c r="A988" t="s">
        <v>3988</v>
      </c>
      <c r="B988" t="str" cm="1">
        <f t="array" ref="B98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88" s="6">
        <v>46113.392731481479</v>
      </c>
      <c r="D988" t="str">
        <f t="shared" si="45"/>
        <v>Wednesday</v>
      </c>
      <c r="F988" s="6" t="str">
        <f t="shared" si="46"/>
        <v>Saturday</v>
      </c>
      <c r="G988" t="str">
        <f>IF(COUNTIF(INDEX(SkiResort_ParkingRevenue_Raw[License Plate],1):SkiResort_ParkingRevenue_Raw[[#This Row],[License Plate]],SkiResort_ParkingRevenue_Raw[[#This Row],[License Plate]])=1,"New","Returning")</f>
        <v>Returning</v>
      </c>
      <c r="H988">
        <v>24.99</v>
      </c>
      <c r="I988">
        <v>1</v>
      </c>
      <c r="J988" t="str">
        <f t="shared" si="47"/>
        <v>Weekends/Holiday Only</v>
      </c>
    </row>
    <row r="989" spans="1:10" x14ac:dyDescent="0.25">
      <c r="A989" t="s">
        <v>3990</v>
      </c>
      <c r="B989" t="str" cm="1">
        <f t="array" ref="B98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89" s="6">
        <v>46113.44699074074</v>
      </c>
      <c r="D989" t="str">
        <f t="shared" si="45"/>
        <v>Wednesday</v>
      </c>
      <c r="F989" s="6" t="str">
        <f t="shared" si="46"/>
        <v>Saturday</v>
      </c>
      <c r="G989" t="str">
        <f>IF(COUNTIF(INDEX(SkiResort_ParkingRevenue_Raw[License Plate],1):SkiResort_ParkingRevenue_Raw[[#This Row],[License Plate]],SkiResort_ParkingRevenue_Raw[[#This Row],[License Plate]])=1,"New","Returning")</f>
        <v>Returning</v>
      </c>
      <c r="H989">
        <v>24.99</v>
      </c>
      <c r="I989">
        <v>1</v>
      </c>
      <c r="J989" t="str">
        <f t="shared" si="47"/>
        <v>Weekends/Holiday Only</v>
      </c>
    </row>
    <row r="990" spans="1:10" x14ac:dyDescent="0.25">
      <c r="A990" t="s">
        <v>3992</v>
      </c>
      <c r="B990" t="str" cm="1">
        <f t="array" ref="B99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90" s="6">
        <v>46113.482071759259</v>
      </c>
      <c r="D990" t="str">
        <f t="shared" si="45"/>
        <v>Wednesday</v>
      </c>
      <c r="F990" s="6" t="str">
        <f t="shared" si="46"/>
        <v>Saturday</v>
      </c>
      <c r="G990" t="str">
        <f>IF(COUNTIF(INDEX(SkiResort_ParkingRevenue_Raw[License Plate],1):SkiResort_ParkingRevenue_Raw[[#This Row],[License Plate]],SkiResort_ParkingRevenue_Raw[[#This Row],[License Plate]])=1,"New","Returning")</f>
        <v>New</v>
      </c>
      <c r="H990">
        <v>24.99</v>
      </c>
      <c r="I990">
        <v>1</v>
      </c>
      <c r="J990" t="str">
        <f t="shared" si="47"/>
        <v>Weekends/Holiday Only</v>
      </c>
    </row>
    <row r="991" spans="1:10" x14ac:dyDescent="0.25">
      <c r="A991" t="s">
        <v>3998</v>
      </c>
      <c r="B991" t="str" cm="1">
        <f t="array" ref="B99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91" s="6">
        <v>46113.668298611112</v>
      </c>
      <c r="D991" t="str">
        <f t="shared" si="45"/>
        <v>Wednesday</v>
      </c>
      <c r="F991" s="6" t="str">
        <f t="shared" si="46"/>
        <v>Saturday</v>
      </c>
      <c r="G991" t="str">
        <f>IF(COUNTIF(INDEX(SkiResort_ParkingRevenue_Raw[License Plate],1):SkiResort_ParkingRevenue_Raw[[#This Row],[License Plate]],SkiResort_ParkingRevenue_Raw[[#This Row],[License Plate]])=1,"New","Returning")</f>
        <v>New</v>
      </c>
      <c r="H991">
        <v>24.99</v>
      </c>
      <c r="I991">
        <v>1</v>
      </c>
      <c r="J991" t="str">
        <f t="shared" si="47"/>
        <v>Weekends/Holiday Only</v>
      </c>
    </row>
    <row r="992" spans="1:10" x14ac:dyDescent="0.25">
      <c r="A992" t="s">
        <v>4004</v>
      </c>
      <c r="B992" t="str" cm="1">
        <f t="array" ref="B99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92" s="6">
        <v>46113.847974537035</v>
      </c>
      <c r="D992" t="str">
        <f t="shared" si="45"/>
        <v>Wednesday</v>
      </c>
      <c r="F992" s="6" t="str">
        <f t="shared" si="46"/>
        <v>Saturday</v>
      </c>
      <c r="G992" t="str">
        <f>IF(COUNTIF(INDEX(SkiResort_ParkingRevenue_Raw[License Plate],1):SkiResort_ParkingRevenue_Raw[[#This Row],[License Plate]],SkiResort_ParkingRevenue_Raw[[#This Row],[License Plate]])=1,"New","Returning")</f>
        <v>Returning</v>
      </c>
      <c r="H992">
        <v>24.99</v>
      </c>
      <c r="I992">
        <v>1</v>
      </c>
      <c r="J992" t="str">
        <f t="shared" si="47"/>
        <v>Weekends/Holiday Only</v>
      </c>
    </row>
    <row r="993" spans="1:10" x14ac:dyDescent="0.25">
      <c r="A993" t="s">
        <v>4006</v>
      </c>
      <c r="B993" t="str" cm="1">
        <f t="array" ref="B99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93" s="6">
        <v>46113.849826388891</v>
      </c>
      <c r="D993" t="str">
        <f t="shared" si="45"/>
        <v>Wednesday</v>
      </c>
      <c r="F993" s="6" t="str">
        <f t="shared" si="46"/>
        <v>Saturday</v>
      </c>
      <c r="G993" t="str">
        <f>IF(COUNTIF(INDEX(SkiResort_ParkingRevenue_Raw[License Plate],1):SkiResort_ParkingRevenue_Raw[[#This Row],[License Plate]],SkiResort_ParkingRevenue_Raw[[#This Row],[License Plate]])=1,"New","Returning")</f>
        <v>Returning</v>
      </c>
      <c r="H993">
        <v>24.99</v>
      </c>
      <c r="I993">
        <v>1</v>
      </c>
      <c r="J993" t="str">
        <f t="shared" si="47"/>
        <v>Weekends/Holiday Only</v>
      </c>
    </row>
    <row r="994" spans="1:10" x14ac:dyDescent="0.25">
      <c r="A994" t="s">
        <v>4008</v>
      </c>
      <c r="B994" t="str" cm="1">
        <f t="array" ref="B99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94" s="6">
        <v>46114.544571759259</v>
      </c>
      <c r="D994" t="str">
        <f t="shared" si="45"/>
        <v>Thursday</v>
      </c>
      <c r="F994" s="6" t="str">
        <f t="shared" si="46"/>
        <v>Saturday</v>
      </c>
      <c r="G994" t="str">
        <f>IF(COUNTIF(INDEX(SkiResort_ParkingRevenue_Raw[License Plate],1):SkiResort_ParkingRevenue_Raw[[#This Row],[License Plate]],SkiResort_ParkingRevenue_Raw[[#This Row],[License Plate]])=1,"New","Returning")</f>
        <v>New</v>
      </c>
      <c r="H994">
        <v>24.99</v>
      </c>
      <c r="I994">
        <v>1</v>
      </c>
      <c r="J994" t="str">
        <f t="shared" si="47"/>
        <v>Weekends/Holiday Only</v>
      </c>
    </row>
    <row r="995" spans="1:10" x14ac:dyDescent="0.25">
      <c r="A995" t="s">
        <v>4014</v>
      </c>
      <c r="B995" t="str" cm="1">
        <f t="array" ref="B99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95" s="6">
        <v>46114.552604166667</v>
      </c>
      <c r="D995" t="str">
        <f t="shared" si="45"/>
        <v>Thursday</v>
      </c>
      <c r="F995" s="6" t="str">
        <f t="shared" si="46"/>
        <v>Saturday</v>
      </c>
      <c r="G995" t="str">
        <f>IF(COUNTIF(INDEX(SkiResort_ParkingRevenue_Raw[License Plate],1):SkiResort_ParkingRevenue_Raw[[#This Row],[License Plate]],SkiResort_ParkingRevenue_Raw[[#This Row],[License Plate]])=1,"New","Returning")</f>
        <v>New</v>
      </c>
      <c r="H995">
        <v>24.99</v>
      </c>
      <c r="I995">
        <v>1</v>
      </c>
      <c r="J995" t="str">
        <f t="shared" si="47"/>
        <v>Weekends/Holiday Only</v>
      </c>
    </row>
    <row r="996" spans="1:10" x14ac:dyDescent="0.25">
      <c r="A996" t="s">
        <v>4020</v>
      </c>
      <c r="B996" t="str" cm="1">
        <f t="array" ref="B99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96" s="6">
        <v>46114.673472222225</v>
      </c>
      <c r="D996" t="str">
        <f t="shared" si="45"/>
        <v>Thursday</v>
      </c>
      <c r="F996" s="6" t="str">
        <f t="shared" si="46"/>
        <v>Saturday</v>
      </c>
      <c r="G996" t="str">
        <f>IF(COUNTIF(INDEX(SkiResort_ParkingRevenue_Raw[License Plate],1):SkiResort_ParkingRevenue_Raw[[#This Row],[License Plate]],SkiResort_ParkingRevenue_Raw[[#This Row],[License Plate]])=1,"New","Returning")</f>
        <v>New</v>
      </c>
      <c r="H996">
        <v>24.99</v>
      </c>
      <c r="I996">
        <v>1</v>
      </c>
      <c r="J996" t="str">
        <f t="shared" si="47"/>
        <v>Weekends/Holiday Only</v>
      </c>
    </row>
    <row r="997" spans="1:10" x14ac:dyDescent="0.25">
      <c r="A997" t="s">
        <v>4026</v>
      </c>
      <c r="B997" t="str" cm="1">
        <f t="array" ref="B99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97" s="6">
        <v>46114.691643518519</v>
      </c>
      <c r="D997" t="str">
        <f t="shared" si="45"/>
        <v>Thursday</v>
      </c>
      <c r="F997" s="6" t="str">
        <f t="shared" si="46"/>
        <v>Saturday</v>
      </c>
      <c r="G997" t="str">
        <f>IF(COUNTIF(INDEX(SkiResort_ParkingRevenue_Raw[License Plate],1):SkiResort_ParkingRevenue_Raw[[#This Row],[License Plate]],SkiResort_ParkingRevenue_Raw[[#This Row],[License Plate]])=1,"New","Returning")</f>
        <v>Returning</v>
      </c>
      <c r="H997">
        <v>24.99</v>
      </c>
      <c r="I997">
        <v>1</v>
      </c>
      <c r="J997" t="str">
        <f t="shared" si="47"/>
        <v>Weekends/Holiday Only</v>
      </c>
    </row>
    <row r="998" spans="1:10" x14ac:dyDescent="0.25">
      <c r="A998" t="s">
        <v>4028</v>
      </c>
      <c r="B998" t="str" cm="1">
        <f t="array" ref="B99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98" s="6">
        <v>46114.827222222222</v>
      </c>
      <c r="D998" t="str">
        <f t="shared" si="45"/>
        <v>Thursday</v>
      </c>
      <c r="F998" s="6" t="str">
        <f t="shared" si="46"/>
        <v>Saturday</v>
      </c>
      <c r="G998" t="str">
        <f>IF(COUNTIF(INDEX(SkiResort_ParkingRevenue_Raw[License Plate],1):SkiResort_ParkingRevenue_Raw[[#This Row],[License Plate]],SkiResort_ParkingRevenue_Raw[[#This Row],[License Plate]])=1,"New","Returning")</f>
        <v>Returning</v>
      </c>
      <c r="H998">
        <v>24.99</v>
      </c>
      <c r="I998">
        <v>1</v>
      </c>
      <c r="J998" t="str">
        <f t="shared" si="47"/>
        <v>Weekends/Holiday Only</v>
      </c>
    </row>
    <row r="999" spans="1:10" x14ac:dyDescent="0.25">
      <c r="A999" t="s">
        <v>4030</v>
      </c>
      <c r="B999" t="str" cm="1">
        <f t="array" ref="B99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999" s="6">
        <v>46114.831296296295</v>
      </c>
      <c r="D999" t="str">
        <f t="shared" si="45"/>
        <v>Thursday</v>
      </c>
      <c r="F999" s="6" t="str">
        <f t="shared" si="46"/>
        <v>Saturday</v>
      </c>
      <c r="G999" t="str">
        <f>IF(COUNTIF(INDEX(SkiResort_ParkingRevenue_Raw[License Plate],1):SkiResort_ParkingRevenue_Raw[[#This Row],[License Plate]],SkiResort_ParkingRevenue_Raw[[#This Row],[License Plate]])=1,"New","Returning")</f>
        <v>New</v>
      </c>
      <c r="H999">
        <v>24.99</v>
      </c>
      <c r="I999">
        <v>1</v>
      </c>
      <c r="J999" t="str">
        <f t="shared" si="47"/>
        <v>Weekends/Holiday Only</v>
      </c>
    </row>
    <row r="1000" spans="1:10" x14ac:dyDescent="0.25">
      <c r="A1000" t="s">
        <v>4033</v>
      </c>
      <c r="B1000" t="str" cm="1">
        <f t="array" ref="B100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00" s="6">
        <v>46114.870752314811</v>
      </c>
      <c r="D1000" t="str">
        <f t="shared" si="45"/>
        <v>Thursday</v>
      </c>
      <c r="F1000" s="6" t="str">
        <f t="shared" si="46"/>
        <v>Saturday</v>
      </c>
      <c r="G1000" t="str">
        <f>IF(COUNTIF(INDEX(SkiResort_ParkingRevenue_Raw[License Plate],1):SkiResort_ParkingRevenue_Raw[[#This Row],[License Plate]],SkiResort_ParkingRevenue_Raw[[#This Row],[License Plate]])=1,"New","Returning")</f>
        <v>New</v>
      </c>
      <c r="H1000">
        <v>24.99</v>
      </c>
      <c r="I1000">
        <v>1</v>
      </c>
      <c r="J1000" t="str">
        <f t="shared" si="47"/>
        <v>Weekends/Holiday Only</v>
      </c>
    </row>
    <row r="1001" spans="1:10" x14ac:dyDescent="0.25">
      <c r="A1001" t="s">
        <v>4039</v>
      </c>
      <c r="B1001" t="str" cm="1">
        <f t="array" ref="B100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01" s="6">
        <v>46115.367986111109</v>
      </c>
      <c r="D1001" t="str">
        <f t="shared" si="45"/>
        <v>Friday</v>
      </c>
      <c r="F1001" s="6" t="str">
        <f t="shared" si="46"/>
        <v>Saturday</v>
      </c>
      <c r="G1001" t="str">
        <f>IF(COUNTIF(INDEX(SkiResort_ParkingRevenue_Raw[License Plate],1):SkiResort_ParkingRevenue_Raw[[#This Row],[License Plate]],SkiResort_ParkingRevenue_Raw[[#This Row],[License Plate]])=1,"New","Returning")</f>
        <v>New</v>
      </c>
      <c r="H1001">
        <v>24.99</v>
      </c>
      <c r="I1001">
        <v>1</v>
      </c>
      <c r="J1001" t="str">
        <f t="shared" si="47"/>
        <v>Weekends/Holiday Only</v>
      </c>
    </row>
    <row r="1002" spans="1:10" x14ac:dyDescent="0.25">
      <c r="A1002" t="s">
        <v>4045</v>
      </c>
      <c r="B1002" t="str" cm="1">
        <f t="array" ref="B100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02" s="6">
        <v>46115.370671296296</v>
      </c>
      <c r="D1002" t="str">
        <f t="shared" si="45"/>
        <v>Friday</v>
      </c>
      <c r="F1002" s="6" t="str">
        <f t="shared" si="46"/>
        <v>Saturday</v>
      </c>
      <c r="G1002" t="str">
        <f>IF(COUNTIF(INDEX(SkiResort_ParkingRevenue_Raw[License Plate],1):SkiResort_ParkingRevenue_Raw[[#This Row],[License Plate]],SkiResort_ParkingRevenue_Raw[[#This Row],[License Plate]])=1,"New","Returning")</f>
        <v>Returning</v>
      </c>
      <c r="H1002">
        <v>24.99</v>
      </c>
      <c r="I1002">
        <v>1</v>
      </c>
      <c r="J1002" t="str">
        <f t="shared" si="47"/>
        <v>Weekends/Holiday Only</v>
      </c>
    </row>
    <row r="1003" spans="1:10" x14ac:dyDescent="0.25">
      <c r="A1003" t="s">
        <v>4047</v>
      </c>
      <c r="B1003" t="str" cm="1">
        <f t="array" ref="B100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03" s="6">
        <v>46115.434710648151</v>
      </c>
      <c r="D1003" t="str">
        <f t="shared" si="45"/>
        <v>Friday</v>
      </c>
      <c r="F1003" s="6" t="str">
        <f t="shared" si="46"/>
        <v>Saturday</v>
      </c>
      <c r="G1003" t="str">
        <f>IF(COUNTIF(INDEX(SkiResort_ParkingRevenue_Raw[License Plate],1):SkiResort_ParkingRevenue_Raw[[#This Row],[License Plate]],SkiResort_ParkingRevenue_Raw[[#This Row],[License Plate]])=1,"New","Returning")</f>
        <v>New</v>
      </c>
      <c r="H1003">
        <v>24.99</v>
      </c>
      <c r="I1003">
        <v>1</v>
      </c>
      <c r="J1003" t="str">
        <f t="shared" si="47"/>
        <v>Weekends/Holiday Only</v>
      </c>
    </row>
    <row r="1004" spans="1:10" x14ac:dyDescent="0.25">
      <c r="A1004" t="s">
        <v>4053</v>
      </c>
      <c r="B1004" t="str" cm="1">
        <f t="array" ref="B100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04" s="6">
        <v>46115.466122685182</v>
      </c>
      <c r="D1004" t="str">
        <f t="shared" si="45"/>
        <v>Friday</v>
      </c>
      <c r="F1004" s="6" t="str">
        <f t="shared" si="46"/>
        <v>Saturday</v>
      </c>
      <c r="G1004" t="str">
        <f>IF(COUNTIF(INDEX(SkiResort_ParkingRevenue_Raw[License Plate],1):SkiResort_ParkingRevenue_Raw[[#This Row],[License Plate]],SkiResort_ParkingRevenue_Raw[[#This Row],[License Plate]])=1,"New","Returning")</f>
        <v>New</v>
      </c>
      <c r="H1004">
        <v>24.99</v>
      </c>
      <c r="I1004">
        <v>1</v>
      </c>
      <c r="J1004" t="str">
        <f t="shared" si="47"/>
        <v>Weekends/Holiday Only</v>
      </c>
    </row>
    <row r="1005" spans="1:10" x14ac:dyDescent="0.25">
      <c r="A1005" t="s">
        <v>4059</v>
      </c>
      <c r="B1005" t="str" cm="1">
        <f t="array" ref="B100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05" s="6">
        <v>46115.501504629632</v>
      </c>
      <c r="D1005" t="str">
        <f t="shared" si="45"/>
        <v>Friday</v>
      </c>
      <c r="F1005" s="6" t="str">
        <f t="shared" si="46"/>
        <v>Saturday</v>
      </c>
      <c r="G1005" t="str">
        <f>IF(COUNTIF(INDEX(SkiResort_ParkingRevenue_Raw[License Plate],1):SkiResort_ParkingRevenue_Raw[[#This Row],[License Plate]],SkiResort_ParkingRevenue_Raw[[#This Row],[License Plate]])=1,"New","Returning")</f>
        <v>New</v>
      </c>
      <c r="H1005">
        <v>24.99</v>
      </c>
      <c r="I1005">
        <v>1</v>
      </c>
      <c r="J1005" t="str">
        <f t="shared" si="47"/>
        <v>Weekends/Holiday Only</v>
      </c>
    </row>
    <row r="1006" spans="1:10" x14ac:dyDescent="0.25">
      <c r="A1006" t="s">
        <v>4065</v>
      </c>
      <c r="B1006" t="str" cm="1">
        <f t="array" ref="B100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06" s="6">
        <v>46115.728020833332</v>
      </c>
      <c r="D1006" t="str">
        <f t="shared" si="45"/>
        <v>Friday</v>
      </c>
      <c r="F1006" s="6" t="str">
        <f t="shared" si="46"/>
        <v>Saturday</v>
      </c>
      <c r="G1006" t="str">
        <f>IF(COUNTIF(INDEX(SkiResort_ParkingRevenue_Raw[License Plate],1):SkiResort_ParkingRevenue_Raw[[#This Row],[License Plate]],SkiResort_ParkingRevenue_Raw[[#This Row],[License Plate]])=1,"New","Returning")</f>
        <v>New</v>
      </c>
      <c r="H1006">
        <v>24.99</v>
      </c>
      <c r="I1006">
        <v>1</v>
      </c>
      <c r="J1006" t="str">
        <f t="shared" si="47"/>
        <v>Weekends/Holiday Only</v>
      </c>
    </row>
    <row r="1007" spans="1:10" x14ac:dyDescent="0.25">
      <c r="A1007" t="s">
        <v>4071</v>
      </c>
      <c r="B1007" t="str" cm="1">
        <f t="array" ref="B100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07" s="6">
        <v>46115.784490740742</v>
      </c>
      <c r="D1007" t="str">
        <f t="shared" si="45"/>
        <v>Friday</v>
      </c>
      <c r="F1007" s="6" t="str">
        <f t="shared" si="46"/>
        <v>Saturday</v>
      </c>
      <c r="G1007" t="str">
        <f>IF(COUNTIF(INDEX(SkiResort_ParkingRevenue_Raw[License Plate],1):SkiResort_ParkingRevenue_Raw[[#This Row],[License Plate]],SkiResort_ParkingRevenue_Raw[[#This Row],[License Plate]])=1,"New","Returning")</f>
        <v>Returning</v>
      </c>
      <c r="H1007">
        <v>24.99</v>
      </c>
      <c r="I1007">
        <v>1</v>
      </c>
      <c r="J1007" t="str">
        <f t="shared" si="47"/>
        <v>Weekends/Holiday Only</v>
      </c>
    </row>
    <row r="1008" spans="1:10" x14ac:dyDescent="0.25">
      <c r="A1008" t="s">
        <v>4073</v>
      </c>
      <c r="B1008" t="str" cm="1">
        <f t="array" ref="B100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08" s="6">
        <v>46115.878993055558</v>
      </c>
      <c r="D1008" t="str">
        <f t="shared" si="45"/>
        <v>Friday</v>
      </c>
      <c r="F1008" s="6" t="str">
        <f t="shared" si="46"/>
        <v>Saturday</v>
      </c>
      <c r="G1008" t="str">
        <f>IF(COUNTIF(INDEX(SkiResort_ParkingRevenue_Raw[License Plate],1):SkiResort_ParkingRevenue_Raw[[#This Row],[License Plate]],SkiResort_ParkingRevenue_Raw[[#This Row],[License Plate]])=1,"New","Returning")</f>
        <v>New</v>
      </c>
      <c r="H1008">
        <v>24.99</v>
      </c>
      <c r="I1008">
        <v>1</v>
      </c>
      <c r="J1008" t="str">
        <f t="shared" si="47"/>
        <v>Weekends/Holiday Only</v>
      </c>
    </row>
    <row r="1009" spans="1:10" x14ac:dyDescent="0.25">
      <c r="A1009" t="s">
        <v>4079</v>
      </c>
      <c r="B1009" t="str" cm="1">
        <f t="array" ref="B100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09" s="6">
        <v>46115.890763888892</v>
      </c>
      <c r="D1009" t="str">
        <f t="shared" si="45"/>
        <v>Friday</v>
      </c>
      <c r="F1009" s="6" t="str">
        <f t="shared" si="46"/>
        <v>Saturday</v>
      </c>
      <c r="G1009" t="str">
        <f>IF(COUNTIF(INDEX(SkiResort_ParkingRevenue_Raw[License Plate],1):SkiResort_ParkingRevenue_Raw[[#This Row],[License Plate]],SkiResort_ParkingRevenue_Raw[[#This Row],[License Plate]])=1,"New","Returning")</f>
        <v>New</v>
      </c>
      <c r="H1009">
        <v>24.99</v>
      </c>
      <c r="I1009">
        <v>1</v>
      </c>
      <c r="J1009" t="str">
        <f t="shared" si="47"/>
        <v>Weekends/Holiday Only</v>
      </c>
    </row>
    <row r="1010" spans="1:10" x14ac:dyDescent="0.25">
      <c r="A1010" t="s">
        <v>4085</v>
      </c>
      <c r="B1010" t="str" cm="1">
        <f t="array" ref="B101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10" s="6">
        <v>46115.919479166667</v>
      </c>
      <c r="D1010" t="str">
        <f t="shared" si="45"/>
        <v>Friday</v>
      </c>
      <c r="F1010" s="6" t="str">
        <f t="shared" si="46"/>
        <v>Saturday</v>
      </c>
      <c r="G1010" t="str">
        <f>IF(COUNTIF(INDEX(SkiResort_ParkingRevenue_Raw[License Plate],1):SkiResort_ParkingRevenue_Raw[[#This Row],[License Plate]],SkiResort_ParkingRevenue_Raw[[#This Row],[License Plate]])=1,"New","Returning")</f>
        <v>New</v>
      </c>
      <c r="H1010">
        <v>24.99</v>
      </c>
      <c r="I1010">
        <v>1</v>
      </c>
      <c r="J1010" t="str">
        <f t="shared" si="47"/>
        <v>Weekends/Holiday Only</v>
      </c>
    </row>
    <row r="1011" spans="1:10" x14ac:dyDescent="0.25">
      <c r="A1011" t="s">
        <v>4091</v>
      </c>
      <c r="B1011" t="str" cm="1">
        <f t="array" ref="B101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11" s="6">
        <v>46116.353958333333</v>
      </c>
      <c r="D1011" t="str">
        <f t="shared" si="45"/>
        <v>Saturday</v>
      </c>
      <c r="F1011" s="6" t="str">
        <f t="shared" si="46"/>
        <v>Saturday</v>
      </c>
      <c r="G1011" t="str">
        <f>IF(COUNTIF(INDEX(SkiResort_ParkingRevenue_Raw[License Plate],1):SkiResort_ParkingRevenue_Raw[[#This Row],[License Plate]],SkiResort_ParkingRevenue_Raw[[#This Row],[License Plate]])=1,"New","Returning")</f>
        <v>New</v>
      </c>
      <c r="H1011">
        <v>24.99</v>
      </c>
      <c r="I1011">
        <v>1</v>
      </c>
      <c r="J1011" t="str">
        <f t="shared" si="47"/>
        <v>Weekends/Holiday Only</v>
      </c>
    </row>
    <row r="1012" spans="1:10" x14ac:dyDescent="0.25">
      <c r="A1012" t="s">
        <v>4097</v>
      </c>
      <c r="B1012" t="str" cm="1">
        <f t="array" ref="B101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12" s="6">
        <v>46116.398587962962</v>
      </c>
      <c r="D1012" t="str">
        <f t="shared" si="45"/>
        <v>Saturday</v>
      </c>
      <c r="F1012" s="6" t="str">
        <f t="shared" si="46"/>
        <v>Saturday</v>
      </c>
      <c r="G1012" t="str">
        <f>IF(COUNTIF(INDEX(SkiResort_ParkingRevenue_Raw[License Plate],1):SkiResort_ParkingRevenue_Raw[[#This Row],[License Plate]],SkiResort_ParkingRevenue_Raw[[#This Row],[License Plate]])=1,"New","Returning")</f>
        <v>Returning</v>
      </c>
      <c r="H1012">
        <v>24.99</v>
      </c>
      <c r="I1012">
        <v>1</v>
      </c>
      <c r="J1012" t="str">
        <f t="shared" si="47"/>
        <v>Weekends/Holiday Only</v>
      </c>
    </row>
    <row r="1013" spans="1:10" x14ac:dyDescent="0.25">
      <c r="A1013" t="s">
        <v>4099</v>
      </c>
      <c r="B1013" t="str" cm="1">
        <f t="array" ref="B101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13" s="6">
        <v>46116.408032407409</v>
      </c>
      <c r="D1013" t="str">
        <f t="shared" si="45"/>
        <v>Saturday</v>
      </c>
      <c r="F1013" s="6" t="str">
        <f t="shared" si="46"/>
        <v>Saturday</v>
      </c>
      <c r="G1013" t="str">
        <f>IF(COUNTIF(INDEX(SkiResort_ParkingRevenue_Raw[License Plate],1):SkiResort_ParkingRevenue_Raw[[#This Row],[License Plate]],SkiResort_ParkingRevenue_Raw[[#This Row],[License Plate]])=1,"New","Returning")</f>
        <v>Returning</v>
      </c>
      <c r="H1013">
        <v>24.99</v>
      </c>
      <c r="I1013">
        <v>1</v>
      </c>
      <c r="J1013" t="str">
        <f t="shared" si="47"/>
        <v>Weekends/Holiday Only</v>
      </c>
    </row>
    <row r="1014" spans="1:10" x14ac:dyDescent="0.25">
      <c r="A1014" t="s">
        <v>4101</v>
      </c>
      <c r="B1014" t="str" cm="1">
        <f t="array" ref="B101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14" s="6">
        <v>46116.414872685185</v>
      </c>
      <c r="D1014" t="str">
        <f t="shared" si="45"/>
        <v>Saturday</v>
      </c>
      <c r="F1014" s="6" t="str">
        <f t="shared" si="46"/>
        <v>Saturday</v>
      </c>
      <c r="G1014" t="str">
        <f>IF(COUNTIF(INDEX(SkiResort_ParkingRevenue_Raw[License Plate],1):SkiResort_ParkingRevenue_Raw[[#This Row],[License Plate]],SkiResort_ParkingRevenue_Raw[[#This Row],[License Plate]])=1,"New","Returning")</f>
        <v>New</v>
      </c>
      <c r="H1014">
        <v>24.99</v>
      </c>
      <c r="I1014">
        <v>1</v>
      </c>
      <c r="J1014" t="str">
        <f t="shared" si="47"/>
        <v>Weekends/Holiday Only</v>
      </c>
    </row>
    <row r="1015" spans="1:10" x14ac:dyDescent="0.25">
      <c r="A1015" t="s">
        <v>4107</v>
      </c>
      <c r="B1015" t="str" cm="1">
        <f t="array" ref="B101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15" s="6">
        <v>46116.416331018518</v>
      </c>
      <c r="D1015" t="str">
        <f t="shared" si="45"/>
        <v>Saturday</v>
      </c>
      <c r="F1015" s="6" t="str">
        <f t="shared" si="46"/>
        <v>Saturday</v>
      </c>
      <c r="G1015" t="str">
        <f>IF(COUNTIF(INDEX(SkiResort_ParkingRevenue_Raw[License Plate],1):SkiResort_ParkingRevenue_Raw[[#This Row],[License Plate]],SkiResort_ParkingRevenue_Raw[[#This Row],[License Plate]])=1,"New","Returning")</f>
        <v>New</v>
      </c>
      <c r="H1015">
        <v>24.99</v>
      </c>
      <c r="I1015">
        <v>1</v>
      </c>
      <c r="J1015" t="str">
        <f t="shared" si="47"/>
        <v>Weekends/Holiday Only</v>
      </c>
    </row>
    <row r="1016" spans="1:10" x14ac:dyDescent="0.25">
      <c r="A1016" t="s">
        <v>4113</v>
      </c>
      <c r="B1016" t="str" cm="1">
        <f t="array" ref="B101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16" s="6">
        <v>46116.976331018515</v>
      </c>
      <c r="D1016" t="str">
        <f t="shared" si="45"/>
        <v>Saturday</v>
      </c>
      <c r="F1016" s="6" t="str">
        <f t="shared" si="46"/>
        <v>Saturday</v>
      </c>
      <c r="G1016" t="str">
        <f>IF(COUNTIF(INDEX(SkiResort_ParkingRevenue_Raw[License Plate],1):SkiResort_ParkingRevenue_Raw[[#This Row],[License Plate]],SkiResort_ParkingRevenue_Raw[[#This Row],[License Plate]])=1,"New","Returning")</f>
        <v>Returning</v>
      </c>
      <c r="H1016">
        <v>24.99</v>
      </c>
      <c r="I1016">
        <v>1</v>
      </c>
      <c r="J1016" t="str">
        <f t="shared" si="47"/>
        <v>Weekends/Holiday Only</v>
      </c>
    </row>
    <row r="1017" spans="1:10" x14ac:dyDescent="0.25">
      <c r="A1017" t="s">
        <v>4115</v>
      </c>
      <c r="B1017" t="str" cm="1">
        <f t="array" ref="B101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17" s="6">
        <v>46117.287372685183</v>
      </c>
      <c r="D1017" t="str">
        <f t="shared" si="45"/>
        <v>Sunday</v>
      </c>
      <c r="F1017" s="6" t="str">
        <f t="shared" si="46"/>
        <v>Saturday</v>
      </c>
      <c r="G1017" t="str">
        <f>IF(COUNTIF(INDEX(SkiResort_ParkingRevenue_Raw[License Plate],1):SkiResort_ParkingRevenue_Raw[[#This Row],[License Plate]],SkiResort_ParkingRevenue_Raw[[#This Row],[License Plate]])=1,"New","Returning")</f>
        <v>New</v>
      </c>
      <c r="H1017">
        <v>24.99</v>
      </c>
      <c r="I1017">
        <v>1</v>
      </c>
      <c r="J1017" t="str">
        <f t="shared" si="47"/>
        <v>Weekends/Holiday Only</v>
      </c>
    </row>
    <row r="1018" spans="1:10" x14ac:dyDescent="0.25">
      <c r="A1018" t="s">
        <v>4121</v>
      </c>
      <c r="B1018" t="str" cm="1">
        <f t="array" ref="B101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18" s="6">
        <v>46117.293020833335</v>
      </c>
      <c r="D1018" t="str">
        <f t="shared" si="45"/>
        <v>Sunday</v>
      </c>
      <c r="F1018" s="6" t="str">
        <f t="shared" si="46"/>
        <v>Saturday</v>
      </c>
      <c r="G1018" t="str">
        <f>IF(COUNTIF(INDEX(SkiResort_ParkingRevenue_Raw[License Plate],1):SkiResort_ParkingRevenue_Raw[[#This Row],[License Plate]],SkiResort_ParkingRevenue_Raw[[#This Row],[License Plate]])=1,"New","Returning")</f>
        <v>New</v>
      </c>
      <c r="H1018">
        <v>24.99</v>
      </c>
      <c r="I1018">
        <v>1</v>
      </c>
      <c r="J1018" t="str">
        <f t="shared" si="47"/>
        <v>Weekends/Holiday Only</v>
      </c>
    </row>
    <row r="1019" spans="1:10" x14ac:dyDescent="0.25">
      <c r="A1019" t="s">
        <v>4127</v>
      </c>
      <c r="B1019" t="str" cm="1">
        <f t="array" ref="B101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19" s="6">
        <v>46117.318854166668</v>
      </c>
      <c r="D1019" t="str">
        <f t="shared" si="45"/>
        <v>Sunday</v>
      </c>
      <c r="F1019" s="6" t="str">
        <f t="shared" si="46"/>
        <v>Saturday</v>
      </c>
      <c r="G1019" t="str">
        <f>IF(COUNTIF(INDEX(SkiResort_ParkingRevenue_Raw[License Plate],1):SkiResort_ParkingRevenue_Raw[[#This Row],[License Plate]],SkiResort_ParkingRevenue_Raw[[#This Row],[License Plate]])=1,"New","Returning")</f>
        <v>New</v>
      </c>
      <c r="H1019">
        <v>24.99</v>
      </c>
      <c r="I1019">
        <v>1</v>
      </c>
      <c r="J1019" t="str">
        <f t="shared" si="47"/>
        <v>Weekends/Holiday Only</v>
      </c>
    </row>
    <row r="1020" spans="1:10" x14ac:dyDescent="0.25">
      <c r="A1020" t="s">
        <v>4133</v>
      </c>
      <c r="B1020" t="str" cm="1">
        <f t="array" ref="B102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20" s="6">
        <v>46117.368796296294</v>
      </c>
      <c r="D1020" t="str">
        <f t="shared" si="45"/>
        <v>Sunday</v>
      </c>
      <c r="F1020" s="6" t="str">
        <f t="shared" si="46"/>
        <v>Saturday</v>
      </c>
      <c r="G1020" t="str">
        <f>IF(COUNTIF(INDEX(SkiResort_ParkingRevenue_Raw[License Plate],1):SkiResort_ParkingRevenue_Raw[[#This Row],[License Plate]],SkiResort_ParkingRevenue_Raw[[#This Row],[License Plate]])=1,"New","Returning")</f>
        <v>New</v>
      </c>
      <c r="H1020">
        <v>24.99</v>
      </c>
      <c r="I1020">
        <v>1</v>
      </c>
      <c r="J1020" t="str">
        <f t="shared" si="47"/>
        <v>Weekends/Holiday Only</v>
      </c>
    </row>
    <row r="1021" spans="1:10" x14ac:dyDescent="0.25">
      <c r="A1021" t="s">
        <v>4139</v>
      </c>
      <c r="B1021" t="str" cm="1">
        <f t="array" ref="B102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21" s="6">
        <v>46117.436215277776</v>
      </c>
      <c r="D1021" t="str">
        <f t="shared" si="45"/>
        <v>Sunday</v>
      </c>
      <c r="F1021" s="6" t="str">
        <f t="shared" si="46"/>
        <v>Saturday</v>
      </c>
      <c r="G1021" t="str">
        <f>IF(COUNTIF(INDEX(SkiResort_ParkingRevenue_Raw[License Plate],1):SkiResort_ParkingRevenue_Raw[[#This Row],[License Plate]],SkiResort_ParkingRevenue_Raw[[#This Row],[License Plate]])=1,"New","Returning")</f>
        <v>New</v>
      </c>
      <c r="H1021">
        <v>24.99</v>
      </c>
      <c r="I1021">
        <v>1</v>
      </c>
      <c r="J1021" t="str">
        <f t="shared" si="47"/>
        <v>Weekends/Holiday Only</v>
      </c>
    </row>
    <row r="1022" spans="1:10" x14ac:dyDescent="0.25">
      <c r="A1022" t="s">
        <v>4145</v>
      </c>
      <c r="B1022" t="str" cm="1">
        <f t="array" ref="B102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22" s="6">
        <v>46117.669733796298</v>
      </c>
      <c r="D1022" t="str">
        <f t="shared" si="45"/>
        <v>Sunday</v>
      </c>
      <c r="F1022" s="6" t="str">
        <f t="shared" si="46"/>
        <v>Saturday</v>
      </c>
      <c r="G1022" t="str">
        <f>IF(COUNTIF(INDEX(SkiResort_ParkingRevenue_Raw[License Plate],1):SkiResort_ParkingRevenue_Raw[[#This Row],[License Plate]],SkiResort_ParkingRevenue_Raw[[#This Row],[License Plate]])=1,"New","Returning")</f>
        <v>New</v>
      </c>
      <c r="H1022">
        <v>24.99</v>
      </c>
      <c r="I1022">
        <v>1</v>
      </c>
      <c r="J1022" t="str">
        <f t="shared" si="47"/>
        <v>Weekends/Holiday Only</v>
      </c>
    </row>
    <row r="1023" spans="1:10" x14ac:dyDescent="0.25">
      <c r="A1023" t="s">
        <v>4151</v>
      </c>
      <c r="B1023" t="str" cm="1">
        <f t="array" ref="B102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23" s="6">
        <v>46118.356562499997</v>
      </c>
      <c r="D1023" t="str">
        <f t="shared" si="45"/>
        <v>Monday</v>
      </c>
      <c r="F1023" s="6" t="str">
        <f t="shared" si="46"/>
        <v>Saturday</v>
      </c>
      <c r="G1023" t="str">
        <f>IF(COUNTIF(INDEX(SkiResort_ParkingRevenue_Raw[License Plate],1):SkiResort_ParkingRevenue_Raw[[#This Row],[License Plate]],SkiResort_ParkingRevenue_Raw[[#This Row],[License Plate]])=1,"New","Returning")</f>
        <v>Returning</v>
      </c>
      <c r="H1023">
        <v>24.99</v>
      </c>
      <c r="I1023">
        <v>1</v>
      </c>
      <c r="J1023" t="str">
        <f t="shared" si="47"/>
        <v>Weekends/Holiday Only</v>
      </c>
    </row>
    <row r="1024" spans="1:10" x14ac:dyDescent="0.25">
      <c r="A1024" t="s">
        <v>4153</v>
      </c>
      <c r="B1024" t="str" cm="1">
        <f t="array" ref="B102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24" s="6">
        <v>46118.46565972222</v>
      </c>
      <c r="D1024" t="str">
        <f t="shared" si="45"/>
        <v>Monday</v>
      </c>
      <c r="F1024" s="6" t="str">
        <f t="shared" si="46"/>
        <v>Saturday</v>
      </c>
      <c r="G1024" t="str">
        <f>IF(COUNTIF(INDEX(SkiResort_ParkingRevenue_Raw[License Plate],1):SkiResort_ParkingRevenue_Raw[[#This Row],[License Plate]],SkiResort_ParkingRevenue_Raw[[#This Row],[License Plate]])=1,"New","Returning")</f>
        <v>New</v>
      </c>
      <c r="H1024">
        <v>24.99</v>
      </c>
      <c r="I1024">
        <v>1</v>
      </c>
      <c r="J1024" t="str">
        <f t="shared" si="47"/>
        <v>Weekends/Holiday Only</v>
      </c>
    </row>
    <row r="1025" spans="1:10" x14ac:dyDescent="0.25">
      <c r="A1025" t="s">
        <v>4159</v>
      </c>
      <c r="B1025" t="str" cm="1">
        <f t="array" ref="B102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25" s="6">
        <v>46119.35224537037</v>
      </c>
      <c r="D1025" t="str">
        <f t="shared" si="45"/>
        <v>Tuesday</v>
      </c>
      <c r="F1025" s="6" t="str">
        <f t="shared" si="46"/>
        <v>Saturday</v>
      </c>
      <c r="G1025" t="str">
        <f>IF(COUNTIF(INDEX(SkiResort_ParkingRevenue_Raw[License Plate],1):SkiResort_ParkingRevenue_Raw[[#This Row],[License Plate]],SkiResort_ParkingRevenue_Raw[[#This Row],[License Plate]])=1,"New","Returning")</f>
        <v>New</v>
      </c>
      <c r="H1025">
        <v>24.99</v>
      </c>
      <c r="I1025">
        <v>1</v>
      </c>
      <c r="J1025" t="str">
        <f t="shared" si="47"/>
        <v>Weekends/Holiday Only</v>
      </c>
    </row>
    <row r="1026" spans="1:10" x14ac:dyDescent="0.25">
      <c r="A1026" t="s">
        <v>4165</v>
      </c>
      <c r="B1026" t="str" cm="1">
        <f t="array" ref="B102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26" s="6">
        <v>46119.353275462963</v>
      </c>
      <c r="D1026" t="str">
        <f t="shared" ref="D1026:D1046" si="48">_xlfn.TEXTBEFORE(TEXT(C1026, "dddd, mmmm dd, yyyy"), ",")</f>
        <v>Tuesday</v>
      </c>
      <c r="F1026" s="6" t="str">
        <f t="shared" si="46"/>
        <v>Saturday</v>
      </c>
      <c r="G1026" t="str">
        <f>IF(COUNTIF(INDEX(SkiResort_ParkingRevenue_Raw[License Plate],1):SkiResort_ParkingRevenue_Raw[[#This Row],[License Plate]],SkiResort_ParkingRevenue_Raw[[#This Row],[License Plate]])=1,"New","Returning")</f>
        <v>Returning</v>
      </c>
      <c r="H1026">
        <v>24.99</v>
      </c>
      <c r="I1026">
        <v>1</v>
      </c>
      <c r="J1026" t="str">
        <f t="shared" si="47"/>
        <v>Weekends/Holiday Only</v>
      </c>
    </row>
    <row r="1027" spans="1:10" x14ac:dyDescent="0.25">
      <c r="A1027" t="s">
        <v>4167</v>
      </c>
      <c r="B1027" t="str" cm="1">
        <f t="array" ref="B102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27" s="6">
        <v>46122.900173611109</v>
      </c>
      <c r="D1027" t="str">
        <f t="shared" si="48"/>
        <v>Friday</v>
      </c>
      <c r="F1027" s="6" t="str">
        <f t="shared" ref="F1027:F1046" si="49">_xlfn.TEXTBEFORE(TEXT(E1027,"dddd, mmmm dd, yyyy"), ",")</f>
        <v>Saturday</v>
      </c>
      <c r="G1027" t="str">
        <f>IF(COUNTIF(INDEX(SkiResort_ParkingRevenue_Raw[License Plate],1):SkiResort_ParkingRevenue_Raw[[#This Row],[License Plate]],SkiResort_ParkingRevenue_Raw[[#This Row],[License Plate]])=1,"New","Returning")</f>
        <v>New</v>
      </c>
      <c r="H1027">
        <v>49.98</v>
      </c>
      <c r="I1027">
        <v>2</v>
      </c>
      <c r="J1027" t="str">
        <f t="shared" ref="J1027:J1046" si="50">IF(C1027&lt;DATE(2025,1,17), "All Season", "Weekends/Holiday Only")</f>
        <v>Weekends/Holiday Only</v>
      </c>
    </row>
    <row r="1028" spans="1:10" x14ac:dyDescent="0.25">
      <c r="A1028" t="s">
        <v>4173</v>
      </c>
      <c r="B1028" t="str" cm="1">
        <f t="array" ref="B102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28" s="6">
        <v>46123.308333333334</v>
      </c>
      <c r="D1028" t="str">
        <f t="shared" si="48"/>
        <v>Saturday</v>
      </c>
      <c r="F1028" s="6" t="str">
        <f t="shared" si="49"/>
        <v>Saturday</v>
      </c>
      <c r="G1028" t="str">
        <f>IF(COUNTIF(INDEX(SkiResort_ParkingRevenue_Raw[License Plate],1):SkiResort_ParkingRevenue_Raw[[#This Row],[License Plate]],SkiResort_ParkingRevenue_Raw[[#This Row],[License Plate]])=1,"New","Returning")</f>
        <v>New</v>
      </c>
      <c r="H1028">
        <v>24.99</v>
      </c>
      <c r="I1028">
        <v>1</v>
      </c>
      <c r="J1028" t="str">
        <f t="shared" si="50"/>
        <v>Weekends/Holiday Only</v>
      </c>
    </row>
    <row r="1029" spans="1:10" x14ac:dyDescent="0.25">
      <c r="A1029" t="s">
        <v>4179</v>
      </c>
      <c r="B1029" t="str" cm="1">
        <f t="array" ref="B102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29" s="6">
        <v>46124.329085648147</v>
      </c>
      <c r="D1029" t="str">
        <f t="shared" si="48"/>
        <v>Sunday</v>
      </c>
      <c r="F1029" s="6" t="str">
        <f t="shared" si="49"/>
        <v>Saturday</v>
      </c>
      <c r="G1029" t="str">
        <f>IF(COUNTIF(INDEX(SkiResort_ParkingRevenue_Raw[License Plate],1):SkiResort_ParkingRevenue_Raw[[#This Row],[License Plate]],SkiResort_ParkingRevenue_Raw[[#This Row],[License Plate]])=1,"New","Returning")</f>
        <v>New</v>
      </c>
      <c r="H1029">
        <v>24.99</v>
      </c>
      <c r="I1029">
        <v>1</v>
      </c>
      <c r="J1029" t="str">
        <f t="shared" si="50"/>
        <v>Weekends/Holiday Only</v>
      </c>
    </row>
    <row r="1030" spans="1:10" x14ac:dyDescent="0.25">
      <c r="A1030" t="s">
        <v>4185</v>
      </c>
      <c r="B1030" t="str" cm="1">
        <f t="array" ref="B103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30" s="6">
        <v>46124.478668981479</v>
      </c>
      <c r="D1030" t="str">
        <f t="shared" si="48"/>
        <v>Sunday</v>
      </c>
      <c r="F1030" s="6" t="str">
        <f t="shared" si="49"/>
        <v>Saturday</v>
      </c>
      <c r="G1030" t="str">
        <f>IF(COUNTIF(INDEX(SkiResort_ParkingRevenue_Raw[License Plate],1):SkiResort_ParkingRevenue_Raw[[#This Row],[License Plate]],SkiResort_ParkingRevenue_Raw[[#This Row],[License Plate]])=1,"New","Returning")</f>
        <v>New</v>
      </c>
      <c r="H1030">
        <v>24.99</v>
      </c>
      <c r="I1030">
        <v>1</v>
      </c>
      <c r="J1030" t="str">
        <f t="shared" si="50"/>
        <v>Weekends/Holiday Only</v>
      </c>
    </row>
    <row r="1031" spans="1:10" x14ac:dyDescent="0.25">
      <c r="A1031" t="s">
        <v>4191</v>
      </c>
      <c r="B1031" t="str" cm="1">
        <f t="array" ref="B103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31" s="6">
        <v>46126.698159722226</v>
      </c>
      <c r="D1031" t="str">
        <f t="shared" si="48"/>
        <v>Tuesday</v>
      </c>
      <c r="F1031" s="6" t="str">
        <f t="shared" si="49"/>
        <v>Saturday</v>
      </c>
      <c r="G1031" t="str">
        <f>IF(COUNTIF(INDEX(SkiResort_ParkingRevenue_Raw[License Plate],1):SkiResort_ParkingRevenue_Raw[[#This Row],[License Plate]],SkiResort_ParkingRevenue_Raw[[#This Row],[License Plate]])=1,"New","Returning")</f>
        <v>New</v>
      </c>
      <c r="H1031">
        <v>24.99</v>
      </c>
      <c r="I1031">
        <v>1</v>
      </c>
      <c r="J1031" t="str">
        <f t="shared" si="50"/>
        <v>Weekends/Holiday Only</v>
      </c>
    </row>
    <row r="1032" spans="1:10" x14ac:dyDescent="0.25">
      <c r="A1032" t="s">
        <v>4197</v>
      </c>
      <c r="B1032" t="str" cm="1">
        <f t="array" ref="B103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32" s="6">
        <v>46129.340381944443</v>
      </c>
      <c r="D1032" t="str">
        <f t="shared" si="48"/>
        <v>Friday</v>
      </c>
      <c r="F1032" s="6" t="str">
        <f t="shared" si="49"/>
        <v>Saturday</v>
      </c>
      <c r="G1032" t="str">
        <f>IF(COUNTIF(INDEX(SkiResort_ParkingRevenue_Raw[License Plate],1):SkiResort_ParkingRevenue_Raw[[#This Row],[License Plate]],SkiResort_ParkingRevenue_Raw[[#This Row],[License Plate]])=1,"New","Returning")</f>
        <v>New</v>
      </c>
      <c r="H1032">
        <v>24.99</v>
      </c>
      <c r="I1032">
        <v>1</v>
      </c>
      <c r="J1032" t="str">
        <f t="shared" si="50"/>
        <v>Weekends/Holiday Only</v>
      </c>
    </row>
    <row r="1033" spans="1:10" x14ac:dyDescent="0.25">
      <c r="A1033" t="s">
        <v>4203</v>
      </c>
      <c r="B1033" t="str" cm="1">
        <f t="array" ref="B103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33" s="6">
        <v>46130.314791666664</v>
      </c>
      <c r="D1033" t="str">
        <f t="shared" si="48"/>
        <v>Saturday</v>
      </c>
      <c r="F1033" s="6" t="str">
        <f t="shared" si="49"/>
        <v>Saturday</v>
      </c>
      <c r="G1033" t="str">
        <f>IF(COUNTIF(INDEX(SkiResort_ParkingRevenue_Raw[License Plate],1):SkiResort_ParkingRevenue_Raw[[#This Row],[License Plate]],SkiResort_ParkingRevenue_Raw[[#This Row],[License Plate]])=1,"New","Returning")</f>
        <v>Returning</v>
      </c>
      <c r="H1033">
        <v>24.99</v>
      </c>
      <c r="I1033">
        <v>1</v>
      </c>
      <c r="J1033" t="str">
        <f t="shared" si="50"/>
        <v>Weekends/Holiday Only</v>
      </c>
    </row>
    <row r="1034" spans="1:10" x14ac:dyDescent="0.25">
      <c r="A1034" t="s">
        <v>4205</v>
      </c>
      <c r="B1034" t="str" cm="1">
        <f t="array" ref="B103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34" s="6">
        <v>46130.318912037037</v>
      </c>
      <c r="D1034" t="str">
        <f t="shared" si="48"/>
        <v>Saturday</v>
      </c>
      <c r="F1034" s="6" t="str">
        <f t="shared" si="49"/>
        <v>Saturday</v>
      </c>
      <c r="G1034" t="str">
        <f>IF(COUNTIF(INDEX(SkiResort_ParkingRevenue_Raw[License Plate],1):SkiResort_ParkingRevenue_Raw[[#This Row],[License Plate]],SkiResort_ParkingRevenue_Raw[[#This Row],[License Plate]])=1,"New","Returning")</f>
        <v>New</v>
      </c>
      <c r="H1034">
        <v>24.99</v>
      </c>
      <c r="I1034">
        <v>1</v>
      </c>
      <c r="J1034" t="str">
        <f t="shared" si="50"/>
        <v>Weekends/Holiday Only</v>
      </c>
    </row>
    <row r="1035" spans="1:10" x14ac:dyDescent="0.25">
      <c r="A1035" t="s">
        <v>4208</v>
      </c>
      <c r="B1035" t="str" cm="1">
        <f t="array" ref="B103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35" s="6">
        <v>46130.391087962962</v>
      </c>
      <c r="D1035" t="str">
        <f t="shared" si="48"/>
        <v>Saturday</v>
      </c>
      <c r="F1035" s="6" t="str">
        <f t="shared" si="49"/>
        <v>Saturday</v>
      </c>
      <c r="G1035" t="str">
        <f>IF(COUNTIF(INDEX(SkiResort_ParkingRevenue_Raw[License Plate],1):SkiResort_ParkingRevenue_Raw[[#This Row],[License Plate]],SkiResort_ParkingRevenue_Raw[[#This Row],[License Plate]])=1,"New","Returning")</f>
        <v>Returning</v>
      </c>
      <c r="H1035">
        <v>24.99</v>
      </c>
      <c r="I1035">
        <v>1</v>
      </c>
      <c r="J1035" t="str">
        <f t="shared" si="50"/>
        <v>Weekends/Holiday Only</v>
      </c>
    </row>
    <row r="1036" spans="1:10" x14ac:dyDescent="0.25">
      <c r="A1036" t="s">
        <v>4210</v>
      </c>
      <c r="B1036" t="str" cm="1">
        <f t="array" ref="B103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36" s="6">
        <v>46130.392974537041</v>
      </c>
      <c r="D1036" t="str">
        <f t="shared" si="48"/>
        <v>Saturday</v>
      </c>
      <c r="F1036" s="6" t="str">
        <f t="shared" si="49"/>
        <v>Saturday</v>
      </c>
      <c r="G1036" t="str">
        <f>IF(COUNTIF(INDEX(SkiResort_ParkingRevenue_Raw[License Plate],1):SkiResort_ParkingRevenue_Raw[[#This Row],[License Plate]],SkiResort_ParkingRevenue_Raw[[#This Row],[License Plate]])=1,"New","Returning")</f>
        <v>Returning</v>
      </c>
      <c r="H1036">
        <v>24.99</v>
      </c>
      <c r="I1036">
        <v>1</v>
      </c>
      <c r="J1036" t="str">
        <f t="shared" si="50"/>
        <v>Weekends/Holiday Only</v>
      </c>
    </row>
    <row r="1037" spans="1:10" x14ac:dyDescent="0.25">
      <c r="A1037" t="s">
        <v>4212</v>
      </c>
      <c r="B1037" t="str" cm="1">
        <f t="array" ref="B1037">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37" s="6">
        <v>46131.399502314816</v>
      </c>
      <c r="D1037" t="str">
        <f t="shared" si="48"/>
        <v>Sunday</v>
      </c>
      <c r="F1037" s="6" t="str">
        <f t="shared" si="49"/>
        <v>Saturday</v>
      </c>
      <c r="G1037" t="str">
        <f>IF(COUNTIF(INDEX(SkiResort_ParkingRevenue_Raw[License Plate],1):SkiResort_ParkingRevenue_Raw[[#This Row],[License Plate]],SkiResort_ParkingRevenue_Raw[[#This Row],[License Plate]])=1,"New","Returning")</f>
        <v>Returning</v>
      </c>
      <c r="H1037">
        <v>24.99</v>
      </c>
      <c r="I1037">
        <v>1</v>
      </c>
      <c r="J1037" t="str">
        <f t="shared" si="50"/>
        <v>Weekends/Holiday Only</v>
      </c>
    </row>
    <row r="1038" spans="1:10" x14ac:dyDescent="0.25">
      <c r="A1038" t="s">
        <v>4214</v>
      </c>
      <c r="B1038" t="str" cm="1">
        <f t="array" ref="B1038">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38" s="6">
        <v>46131.399976851855</v>
      </c>
      <c r="D1038" t="str">
        <f t="shared" si="48"/>
        <v>Sunday</v>
      </c>
      <c r="F1038" s="6" t="str">
        <f t="shared" si="49"/>
        <v>Saturday</v>
      </c>
      <c r="G1038" t="str">
        <f>IF(COUNTIF(INDEX(SkiResort_ParkingRevenue_Raw[License Plate],1):SkiResort_ParkingRevenue_Raw[[#This Row],[License Plate]],SkiResort_ParkingRevenue_Raw[[#This Row],[License Plate]])=1,"New","Returning")</f>
        <v>Returning</v>
      </c>
      <c r="H1038">
        <v>24.99</v>
      </c>
      <c r="I1038">
        <v>1</v>
      </c>
      <c r="J1038" t="str">
        <f t="shared" si="50"/>
        <v>Weekends/Holiday Only</v>
      </c>
    </row>
    <row r="1039" spans="1:10" x14ac:dyDescent="0.25">
      <c r="A1039" t="s">
        <v>4216</v>
      </c>
      <c r="B1039" t="str" cm="1">
        <f t="array" ref="B1039">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39" s="6">
        <v>46135.323807870373</v>
      </c>
      <c r="D1039" t="str">
        <f t="shared" si="48"/>
        <v>Thursday</v>
      </c>
      <c r="F1039" s="6" t="str">
        <f t="shared" si="49"/>
        <v>Saturday</v>
      </c>
      <c r="G1039" t="str">
        <f>IF(COUNTIF(INDEX(SkiResort_ParkingRevenue_Raw[License Plate],1):SkiResort_ParkingRevenue_Raw[[#This Row],[License Plate]],SkiResort_ParkingRevenue_Raw[[#This Row],[License Plate]])=1,"New","Returning")</f>
        <v>New</v>
      </c>
      <c r="H1039">
        <v>24.99</v>
      </c>
      <c r="I1039">
        <v>1</v>
      </c>
      <c r="J1039" t="str">
        <f t="shared" si="50"/>
        <v>Weekends/Holiday Only</v>
      </c>
    </row>
    <row r="1040" spans="1:10" x14ac:dyDescent="0.25">
      <c r="A1040" t="s">
        <v>4222</v>
      </c>
      <c r="B1040" t="str" cm="1">
        <f t="array" ref="B1040">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40" s="6">
        <v>46135.325902777775</v>
      </c>
      <c r="D1040" t="str">
        <f t="shared" si="48"/>
        <v>Thursday</v>
      </c>
      <c r="F1040" s="6" t="str">
        <f t="shared" si="49"/>
        <v>Saturday</v>
      </c>
      <c r="G1040" t="str">
        <f>IF(COUNTIF(INDEX(SkiResort_ParkingRevenue_Raw[License Plate],1):SkiResort_ParkingRevenue_Raw[[#This Row],[License Plate]],SkiResort_ParkingRevenue_Raw[[#This Row],[License Plate]])=1,"New","Returning")</f>
        <v>Returning</v>
      </c>
      <c r="H1040">
        <v>24.99</v>
      </c>
      <c r="I1040">
        <v>1</v>
      </c>
      <c r="J1040" t="str">
        <f t="shared" si="50"/>
        <v>Weekends/Holiday Only</v>
      </c>
    </row>
    <row r="1041" spans="1:10" x14ac:dyDescent="0.25">
      <c r="A1041" t="s">
        <v>4224</v>
      </c>
      <c r="B1041" t="str" cm="1">
        <f t="array" ref="B1041">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41" s="6">
        <v>46136.236898148149</v>
      </c>
      <c r="D1041" t="str">
        <f t="shared" si="48"/>
        <v>Friday</v>
      </c>
      <c r="F1041" s="6" t="str">
        <f t="shared" si="49"/>
        <v>Saturday</v>
      </c>
      <c r="G1041" t="str">
        <f>IF(COUNTIF(INDEX(SkiResort_ParkingRevenue_Raw[License Plate],1):SkiResort_ParkingRevenue_Raw[[#This Row],[License Plate]],SkiResort_ParkingRevenue_Raw[[#This Row],[License Plate]])=1,"New","Returning")</f>
        <v>New</v>
      </c>
      <c r="H1041">
        <v>24.99</v>
      </c>
      <c r="I1041">
        <v>1</v>
      </c>
      <c r="J1041" t="str">
        <f t="shared" si="50"/>
        <v>Weekends/Holiday Only</v>
      </c>
    </row>
    <row r="1042" spans="1:10" x14ac:dyDescent="0.25">
      <c r="A1042" t="s">
        <v>4230</v>
      </c>
      <c r="B1042" t="str" cm="1">
        <f t="array" ref="B1042">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42" s="6">
        <v>46136.329108796293</v>
      </c>
      <c r="D1042" t="str">
        <f t="shared" si="48"/>
        <v>Friday</v>
      </c>
      <c r="F1042" s="6" t="str">
        <f t="shared" si="49"/>
        <v>Saturday</v>
      </c>
      <c r="G1042" t="str">
        <f>IF(COUNTIF(INDEX(SkiResort_ParkingRevenue_Raw[License Plate],1):SkiResort_ParkingRevenue_Raw[[#This Row],[License Plate]],SkiResort_ParkingRevenue_Raw[[#This Row],[License Plate]])=1,"New","Returning")</f>
        <v>New</v>
      </c>
      <c r="H1042">
        <v>24.99</v>
      </c>
      <c r="I1042">
        <v>1</v>
      </c>
      <c r="J1042" t="str">
        <f t="shared" si="50"/>
        <v>Weekends/Holiday Only</v>
      </c>
    </row>
    <row r="1043" spans="1:10" x14ac:dyDescent="0.25">
      <c r="A1043" t="s">
        <v>4236</v>
      </c>
      <c r="B1043" t="str" cm="1">
        <f t="array" ref="B1043">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43" s="6">
        <v>46136.62903935185</v>
      </c>
      <c r="D1043" t="str">
        <f t="shared" si="48"/>
        <v>Friday</v>
      </c>
      <c r="F1043" s="6" t="str">
        <f t="shared" si="49"/>
        <v>Saturday</v>
      </c>
      <c r="G1043" t="str">
        <f>IF(COUNTIF(INDEX(SkiResort_ParkingRevenue_Raw[License Plate],1):SkiResort_ParkingRevenue_Raw[[#This Row],[License Plate]],SkiResort_ParkingRevenue_Raw[[#This Row],[License Plate]])=1,"New","Returning")</f>
        <v>New</v>
      </c>
      <c r="H1043">
        <v>24.99</v>
      </c>
      <c r="I1043">
        <v>1</v>
      </c>
      <c r="J1043" t="str">
        <f t="shared" si="50"/>
        <v>Weekends/Holiday Only</v>
      </c>
    </row>
    <row r="1044" spans="1:10" x14ac:dyDescent="0.25">
      <c r="A1044" t="s">
        <v>4242</v>
      </c>
      <c r="B1044" t="str" cm="1">
        <f t="array" ref="B1044">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44" s="6">
        <v>46143.976990740739</v>
      </c>
      <c r="D1044" t="str">
        <f t="shared" si="48"/>
        <v>Friday</v>
      </c>
      <c r="F1044" s="6" t="str">
        <f t="shared" si="49"/>
        <v>Saturday</v>
      </c>
      <c r="G1044" t="str">
        <f>IF(COUNTIF(INDEX(SkiResort_ParkingRevenue_Raw[License Plate],1):SkiResort_ParkingRevenue_Raw[[#This Row],[License Plate]],SkiResort_ParkingRevenue_Raw[[#This Row],[License Plate]])=1,"New","Returning")</f>
        <v>New</v>
      </c>
      <c r="H1044">
        <v>24.99</v>
      </c>
      <c r="I1044">
        <v>1</v>
      </c>
      <c r="J1044" t="str">
        <f t="shared" si="50"/>
        <v>Weekends/Holiday Only</v>
      </c>
    </row>
    <row r="1045" spans="1:10" x14ac:dyDescent="0.25">
      <c r="A1045" t="s">
        <v>4248</v>
      </c>
      <c r="B1045" t="str" cm="1">
        <f t="array" ref="B1045">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45" s="6">
        <v>46144.028506944444</v>
      </c>
      <c r="D1045" t="str">
        <f t="shared" si="48"/>
        <v>Saturday</v>
      </c>
      <c r="F1045" s="6" t="str">
        <f t="shared" si="49"/>
        <v>Saturday</v>
      </c>
      <c r="G1045" t="str">
        <f>IF(COUNTIF(INDEX(SkiResort_ParkingRevenue_Raw[License Plate],1):SkiResort_ParkingRevenue_Raw[[#This Row],[License Plate]],SkiResort_ParkingRevenue_Raw[[#This Row],[License Plate]])=1,"New","Returning")</f>
        <v>New</v>
      </c>
      <c r="H1045">
        <v>24.99</v>
      </c>
      <c r="I1045">
        <v>1</v>
      </c>
      <c r="J1045" t="str">
        <f t="shared" si="50"/>
        <v>Weekends/Holiday Only</v>
      </c>
    </row>
    <row r="1046" spans="1:10" x14ac:dyDescent="0.25">
      <c r="A1046" t="s">
        <v>4254</v>
      </c>
      <c r="B1046" t="str" cm="1">
        <f t="array" ref="B1046">_xlfn.IFS(SkiResort_ParkingRevenue_Raw[[#This Row],[Session Date/Time]]&lt;=DATE(2023, 10, 31), "Off Season", SkiResort_ParkingRevenue_Raw[[#This Row],[Session Date/Time]]&lt;=DATE(2024,5,31), "2023/24 Season", SkiResort_ParkingRevenue_Raw[[#This Row],[Session Date/Time]]&lt;=DATE(2024,10,31), "Off Season", SkiResort_ParkingRevenue_Raw[[#This Row],[Session Date/Time]]&lt;=DATE(2025,5,31), "2024/25 Season", SkiResort_ParkingRevenue_Raw[[#This Row],[Session Date/Time]]&lt;=DATE(2025,10,31), "Off Season", SkiResort_ParkingRevenue_Raw[[#This Row],[Session Date/Time]]&lt;=DATE(2026,5,31), "2025/26 Season")</f>
        <v>2025/26 Season</v>
      </c>
      <c r="C1046" s="6">
        <v>46144.038483796299</v>
      </c>
      <c r="D1046" t="str">
        <f t="shared" si="48"/>
        <v>Saturday</v>
      </c>
      <c r="F1046" s="6" t="str">
        <f t="shared" si="49"/>
        <v>Saturday</v>
      </c>
      <c r="G1046" t="str">
        <f>IF(COUNTIF(INDEX(SkiResort_ParkingRevenue_Raw[License Plate],1):SkiResort_ParkingRevenue_Raw[[#This Row],[License Plate]],SkiResort_ParkingRevenue_Raw[[#This Row],[License Plate]])=1,"New","Returning")</f>
        <v>New</v>
      </c>
      <c r="H1046">
        <v>24.99</v>
      </c>
      <c r="I1046">
        <v>1</v>
      </c>
      <c r="J1046" t="str">
        <f t="shared" si="50"/>
        <v>Weekends/Holiday Only</v>
      </c>
    </row>
  </sheetData>
  <sortState xmlns:xlrd2="http://schemas.microsoft.com/office/spreadsheetml/2017/richdata2" ref="B2:H1046">
    <sortCondition ref="C2:C1046"/>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DF41-58F8-49D0-9A9D-FABAA14E2D3A}">
  <dimension ref="A1:C31"/>
  <sheetViews>
    <sheetView workbookViewId="0">
      <selection activeCell="R20" sqref="R20"/>
    </sheetView>
  </sheetViews>
  <sheetFormatPr defaultRowHeight="15" x14ac:dyDescent="0.25"/>
  <cols>
    <col min="1" max="1" width="16.7109375" bestFit="1" customWidth="1"/>
    <col min="2" max="2" width="10.140625" bestFit="1" customWidth="1"/>
    <col min="3" max="3" width="16.28515625" bestFit="1" customWidth="1"/>
  </cols>
  <sheetData>
    <row r="1" spans="1:3" x14ac:dyDescent="0.25">
      <c r="A1" s="2" t="s">
        <v>4269</v>
      </c>
      <c r="B1" t="s">
        <v>4296</v>
      </c>
      <c r="C1" t="s">
        <v>4300</v>
      </c>
    </row>
    <row r="2" spans="1:3" x14ac:dyDescent="0.25">
      <c r="A2" s="3" t="s">
        <v>4288</v>
      </c>
      <c r="B2" s="9">
        <v>15243.329999999891</v>
      </c>
      <c r="C2" s="16">
        <v>531</v>
      </c>
    </row>
    <row r="3" spans="1:3" x14ac:dyDescent="0.25">
      <c r="A3" s="4" t="s">
        <v>4271</v>
      </c>
      <c r="B3" s="9">
        <v>2968.7599999999952</v>
      </c>
      <c r="C3" s="16">
        <v>98</v>
      </c>
    </row>
    <row r="4" spans="1:3" x14ac:dyDescent="0.25">
      <c r="A4" s="5" t="s">
        <v>4275</v>
      </c>
      <c r="B4" s="9">
        <v>19.989999999999998</v>
      </c>
      <c r="C4" s="16">
        <v>1</v>
      </c>
    </row>
    <row r="5" spans="1:3" x14ac:dyDescent="0.25">
      <c r="A5" s="5" t="s">
        <v>4276</v>
      </c>
      <c r="B5" s="9">
        <v>2948.7699999999954</v>
      </c>
      <c r="C5" s="16">
        <v>97</v>
      </c>
    </row>
    <row r="6" spans="1:3" x14ac:dyDescent="0.25">
      <c r="A6" s="4" t="s">
        <v>4272</v>
      </c>
      <c r="B6" s="9">
        <v>12274.56999999992</v>
      </c>
      <c r="C6" s="16">
        <v>433</v>
      </c>
    </row>
    <row r="7" spans="1:3" x14ac:dyDescent="0.25">
      <c r="A7" s="5" t="s">
        <v>4277</v>
      </c>
      <c r="B7" s="9">
        <v>2388.9499999999985</v>
      </c>
      <c r="C7" s="16">
        <v>87</v>
      </c>
    </row>
    <row r="8" spans="1:3" x14ac:dyDescent="0.25">
      <c r="A8" s="5" t="s">
        <v>4278</v>
      </c>
      <c r="B8" s="9">
        <v>3238.5999999999922</v>
      </c>
      <c r="C8" s="16">
        <v>118</v>
      </c>
    </row>
    <row r="9" spans="1:3" x14ac:dyDescent="0.25">
      <c r="A9" s="5" t="s">
        <v>4279</v>
      </c>
      <c r="B9" s="9">
        <v>5927.3399999999738</v>
      </c>
      <c r="C9" s="16">
        <v>202</v>
      </c>
    </row>
    <row r="10" spans="1:3" x14ac:dyDescent="0.25">
      <c r="A10" s="5" t="s">
        <v>4280</v>
      </c>
      <c r="B10" s="9">
        <v>679.70000000000016</v>
      </c>
      <c r="C10" s="16">
        <v>24</v>
      </c>
    </row>
    <row r="11" spans="1:3" x14ac:dyDescent="0.25">
      <c r="A11" s="5" t="s">
        <v>4281</v>
      </c>
      <c r="B11" s="9">
        <v>39.979999999999997</v>
      </c>
      <c r="C11" s="16">
        <v>2</v>
      </c>
    </row>
    <row r="12" spans="1:3" x14ac:dyDescent="0.25">
      <c r="A12" s="3" t="s">
        <v>4286</v>
      </c>
      <c r="B12" s="9">
        <v>3749.3999999999892</v>
      </c>
      <c r="C12" s="16">
        <v>133</v>
      </c>
    </row>
    <row r="13" spans="1:3" x14ac:dyDescent="0.25">
      <c r="A13" s="4" t="s">
        <v>4272</v>
      </c>
      <c r="B13" s="9">
        <v>1245.4400000000003</v>
      </c>
      <c r="C13" s="16">
        <v>45</v>
      </c>
    </row>
    <row r="14" spans="1:3" x14ac:dyDescent="0.25">
      <c r="A14" s="5" t="s">
        <v>4275</v>
      </c>
      <c r="B14" s="9">
        <v>44.98</v>
      </c>
      <c r="C14" s="16">
        <v>2</v>
      </c>
    </row>
    <row r="15" spans="1:3" x14ac:dyDescent="0.25">
      <c r="A15" s="5" t="s">
        <v>4276</v>
      </c>
      <c r="B15" s="9">
        <v>1200.4600000000003</v>
      </c>
      <c r="C15" s="16">
        <v>43</v>
      </c>
    </row>
    <row r="16" spans="1:3" x14ac:dyDescent="0.25">
      <c r="A16" s="4" t="s">
        <v>4273</v>
      </c>
      <c r="B16" s="9">
        <v>2503.9599999999982</v>
      </c>
      <c r="C16" s="16">
        <v>88</v>
      </c>
    </row>
    <row r="17" spans="1:3" x14ac:dyDescent="0.25">
      <c r="A17" s="5" t="s">
        <v>4277</v>
      </c>
      <c r="B17" s="9">
        <v>1154.5000000000002</v>
      </c>
      <c r="C17" s="16">
        <v>42</v>
      </c>
    </row>
    <row r="18" spans="1:3" x14ac:dyDescent="0.25">
      <c r="A18" s="5" t="s">
        <v>4278</v>
      </c>
      <c r="B18" s="9">
        <v>449.82000000000011</v>
      </c>
      <c r="C18" s="16">
        <v>16</v>
      </c>
    </row>
    <row r="19" spans="1:3" x14ac:dyDescent="0.25">
      <c r="A19" s="5" t="s">
        <v>4279</v>
      </c>
      <c r="B19" s="9">
        <v>449.82000000000005</v>
      </c>
      <c r="C19" s="16">
        <v>16</v>
      </c>
    </row>
    <row r="20" spans="1:3" x14ac:dyDescent="0.25">
      <c r="A20" s="5" t="s">
        <v>4280</v>
      </c>
      <c r="B20" s="9">
        <v>449.82000000000005</v>
      </c>
      <c r="C20" s="16">
        <v>14</v>
      </c>
    </row>
    <row r="21" spans="1:3" x14ac:dyDescent="0.25">
      <c r="A21" s="3" t="s">
        <v>4287</v>
      </c>
      <c r="B21" s="9">
        <v>9871.0499999999356</v>
      </c>
      <c r="C21" s="16">
        <v>381</v>
      </c>
    </row>
    <row r="22" spans="1:3" x14ac:dyDescent="0.25">
      <c r="A22" s="4" t="s">
        <v>4273</v>
      </c>
      <c r="B22" s="9">
        <v>2199.1199999999994</v>
      </c>
      <c r="C22" s="16">
        <v>82</v>
      </c>
    </row>
    <row r="23" spans="1:3" x14ac:dyDescent="0.25">
      <c r="A23" s="5" t="s">
        <v>4275</v>
      </c>
      <c r="B23" s="9">
        <v>174.93</v>
      </c>
      <c r="C23" s="16">
        <v>4</v>
      </c>
    </row>
    <row r="24" spans="1:3" x14ac:dyDescent="0.25">
      <c r="A24" s="5" t="s">
        <v>4276</v>
      </c>
      <c r="B24" s="9">
        <v>2024.1900000000005</v>
      </c>
      <c r="C24" s="16">
        <v>78</v>
      </c>
    </row>
    <row r="25" spans="1:3" x14ac:dyDescent="0.25">
      <c r="A25" s="4" t="s">
        <v>4274</v>
      </c>
      <c r="B25" s="9">
        <v>7671.9299999999521</v>
      </c>
      <c r="C25" s="16">
        <v>299</v>
      </c>
    </row>
    <row r="26" spans="1:3" x14ac:dyDescent="0.25">
      <c r="A26" s="5" t="s">
        <v>4277</v>
      </c>
      <c r="B26" s="9">
        <v>1524.3900000000003</v>
      </c>
      <c r="C26" s="16">
        <v>61</v>
      </c>
    </row>
    <row r="27" spans="1:3" x14ac:dyDescent="0.25">
      <c r="A27" s="5" t="s">
        <v>4278</v>
      </c>
      <c r="B27" s="9">
        <v>1574.3700000000003</v>
      </c>
      <c r="C27" s="16">
        <v>63</v>
      </c>
    </row>
    <row r="28" spans="1:3" x14ac:dyDescent="0.25">
      <c r="A28" s="5" t="s">
        <v>4279</v>
      </c>
      <c r="B28" s="9">
        <v>3073.7699999999913</v>
      </c>
      <c r="C28" s="16">
        <v>116</v>
      </c>
    </row>
    <row r="29" spans="1:3" x14ac:dyDescent="0.25">
      <c r="A29" s="5" t="s">
        <v>4280</v>
      </c>
      <c r="B29" s="9">
        <v>1424.4300000000003</v>
      </c>
      <c r="C29" s="16">
        <v>56</v>
      </c>
    </row>
    <row r="30" spans="1:3" x14ac:dyDescent="0.25">
      <c r="A30" s="5" t="s">
        <v>4281</v>
      </c>
      <c r="B30" s="9">
        <v>74.97</v>
      </c>
      <c r="C30" s="16">
        <v>3</v>
      </c>
    </row>
    <row r="31" spans="1:3" x14ac:dyDescent="0.25">
      <c r="A31" s="3" t="s">
        <v>4270</v>
      </c>
      <c r="B31" s="9">
        <v>28863.78000000057</v>
      </c>
      <c r="C31" s="16">
        <v>1045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59FF6-EE0F-4A3E-BB4C-4D5120572292}">
  <dimension ref="A1:E5"/>
  <sheetViews>
    <sheetView workbookViewId="0">
      <selection activeCell="R20" sqref="R20"/>
    </sheetView>
  </sheetViews>
  <sheetFormatPr defaultRowHeight="15" x14ac:dyDescent="0.25"/>
  <cols>
    <col min="1" max="1" width="31.7109375" bestFit="1" customWidth="1"/>
    <col min="2" max="2" width="16.85546875" bestFit="1" customWidth="1"/>
    <col min="3" max="4" width="14.85546875" bestFit="1" customWidth="1"/>
    <col min="5" max="5" width="11.28515625" bestFit="1" customWidth="1"/>
  </cols>
  <sheetData>
    <row r="1" spans="1:5" x14ac:dyDescent="0.25">
      <c r="A1" s="2" t="s">
        <v>4302</v>
      </c>
      <c r="B1" s="2" t="s">
        <v>4297</v>
      </c>
    </row>
    <row r="2" spans="1:5" x14ac:dyDescent="0.25">
      <c r="A2" s="2" t="s">
        <v>4269</v>
      </c>
      <c r="B2" t="s">
        <v>4288</v>
      </c>
      <c r="C2" t="s">
        <v>4286</v>
      </c>
      <c r="D2" t="s">
        <v>4287</v>
      </c>
      <c r="E2" t="s">
        <v>4270</v>
      </c>
    </row>
    <row r="3" spans="1:5" x14ac:dyDescent="0.25">
      <c r="A3" s="3" t="s">
        <v>4298</v>
      </c>
      <c r="B3" s="16">
        <v>353</v>
      </c>
      <c r="C3" s="16">
        <v>69</v>
      </c>
      <c r="D3" s="16">
        <v>242</v>
      </c>
      <c r="E3" s="16">
        <v>664</v>
      </c>
    </row>
    <row r="4" spans="1:5" x14ac:dyDescent="0.25">
      <c r="A4" s="3" t="s">
        <v>4299</v>
      </c>
      <c r="B4" s="16">
        <v>178</v>
      </c>
      <c r="C4" s="16">
        <v>64</v>
      </c>
      <c r="D4" s="16">
        <v>139</v>
      </c>
      <c r="E4" s="16">
        <v>381</v>
      </c>
    </row>
    <row r="5" spans="1:5" x14ac:dyDescent="0.25">
      <c r="A5" s="3" t="s">
        <v>4270</v>
      </c>
      <c r="B5" s="16">
        <v>531</v>
      </c>
      <c r="C5" s="16">
        <v>133</v>
      </c>
      <c r="D5" s="16">
        <v>381</v>
      </c>
      <c r="E5" s="16">
        <v>1045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DE25-90F4-48C8-8DEB-1943D44616B5}">
  <dimension ref="A1:H2"/>
  <sheetViews>
    <sheetView workbookViewId="0">
      <selection activeCell="R20" sqref="R20"/>
    </sheetView>
  </sheetViews>
  <sheetFormatPr defaultRowHeight="15" x14ac:dyDescent="0.25"/>
  <cols>
    <col min="1" max="1" width="23.85546875" bestFit="1" customWidth="1"/>
    <col min="2" max="2" width="16.85546875" bestFit="1" customWidth="1"/>
    <col min="3" max="3" width="14.85546875" bestFit="1" customWidth="1"/>
    <col min="4" max="4" width="26.7109375" bestFit="1" customWidth="1"/>
    <col min="5" max="5" width="11.28515625" bestFit="1" customWidth="1"/>
    <col min="8" max="8" width="26.7109375" bestFit="1" customWidth="1"/>
  </cols>
  <sheetData>
    <row r="1" spans="1:8" x14ac:dyDescent="0.25">
      <c r="A1" t="s">
        <v>4295</v>
      </c>
      <c r="D1" t="s">
        <v>4303</v>
      </c>
      <c r="H1" t="s">
        <v>4304</v>
      </c>
    </row>
    <row r="2" spans="1:8" x14ac:dyDescent="0.25">
      <c r="A2" s="10">
        <v>1.1703349282296651</v>
      </c>
      <c r="D2" s="11">
        <v>1045</v>
      </c>
      <c r="H2" s="9">
        <v>27.620842105263705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E9941-4609-4B20-9FD2-9A8D4F01C293}">
  <dimension ref="A1:AT1"/>
  <sheetViews>
    <sheetView workbookViewId="0">
      <selection activeCell="AB1" sqref="AB1"/>
    </sheetView>
  </sheetViews>
  <sheetFormatPr defaultRowHeight="15" x14ac:dyDescent="0.25"/>
  <cols>
    <col min="1" max="16384" width="9.140625" style="12"/>
  </cols>
  <sheetData>
    <row r="1" spans="1:46" s="13" customFormat="1" ht="21.75" thickBot="1" x14ac:dyDescent="0.4">
      <c r="A1" s="14" t="s">
        <v>4301</v>
      </c>
      <c r="B1" s="15"/>
      <c r="C1" s="15"/>
      <c r="D1" s="15"/>
      <c r="E1" s="15"/>
      <c r="F1" s="15"/>
      <c r="G1" s="15"/>
      <c r="H1" s="15"/>
      <c r="I1" s="15"/>
      <c r="J1" s="15"/>
      <c r="K1" s="15"/>
      <c r="L1" s="15"/>
      <c r="M1" s="15"/>
      <c r="N1" s="15"/>
      <c r="O1" s="15"/>
      <c r="P1" s="15"/>
      <c r="Q1" s="15"/>
      <c r="R1" s="15"/>
      <c r="S1" s="15"/>
      <c r="T1" s="15"/>
      <c r="U1" s="15"/>
      <c r="V1" s="15"/>
      <c r="W1" s="15"/>
      <c r="X1" s="15"/>
      <c r="Y1" s="15"/>
      <c r="Z1" s="15"/>
      <c r="AA1" s="12"/>
      <c r="AB1" s="12"/>
      <c r="AC1" s="12"/>
      <c r="AD1" s="12"/>
      <c r="AE1" s="12"/>
      <c r="AF1" s="12"/>
      <c r="AG1" s="12"/>
      <c r="AH1" s="12"/>
      <c r="AI1" s="12"/>
      <c r="AJ1" s="12"/>
      <c r="AK1" s="12"/>
      <c r="AL1" s="12"/>
      <c r="AM1" s="12"/>
      <c r="AN1" s="12"/>
      <c r="AO1" s="12"/>
      <c r="AP1" s="12"/>
      <c r="AQ1" s="12"/>
      <c r="AR1" s="12"/>
      <c r="AS1" s="12"/>
      <c r="AT1" s="12"/>
    </row>
  </sheetData>
  <sheetProtection sheet="1" objects="1" scenarios="1" selectLockedCells="1" pivotTables="0"/>
  <mergeCells count="1">
    <mergeCell ref="A1:Z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70AC48-6EE2-4229-B168-5213FBD6E9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SkiResort_Data_Raw</vt:lpstr>
      <vt:lpstr>SkiResort_Data_Clean</vt:lpstr>
      <vt:lpstr>Revenue_and_Bookings</vt:lpstr>
      <vt:lpstr>New_Returning_Parkers</vt:lpstr>
      <vt:lpstr>Cards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Solomon Turner</dc:creator>
  <cp:lastModifiedBy>Solomon Turner</cp:lastModifiedBy>
  <dcterms:created xsi:type="dcterms:W3CDTF">2026-07-11T14:04:33Z</dcterms:created>
  <dcterms:modified xsi:type="dcterms:W3CDTF">2026-07-14T03:16:45Z</dcterms:modified>
</cp:coreProperties>
</file>